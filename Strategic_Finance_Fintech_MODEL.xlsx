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ml.chartshapes+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balachandar.v\Documents\Personal_Docs\Github_Projects\Fintech_3Statement_Model\"/>
    </mc:Choice>
  </mc:AlternateContent>
  <xr:revisionPtr revIDLastSave="0" documentId="13_ncr:1_{082B7A3B-FB06-4021-96CB-ECFD794111C5}" xr6:coauthVersionLast="47" xr6:coauthVersionMax="47" xr10:uidLastSave="{00000000-0000-0000-0000-000000000000}"/>
  <bookViews>
    <workbookView xWindow="-108" yWindow="-108" windowWidth="23256" windowHeight="13896" tabRatio="885" xr2:uid="{717AF408-4C1C-46FF-90E8-FA899106E1E6}"/>
  </bookViews>
  <sheets>
    <sheet name="00_Executive_Summary" sheetId="28" r:id="rId1"/>
    <sheet name="01_Dashboard" sheetId="27" r:id="rId2"/>
    <sheet name="02_Valuation" sheetId="19" r:id="rId3"/>
    <sheet name="03_KPIs" sheetId="20" r:id="rId4"/>
    <sheet name="10_Income_Statement" sheetId="21" r:id="rId5"/>
    <sheet name="11_Cash_Flow" sheetId="23" r:id="rId6"/>
    <sheet name="12_Balance Sheet" sheetId="22" r:id="rId7"/>
    <sheet name="20_Capital_Sensitivity" sheetId="25" r:id="rId8"/>
    <sheet name="21_Scenarios" sheetId="3" r:id="rId9"/>
    <sheet name="22_Scenario_Compare" sheetId="26" r:id="rId10"/>
    <sheet name="23_Time" sheetId="1" r:id="rId11"/>
    <sheet name="30_Assumptions_Rationale" sheetId="2" r:id="rId12"/>
    <sheet name="31_Inputs_UnitEconomics" sheetId="5" r:id="rId13"/>
    <sheet name="32_Inputs_GrowthRetention" sheetId="6" r:id="rId14"/>
    <sheet name="33_Inputs_Opex_Headcount" sheetId="7" r:id="rId15"/>
    <sheet name="34_Inputs_Opex_NonPeople" sheetId="9" r:id="rId16"/>
    <sheet name="35_Inputs_Capex_WC" sheetId="10" r:id="rId17"/>
    <sheet name="36_Inputs_Funding" sheetId="11" r:id="rId18"/>
    <sheet name="37_Inputs_Tax" sheetId="12" r:id="rId19"/>
    <sheet name="38_Inputs_Valuation" sheetId="31" r:id="rId20"/>
    <sheet name="40_Customers_Orders" sheetId="13" r:id="rId21"/>
    <sheet name="41_Revenue_COGS" sheetId="14" r:id="rId22"/>
    <sheet name="42_OPEX" sheetId="15" r:id="rId23"/>
    <sheet name="43_CAPEX_Depreciation" sheetId="16" r:id="rId24"/>
    <sheet name="44_Working_Capital" sheetId="17" r:id="rId25"/>
    <sheet name="45_Funding_Interest_Equity" sheetId="18" r:id="rId26"/>
    <sheet name="90_Version_Log" sheetId="29" r:id="rId2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 i="26" l="1"/>
  <c r="A50" i="25"/>
  <c r="A49" i="25"/>
  <c r="A48" i="25"/>
  <c r="A47" i="25"/>
  <c r="G46" i="25"/>
  <c r="F46" i="25"/>
  <c r="E46" i="25"/>
  <c r="D46" i="25"/>
  <c r="C46" i="25"/>
  <c r="T56" i="25"/>
  <c r="S56" i="25"/>
  <c r="R56" i="25"/>
  <c r="Q56" i="25"/>
  <c r="P56" i="25"/>
  <c r="O56" i="25"/>
  <c r="N56" i="25"/>
  <c r="M56" i="25"/>
  <c r="L56" i="25"/>
  <c r="K56" i="25"/>
  <c r="J56" i="25"/>
  <c r="I56" i="25"/>
  <c r="H56" i="25"/>
  <c r="G56" i="25"/>
  <c r="F56" i="25"/>
  <c r="E56" i="25"/>
  <c r="D56" i="25"/>
  <c r="C56" i="25"/>
  <c r="B56" i="25"/>
  <c r="A39" i="25"/>
  <c r="A38" i="25"/>
  <c r="A37" i="25"/>
  <c r="A36" i="25"/>
  <c r="G35" i="25"/>
  <c r="F35" i="25"/>
  <c r="E35" i="25"/>
  <c r="D35" i="25"/>
  <c r="C35" i="25"/>
  <c r="A30" i="25"/>
  <c r="A29" i="25"/>
  <c r="A28" i="25"/>
  <c r="A27" i="25"/>
  <c r="B6" i="25"/>
  <c r="B5" i="25"/>
  <c r="AL13" i="22"/>
  <c r="AM13" i="22"/>
  <c r="AN13" i="22"/>
  <c r="AL13" i="23"/>
  <c r="AM13" i="23"/>
  <c r="AN13" i="23"/>
  <c r="A27" i="27"/>
  <c r="B13" i="20"/>
  <c r="AK13" i="22"/>
  <c r="AJ13" i="22"/>
  <c r="AI13" i="22"/>
  <c r="AH13" i="22"/>
  <c r="AG13" i="22"/>
  <c r="AF13" i="22"/>
  <c r="AE13" i="22"/>
  <c r="AD13" i="22"/>
  <c r="AC13" i="22"/>
  <c r="AB13" i="22"/>
  <c r="AA13" i="22"/>
  <c r="Z13" i="22"/>
  <c r="Y13" i="22"/>
  <c r="X13" i="22"/>
  <c r="W13" i="22"/>
  <c r="V13" i="22"/>
  <c r="U13" i="22"/>
  <c r="T13" i="22"/>
  <c r="S13" i="22"/>
  <c r="R13" i="22"/>
  <c r="Q13" i="22"/>
  <c r="P13" i="22"/>
  <c r="O13" i="22"/>
  <c r="N13" i="22"/>
  <c r="M13" i="22"/>
  <c r="L13" i="22"/>
  <c r="K13" i="22"/>
  <c r="J13" i="22"/>
  <c r="I13" i="22"/>
  <c r="H13" i="22"/>
  <c r="G13" i="22"/>
  <c r="F13" i="22"/>
  <c r="E13" i="22"/>
  <c r="D13" i="22"/>
  <c r="C13" i="22"/>
  <c r="B13" i="22"/>
  <c r="A1" i="22" a="1"/>
  <c r="A1" i="22" s="1"/>
  <c r="B7" i="22"/>
  <c r="C7" i="22"/>
  <c r="D7" i="22"/>
  <c r="E7" i="22"/>
  <c r="F7" i="22"/>
  <c r="G7" i="22"/>
  <c r="H7" i="22"/>
  <c r="I7" i="22"/>
  <c r="J7" i="22"/>
  <c r="K7" i="22"/>
  <c r="L7" i="22"/>
  <c r="M7" i="22"/>
  <c r="AL7" i="22" s="1"/>
  <c r="N7" i="22"/>
  <c r="O7" i="22"/>
  <c r="P7" i="22"/>
  <c r="Q7" i="22"/>
  <c r="R7" i="22"/>
  <c r="S7" i="22"/>
  <c r="T7" i="22"/>
  <c r="U7" i="22"/>
  <c r="V7" i="22"/>
  <c r="W7" i="22"/>
  <c r="X7" i="22"/>
  <c r="Y7" i="22"/>
  <c r="AM7" i="22" s="1"/>
  <c r="Z7" i="22"/>
  <c r="AA7" i="22"/>
  <c r="AB7" i="22"/>
  <c r="AC7" i="22"/>
  <c r="AD7" i="22"/>
  <c r="AE7" i="22"/>
  <c r="AF7" i="22"/>
  <c r="AG7" i="22"/>
  <c r="AH7" i="22"/>
  <c r="AI7" i="22"/>
  <c r="AJ7" i="22"/>
  <c r="AK7" i="22"/>
  <c r="AN7" i="22" s="1"/>
  <c r="B11" i="22"/>
  <c r="C11" i="22"/>
  <c r="D11" i="22"/>
  <c r="E11" i="22"/>
  <c r="F11" i="22"/>
  <c r="G11" i="22"/>
  <c r="H11" i="22"/>
  <c r="I11" i="22"/>
  <c r="J11" i="22"/>
  <c r="K11" i="22"/>
  <c r="L11" i="22"/>
  <c r="M11" i="22"/>
  <c r="N11" i="22"/>
  <c r="O11" i="22"/>
  <c r="P11" i="22"/>
  <c r="Q11" i="22"/>
  <c r="R11" i="22"/>
  <c r="S11" i="22"/>
  <c r="T11" i="22"/>
  <c r="U11" i="22"/>
  <c r="V11" i="22"/>
  <c r="W11" i="22"/>
  <c r="X11" i="22"/>
  <c r="Y11" i="22"/>
  <c r="AM11" i="22" s="1"/>
  <c r="Z11" i="22"/>
  <c r="AA11" i="22"/>
  <c r="AB11" i="22"/>
  <c r="AC11" i="22"/>
  <c r="AD11" i="22"/>
  <c r="AE11" i="22"/>
  <c r="AF11" i="22"/>
  <c r="AG11" i="22"/>
  <c r="AH11" i="22"/>
  <c r="AI11" i="22"/>
  <c r="AJ11" i="22"/>
  <c r="AK11" i="22"/>
  <c r="AL11" i="22"/>
  <c r="AN11" i="22"/>
  <c r="B12" i="22"/>
  <c r="C12" i="22"/>
  <c r="D12" i="22"/>
  <c r="E12" i="22"/>
  <c r="F12" i="22"/>
  <c r="G12" i="22"/>
  <c r="H12" i="22"/>
  <c r="I12" i="22"/>
  <c r="J12" i="22"/>
  <c r="K12" i="22"/>
  <c r="L12" i="22"/>
  <c r="M12" i="22"/>
  <c r="AL12" i="22" s="1"/>
  <c r="N12" i="22"/>
  <c r="O12" i="22"/>
  <c r="P12" i="22"/>
  <c r="Q12" i="22"/>
  <c r="R12" i="22"/>
  <c r="S12" i="22"/>
  <c r="T12" i="22"/>
  <c r="U12" i="22"/>
  <c r="V12" i="22"/>
  <c r="W12" i="22"/>
  <c r="X12" i="22"/>
  <c r="Y12" i="22"/>
  <c r="AM12" i="22" s="1"/>
  <c r="Z12" i="22"/>
  <c r="AA12" i="22"/>
  <c r="AB12" i="22"/>
  <c r="AC12" i="22"/>
  <c r="AD12" i="22"/>
  <c r="AE12" i="22"/>
  <c r="AF12" i="22"/>
  <c r="AG12" i="22"/>
  <c r="AH12" i="22"/>
  <c r="AI12" i="22"/>
  <c r="AJ12" i="22"/>
  <c r="AK12" i="22"/>
  <c r="AN12" i="22" s="1"/>
  <c r="C123" i="2"/>
  <c r="AK84" i="3"/>
  <c r="AJ84" i="3"/>
  <c r="AI84" i="3"/>
  <c r="AH84" i="3"/>
  <c r="AG84" i="3"/>
  <c r="AF84" i="3"/>
  <c r="AE84" i="3"/>
  <c r="AD84" i="3"/>
  <c r="AC84" i="3"/>
  <c r="AB84" i="3"/>
  <c r="AA84" i="3"/>
  <c r="Z84" i="3"/>
  <c r="Y84" i="3"/>
  <c r="X84" i="3"/>
  <c r="W84" i="3"/>
  <c r="V84" i="3"/>
  <c r="U84" i="3"/>
  <c r="T84" i="3"/>
  <c r="S84" i="3"/>
  <c r="R84" i="3"/>
  <c r="Q84" i="3"/>
  <c r="P84" i="3"/>
  <c r="O84" i="3"/>
  <c r="N84" i="3"/>
  <c r="M84" i="3"/>
  <c r="L84" i="3"/>
  <c r="K84" i="3"/>
  <c r="J84" i="3"/>
  <c r="I84" i="3"/>
  <c r="H84" i="3"/>
  <c r="G84" i="3"/>
  <c r="F84" i="3"/>
  <c r="E84" i="3"/>
  <c r="D84" i="3"/>
  <c r="C84" i="3"/>
  <c r="AK83" i="3"/>
  <c r="AJ83" i="3"/>
  <c r="AI83" i="3"/>
  <c r="AH83" i="3"/>
  <c r="AG83" i="3"/>
  <c r="AF83" i="3"/>
  <c r="AE83" i="3"/>
  <c r="AD83" i="3"/>
  <c r="AC83" i="3"/>
  <c r="AB83" i="3"/>
  <c r="AA83" i="3"/>
  <c r="Z83" i="3"/>
  <c r="Y83" i="3"/>
  <c r="X83" i="3"/>
  <c r="W83" i="3"/>
  <c r="V83" i="3"/>
  <c r="U83" i="3"/>
  <c r="T83" i="3"/>
  <c r="S83" i="3"/>
  <c r="R83" i="3"/>
  <c r="Q83" i="3"/>
  <c r="P83" i="3"/>
  <c r="O83" i="3"/>
  <c r="N83" i="3"/>
  <c r="M83" i="3"/>
  <c r="L83" i="3"/>
  <c r="K83" i="3"/>
  <c r="J83" i="3"/>
  <c r="I83" i="3"/>
  <c r="H83" i="3"/>
  <c r="G83" i="3"/>
  <c r="F83" i="3"/>
  <c r="E83" i="3"/>
  <c r="D83" i="3"/>
  <c r="C83" i="3"/>
  <c r="B84" i="3"/>
  <c r="B83" i="3"/>
  <c r="B80" i="3"/>
  <c r="B79" i="3"/>
  <c r="AK59" i="3"/>
  <c r="AJ59" i="3"/>
  <c r="AI59" i="3"/>
  <c r="AH59" i="3"/>
  <c r="AG59" i="3"/>
  <c r="AF59" i="3"/>
  <c r="AE59" i="3"/>
  <c r="AD59" i="3"/>
  <c r="AC59" i="3"/>
  <c r="AB59" i="3"/>
  <c r="AA59" i="3"/>
  <c r="Z59" i="3"/>
  <c r="Y59" i="3"/>
  <c r="X59" i="3"/>
  <c r="W59" i="3"/>
  <c r="V59" i="3"/>
  <c r="U59" i="3"/>
  <c r="T59" i="3"/>
  <c r="S59" i="3"/>
  <c r="R59" i="3"/>
  <c r="Q59" i="3"/>
  <c r="P59" i="3"/>
  <c r="O59" i="3"/>
  <c r="N59" i="3"/>
  <c r="M59" i="3"/>
  <c r="L59" i="3"/>
  <c r="K59" i="3"/>
  <c r="J59" i="3"/>
  <c r="I59" i="3"/>
  <c r="H59" i="3"/>
  <c r="G59" i="3"/>
  <c r="F59" i="3"/>
  <c r="E59" i="3"/>
  <c r="D59" i="3"/>
  <c r="C59" i="3"/>
  <c r="AK58" i="3"/>
  <c r="AJ58" i="3"/>
  <c r="AI58" i="3"/>
  <c r="AH58" i="3"/>
  <c r="AG58" i="3"/>
  <c r="AF58" i="3"/>
  <c r="AE58" i="3"/>
  <c r="AD58" i="3"/>
  <c r="AC58" i="3"/>
  <c r="AB58" i="3"/>
  <c r="AA58" i="3"/>
  <c r="Z58" i="3"/>
  <c r="Y58" i="3"/>
  <c r="X58" i="3"/>
  <c r="W58" i="3"/>
  <c r="V58" i="3"/>
  <c r="U58" i="3"/>
  <c r="T58" i="3"/>
  <c r="S58" i="3"/>
  <c r="R58" i="3"/>
  <c r="Q58" i="3"/>
  <c r="P58" i="3"/>
  <c r="O58" i="3"/>
  <c r="N58" i="3"/>
  <c r="M58" i="3"/>
  <c r="L58" i="3"/>
  <c r="K58" i="3"/>
  <c r="J58" i="3"/>
  <c r="I58" i="3"/>
  <c r="H58" i="3"/>
  <c r="G58" i="3"/>
  <c r="F58" i="3"/>
  <c r="E58" i="3"/>
  <c r="D58" i="3"/>
  <c r="C58" i="3"/>
  <c r="B59" i="3"/>
  <c r="B58" i="3"/>
  <c r="B55" i="3"/>
  <c r="B54" i="3"/>
  <c r="C119" i="2"/>
  <c r="AK26" i="3"/>
  <c r="AJ26" i="3"/>
  <c r="AI26" i="3"/>
  <c r="AH26" i="3"/>
  <c r="AG26" i="3"/>
  <c r="AF26" i="3"/>
  <c r="AE26" i="3"/>
  <c r="AD26" i="3"/>
  <c r="AC26" i="3"/>
  <c r="AB26" i="3"/>
  <c r="AA26" i="3"/>
  <c r="Z26" i="3"/>
  <c r="Y26" i="3"/>
  <c r="X26" i="3"/>
  <c r="W26" i="3"/>
  <c r="V26" i="3"/>
  <c r="U26" i="3"/>
  <c r="T26" i="3"/>
  <c r="S26" i="3"/>
  <c r="R26" i="3"/>
  <c r="Q26" i="3"/>
  <c r="P26" i="3"/>
  <c r="O26" i="3"/>
  <c r="N26" i="3"/>
  <c r="M26" i="3"/>
  <c r="L26" i="3"/>
  <c r="K26" i="3"/>
  <c r="J26" i="3"/>
  <c r="I26" i="3"/>
  <c r="H26" i="3"/>
  <c r="G26" i="3"/>
  <c r="F26" i="3"/>
  <c r="E26" i="3"/>
  <c r="D26" i="3"/>
  <c r="C26" i="3"/>
  <c r="AK25" i="3"/>
  <c r="AJ25" i="3"/>
  <c r="AI25" i="3"/>
  <c r="AH25" i="3"/>
  <c r="AG25" i="3"/>
  <c r="AF25" i="3"/>
  <c r="AE25" i="3"/>
  <c r="AD25" i="3"/>
  <c r="AC25" i="3"/>
  <c r="AB25" i="3"/>
  <c r="AA25" i="3"/>
  <c r="Z25" i="3"/>
  <c r="Y25" i="3"/>
  <c r="X25" i="3"/>
  <c r="W25" i="3"/>
  <c r="V25" i="3"/>
  <c r="U25" i="3"/>
  <c r="T25" i="3"/>
  <c r="S25" i="3"/>
  <c r="R25" i="3"/>
  <c r="Q25" i="3"/>
  <c r="P25" i="3"/>
  <c r="O25" i="3"/>
  <c r="N25" i="3"/>
  <c r="M25" i="3"/>
  <c r="L25" i="3"/>
  <c r="K25" i="3"/>
  <c r="J25" i="3"/>
  <c r="I25" i="3"/>
  <c r="H25" i="3"/>
  <c r="G25" i="3"/>
  <c r="F25" i="3"/>
  <c r="E25" i="3"/>
  <c r="D25" i="3"/>
  <c r="C25" i="3"/>
  <c r="B26" i="3"/>
  <c r="B25" i="3"/>
  <c r="C108" i="2"/>
  <c r="C107" i="2"/>
  <c r="B51" i="19"/>
  <c r="B9" i="19"/>
  <c r="B8" i="19"/>
  <c r="B7" i="19"/>
  <c r="E60" i="19" s="1"/>
  <c r="B6" i="19"/>
  <c r="C68" i="2" s="1"/>
  <c r="B5" i="19"/>
  <c r="C15" i="5"/>
  <c r="AB12" i="14" s="1"/>
  <c r="AB85" i="3" s="1"/>
  <c r="E116" i="2"/>
  <c r="E115" i="2"/>
  <c r="E114" i="2"/>
  <c r="E113" i="2"/>
  <c r="E112" i="2"/>
  <c r="E111" i="2"/>
  <c r="E103" i="2"/>
  <c r="E102" i="2"/>
  <c r="E99" i="2"/>
  <c r="E98" i="2"/>
  <c r="E97" i="2"/>
  <c r="E96" i="2"/>
  <c r="E95" i="2"/>
  <c r="E94" i="2"/>
  <c r="E91" i="2"/>
  <c r="E90" i="2"/>
  <c r="E89" i="2"/>
  <c r="E88" i="2"/>
  <c r="E87" i="2"/>
  <c r="E86" i="2"/>
  <c r="E83" i="2"/>
  <c r="E82" i="2"/>
  <c r="E81" i="2"/>
  <c r="E80" i="2"/>
  <c r="E79" i="2"/>
  <c r="E78" i="2"/>
  <c r="E77" i="2"/>
  <c r="E76" i="2"/>
  <c r="E75" i="2"/>
  <c r="E72" i="2"/>
  <c r="E71" i="2"/>
  <c r="E70" i="2"/>
  <c r="E69" i="2"/>
  <c r="E64" i="2"/>
  <c r="E63" i="2"/>
  <c r="E62" i="2"/>
  <c r="E61" i="2"/>
  <c r="E60" i="2"/>
  <c r="E59" i="2"/>
  <c r="E58" i="2"/>
  <c r="E57" i="2"/>
  <c r="E53" i="2"/>
  <c r="E51" i="2"/>
  <c r="E50" i="2"/>
  <c r="C9" i="6"/>
  <c r="C4" i="6"/>
  <c r="C3" i="5"/>
  <c r="C14" i="2"/>
  <c r="K23" i="7"/>
  <c r="L23" i="7"/>
  <c r="M23" i="7"/>
  <c r="N23" i="7"/>
  <c r="O23" i="7"/>
  <c r="P23" i="7"/>
  <c r="Q23" i="7"/>
  <c r="R23" i="7"/>
  <c r="S23" i="7"/>
  <c r="T23" i="7"/>
  <c r="U23" i="7"/>
  <c r="V23" i="7"/>
  <c r="W23" i="7"/>
  <c r="X23" i="7"/>
  <c r="Y23" i="7"/>
  <c r="Z23" i="7"/>
  <c r="AA23" i="7"/>
  <c r="AB23" i="7"/>
  <c r="AC23" i="7"/>
  <c r="AD23" i="7"/>
  <c r="K24" i="7"/>
  <c r="L24" i="7"/>
  <c r="M24" i="7"/>
  <c r="N24" i="7"/>
  <c r="O24" i="7"/>
  <c r="P24" i="7"/>
  <c r="Q24" i="7"/>
  <c r="R24" i="7"/>
  <c r="S24" i="7"/>
  <c r="T24" i="7"/>
  <c r="U24" i="7"/>
  <c r="V24" i="7"/>
  <c r="W24" i="7"/>
  <c r="X24" i="7"/>
  <c r="Y24" i="7"/>
  <c r="Z24" i="7"/>
  <c r="AA24" i="7"/>
  <c r="AB24" i="7"/>
  <c r="AC24" i="7"/>
  <c r="AD24" i="7"/>
  <c r="K25" i="7"/>
  <c r="L25" i="7"/>
  <c r="M25" i="7"/>
  <c r="N25" i="7"/>
  <c r="O25" i="7"/>
  <c r="P25" i="7"/>
  <c r="Q25" i="7"/>
  <c r="R25" i="7"/>
  <c r="S25" i="7"/>
  <c r="T25" i="7"/>
  <c r="U25" i="7"/>
  <c r="V25" i="7"/>
  <c r="W25" i="7"/>
  <c r="X25" i="7"/>
  <c r="Y25" i="7"/>
  <c r="Z25" i="7"/>
  <c r="AA25" i="7"/>
  <c r="AB25" i="7"/>
  <c r="AC25" i="7"/>
  <c r="AD25" i="7"/>
  <c r="K26" i="7"/>
  <c r="L26" i="7"/>
  <c r="M26" i="7"/>
  <c r="N26" i="7"/>
  <c r="O26" i="7"/>
  <c r="P26" i="7"/>
  <c r="Q26" i="7"/>
  <c r="R26" i="7"/>
  <c r="S26" i="7"/>
  <c r="T26" i="7"/>
  <c r="U26" i="7"/>
  <c r="V26" i="7"/>
  <c r="W26" i="7"/>
  <c r="X26" i="7"/>
  <c r="Y26" i="7"/>
  <c r="Z26" i="7"/>
  <c r="AA26" i="7"/>
  <c r="AB26" i="7"/>
  <c r="AC26" i="7"/>
  <c r="AD26" i="7"/>
  <c r="K27" i="7"/>
  <c r="L27" i="7"/>
  <c r="M27" i="7"/>
  <c r="N27" i="7"/>
  <c r="O27" i="7"/>
  <c r="P27" i="7"/>
  <c r="Q27" i="7"/>
  <c r="R27" i="7"/>
  <c r="S27" i="7"/>
  <c r="T27" i="7"/>
  <c r="U27" i="7"/>
  <c r="V27" i="7"/>
  <c r="W27" i="7"/>
  <c r="X27" i="7"/>
  <c r="Y27" i="7"/>
  <c r="Z27" i="7"/>
  <c r="AA27" i="7"/>
  <c r="AB27" i="7"/>
  <c r="AC27" i="7"/>
  <c r="AD27" i="7"/>
  <c r="C7" i="10"/>
  <c r="C6" i="10"/>
  <c r="B5" i="6"/>
  <c r="E27" i="28"/>
  <c r="D27" i="28"/>
  <c r="C27" i="28"/>
  <c r="E26" i="28"/>
  <c r="D26" i="28"/>
  <c r="C26" i="28"/>
  <c r="E25" i="28"/>
  <c r="D25" i="28"/>
  <c r="C25" i="28"/>
  <c r="E24" i="28"/>
  <c r="D24" i="28"/>
  <c r="C24" i="28"/>
  <c r="E23" i="28"/>
  <c r="D23" i="28"/>
  <c r="C23" i="28"/>
  <c r="F1" i="28"/>
  <c r="B67" i="19"/>
  <c r="B37" i="19"/>
  <c r="B42" i="19" s="1"/>
  <c r="B36" i="19"/>
  <c r="F17" i="27" s="1"/>
  <c r="B13" i="19"/>
  <c r="C15" i="28" s="1"/>
  <c r="B12" i="19"/>
  <c r="E17" i="27" s="1"/>
  <c r="AK19" i="20"/>
  <c r="C112" i="2" s="1"/>
  <c r="AJ19" i="20"/>
  <c r="AI19" i="20"/>
  <c r="AH19" i="20"/>
  <c r="AG19" i="20"/>
  <c r="AF19" i="20"/>
  <c r="AE19" i="20"/>
  <c r="AD19" i="20"/>
  <c r="AC19" i="20"/>
  <c r="AB19" i="20"/>
  <c r="AA19" i="20"/>
  <c r="Z19" i="20"/>
  <c r="Y19" i="20"/>
  <c r="AM19" i="20" s="1"/>
  <c r="X19" i="20"/>
  <c r="W19" i="20"/>
  <c r="V19" i="20"/>
  <c r="U19" i="20"/>
  <c r="T19" i="20"/>
  <c r="S19" i="20"/>
  <c r="R19" i="20"/>
  <c r="Q19" i="20"/>
  <c r="P19" i="20"/>
  <c r="O19" i="20"/>
  <c r="N19" i="20"/>
  <c r="M19" i="20"/>
  <c r="AL19" i="20" s="1"/>
  <c r="L19" i="20"/>
  <c r="K19" i="20"/>
  <c r="J19" i="20"/>
  <c r="I19" i="20"/>
  <c r="H19" i="20"/>
  <c r="G19" i="20"/>
  <c r="F19" i="20"/>
  <c r="E19" i="20"/>
  <c r="D19" i="20"/>
  <c r="C19" i="20"/>
  <c r="B19" i="20"/>
  <c r="C103" i="2"/>
  <c r="C102" i="2"/>
  <c r="C99" i="2"/>
  <c r="C98" i="2"/>
  <c r="C97" i="2"/>
  <c r="C96" i="2"/>
  <c r="C95" i="2"/>
  <c r="C94" i="2"/>
  <c r="C91" i="2"/>
  <c r="C90" i="2"/>
  <c r="C89" i="2"/>
  <c r="C88" i="2"/>
  <c r="C87" i="2"/>
  <c r="C86" i="2"/>
  <c r="F23" i="26"/>
  <c r="C72" i="2"/>
  <c r="C71" i="2"/>
  <c r="C70" i="2"/>
  <c r="C69" i="2"/>
  <c r="C64" i="2"/>
  <c r="C63" i="2"/>
  <c r="C62" i="2"/>
  <c r="C61" i="2"/>
  <c r="C60" i="2"/>
  <c r="C59" i="2"/>
  <c r="C58" i="2"/>
  <c r="C57" i="2"/>
  <c r="C54" i="2"/>
  <c r="C51" i="2"/>
  <c r="C46" i="2"/>
  <c r="C45" i="2"/>
  <c r="C44" i="2"/>
  <c r="C43" i="2"/>
  <c r="C42" i="2"/>
  <c r="C39" i="2"/>
  <c r="C38" i="2"/>
  <c r="C37" i="2"/>
  <c r="C34" i="2"/>
  <c r="C33" i="2"/>
  <c r="C32" i="2"/>
  <c r="C31" i="2"/>
  <c r="C28" i="2"/>
  <c r="C27" i="2"/>
  <c r="C26" i="2"/>
  <c r="C23" i="2"/>
  <c r="C22" i="2"/>
  <c r="C20" i="2"/>
  <c r="C19" i="2"/>
  <c r="C18" i="2"/>
  <c r="C17" i="2"/>
  <c r="C16" i="2"/>
  <c r="C15" i="2"/>
  <c r="C8" i="2"/>
  <c r="C14" i="5"/>
  <c r="C11" i="5"/>
  <c r="J13" i="14" s="1"/>
  <c r="C5" i="5"/>
  <c r="C2" i="5"/>
  <c r="AK27" i="7"/>
  <c r="AJ27" i="7"/>
  <c r="AI27" i="7"/>
  <c r="AH27" i="7"/>
  <c r="AG27" i="7"/>
  <c r="AF27" i="7"/>
  <c r="AE27" i="7"/>
  <c r="J27" i="7"/>
  <c r="I27" i="7"/>
  <c r="H27" i="7"/>
  <c r="G27" i="7"/>
  <c r="F27" i="7"/>
  <c r="E27" i="7"/>
  <c r="D27" i="7"/>
  <c r="C27" i="7"/>
  <c r="AK26" i="7"/>
  <c r="AJ26" i="7"/>
  <c r="AI26" i="7"/>
  <c r="AH26" i="7"/>
  <c r="AG26" i="7"/>
  <c r="AF26" i="7"/>
  <c r="AE26" i="7"/>
  <c r="J26" i="7"/>
  <c r="I26" i="7"/>
  <c r="H26" i="7"/>
  <c r="G26" i="7"/>
  <c r="F26" i="7"/>
  <c r="E26" i="7"/>
  <c r="D26" i="7"/>
  <c r="C26" i="7"/>
  <c r="AK25" i="7"/>
  <c r="AJ25" i="7"/>
  <c r="AI25" i="7"/>
  <c r="AH25" i="7"/>
  <c r="AG25" i="7"/>
  <c r="AF25" i="7"/>
  <c r="AE25" i="7"/>
  <c r="J25" i="7"/>
  <c r="I25" i="7"/>
  <c r="H25" i="7"/>
  <c r="G25" i="7"/>
  <c r="F25" i="7"/>
  <c r="E25" i="7"/>
  <c r="D25" i="7"/>
  <c r="C25" i="7"/>
  <c r="AK24" i="7"/>
  <c r="AJ24" i="7"/>
  <c r="AI24" i="7"/>
  <c r="AH24" i="7"/>
  <c r="AG24" i="7"/>
  <c r="AF24" i="7"/>
  <c r="AE24" i="7"/>
  <c r="J24" i="7"/>
  <c r="I24" i="7"/>
  <c r="H24" i="7"/>
  <c r="G24" i="7"/>
  <c r="F24" i="7"/>
  <c r="E24" i="7"/>
  <c r="D24" i="7"/>
  <c r="C24" i="7"/>
  <c r="AK23" i="7"/>
  <c r="AJ23" i="7"/>
  <c r="AI23" i="7"/>
  <c r="AH23" i="7"/>
  <c r="AG23" i="7"/>
  <c r="AF23" i="7"/>
  <c r="AE23" i="7"/>
  <c r="J23" i="7"/>
  <c r="I23" i="7"/>
  <c r="H23" i="7"/>
  <c r="G23" i="7"/>
  <c r="F23" i="7"/>
  <c r="E23" i="7"/>
  <c r="D23" i="7"/>
  <c r="C23" i="7"/>
  <c r="B27" i="7"/>
  <c r="B26" i="7"/>
  <c r="B25" i="7"/>
  <c r="B24" i="7"/>
  <c r="B23" i="7"/>
  <c r="B31" i="7" s="1"/>
  <c r="AK19" i="7"/>
  <c r="AK4" i="15" s="1"/>
  <c r="AJ19" i="7"/>
  <c r="AJ4" i="15" s="1"/>
  <c r="AI19" i="7"/>
  <c r="AI4" i="15" s="1"/>
  <c r="AH19" i="7"/>
  <c r="AH4" i="15" s="1"/>
  <c r="AG19" i="7"/>
  <c r="AG4" i="15" s="1"/>
  <c r="AF19" i="7"/>
  <c r="AF4" i="15" s="1"/>
  <c r="AE19" i="7"/>
  <c r="AE4" i="15" s="1"/>
  <c r="AD19" i="7"/>
  <c r="AD4" i="15" s="1"/>
  <c r="AC19" i="7"/>
  <c r="AC4" i="15" s="1"/>
  <c r="AB19" i="7"/>
  <c r="AB4" i="15" s="1"/>
  <c r="AA19" i="7"/>
  <c r="AA4" i="15" s="1"/>
  <c r="Z19" i="7"/>
  <c r="Z4" i="15" s="1"/>
  <c r="Y19" i="7"/>
  <c r="Y4" i="15" s="1"/>
  <c r="X19" i="7"/>
  <c r="X4" i="15" s="1"/>
  <c r="W19" i="7"/>
  <c r="W4" i="15" s="1"/>
  <c r="V19" i="7"/>
  <c r="V4" i="15" s="1"/>
  <c r="U19" i="7"/>
  <c r="U4" i="15" s="1"/>
  <c r="T19" i="7"/>
  <c r="T4" i="15" s="1"/>
  <c r="S19" i="7"/>
  <c r="S4" i="15" s="1"/>
  <c r="R19" i="7"/>
  <c r="R4" i="15" s="1"/>
  <c r="Q19" i="7"/>
  <c r="Q4" i="15" s="1"/>
  <c r="P19" i="7"/>
  <c r="P4" i="15" s="1"/>
  <c r="O19" i="7"/>
  <c r="O4" i="15" s="1"/>
  <c r="N19" i="7"/>
  <c r="N4" i="15" s="1"/>
  <c r="M19" i="7"/>
  <c r="M4" i="15" s="1"/>
  <c r="L19" i="7"/>
  <c r="L4" i="15" s="1"/>
  <c r="K19" i="7"/>
  <c r="K4" i="15" s="1"/>
  <c r="J19" i="7"/>
  <c r="J4" i="15" s="1"/>
  <c r="I19" i="7"/>
  <c r="I4" i="15" s="1"/>
  <c r="H19" i="7"/>
  <c r="H4" i="15" s="1"/>
  <c r="G19" i="7"/>
  <c r="G4" i="15" s="1"/>
  <c r="F19" i="7"/>
  <c r="F4" i="15" s="1"/>
  <c r="E19" i="7"/>
  <c r="E4" i="15" s="1"/>
  <c r="D19" i="7"/>
  <c r="D4" i="15" s="1"/>
  <c r="C19" i="7"/>
  <c r="C4" i="15" s="1"/>
  <c r="B19" i="7"/>
  <c r="B4" i="15" s="1"/>
  <c r="AK13" i="7"/>
  <c r="AJ13" i="7"/>
  <c r="AI13" i="7"/>
  <c r="AH13" i="7"/>
  <c r="AG13" i="7"/>
  <c r="AF13" i="7"/>
  <c r="AE13" i="7"/>
  <c r="AD13" i="7"/>
  <c r="AC13" i="7"/>
  <c r="AB13" i="7"/>
  <c r="AA13" i="7"/>
  <c r="Z13" i="7"/>
  <c r="Y13" i="7"/>
  <c r="X13" i="7"/>
  <c r="W13" i="7"/>
  <c r="V13" i="7"/>
  <c r="U13" i="7"/>
  <c r="T13" i="7"/>
  <c r="S13" i="7"/>
  <c r="R13" i="7"/>
  <c r="Q13" i="7"/>
  <c r="P13" i="7"/>
  <c r="O13" i="7"/>
  <c r="N13" i="7"/>
  <c r="M13" i="7"/>
  <c r="L13" i="7"/>
  <c r="K13" i="7"/>
  <c r="J13" i="7"/>
  <c r="I13" i="7"/>
  <c r="H13" i="7"/>
  <c r="G13" i="7"/>
  <c r="F13" i="7"/>
  <c r="E13" i="7"/>
  <c r="D13" i="7"/>
  <c r="C13" i="7"/>
  <c r="B13" i="7"/>
  <c r="A13" i="7"/>
  <c r="C16" i="6"/>
  <c r="C15" i="6"/>
  <c r="C14" i="6"/>
  <c r="B17" i="21"/>
  <c r="AL17" i="21" s="1"/>
  <c r="AB60" i="3" l="1"/>
  <c r="AJ12" i="14"/>
  <c r="AK12" i="14"/>
  <c r="AG12" i="14"/>
  <c r="C67" i="2"/>
  <c r="AH12" i="14"/>
  <c r="AI12" i="14"/>
  <c r="F60" i="19"/>
  <c r="H12" i="14"/>
  <c r="J12" i="14"/>
  <c r="G12" i="14"/>
  <c r="I12" i="14"/>
  <c r="K12" i="14"/>
  <c r="L12" i="14"/>
  <c r="D60" i="19"/>
  <c r="S12" i="14"/>
  <c r="M12" i="14"/>
  <c r="N12" i="14"/>
  <c r="O12" i="14"/>
  <c r="P12" i="14"/>
  <c r="B60" i="19"/>
  <c r="Q12" i="14"/>
  <c r="C60" i="19"/>
  <c r="R12" i="14"/>
  <c r="T12" i="14"/>
  <c r="X12" i="14"/>
  <c r="Y12" i="14"/>
  <c r="Z12" i="14"/>
  <c r="AC12" i="14"/>
  <c r="AD12" i="14"/>
  <c r="C12" i="14"/>
  <c r="AE12" i="14"/>
  <c r="W12" i="14"/>
  <c r="B12" i="14"/>
  <c r="D12" i="14"/>
  <c r="AF12" i="14"/>
  <c r="U12" i="14"/>
  <c r="V12" i="14"/>
  <c r="E12" i="14"/>
  <c r="AA12" i="14"/>
  <c r="F12" i="14"/>
  <c r="T31" i="7"/>
  <c r="U31" i="7"/>
  <c r="D15" i="28"/>
  <c r="AN19" i="20"/>
  <c r="E18" i="27"/>
  <c r="B30" i="19"/>
  <c r="F18" i="27"/>
  <c r="AC13" i="14"/>
  <c r="AE13" i="14"/>
  <c r="AB13" i="14"/>
  <c r="I13" i="14"/>
  <c r="H13" i="14"/>
  <c r="AD13" i="14"/>
  <c r="AA13" i="14"/>
  <c r="G13" i="14"/>
  <c r="F13" i="14"/>
  <c r="E13" i="14"/>
  <c r="Z13" i="14"/>
  <c r="C13" i="14"/>
  <c r="V13" i="14"/>
  <c r="T13" i="14"/>
  <c r="S13" i="14"/>
  <c r="R13" i="14"/>
  <c r="Q13" i="14"/>
  <c r="P13" i="14"/>
  <c r="AK13" i="14"/>
  <c r="O13" i="14"/>
  <c r="AJ13" i="14"/>
  <c r="N13" i="14"/>
  <c r="AI13" i="14"/>
  <c r="M13" i="14"/>
  <c r="AH13" i="14"/>
  <c r="L13" i="14"/>
  <c r="AG13" i="14"/>
  <c r="K13" i="14"/>
  <c r="D13" i="14"/>
  <c r="Y13" i="14"/>
  <c r="X13" i="14"/>
  <c r="B13" i="14"/>
  <c r="W13" i="14"/>
  <c r="U13" i="14"/>
  <c r="AF13" i="14"/>
  <c r="K32" i="7"/>
  <c r="K6" i="15" s="1"/>
  <c r="K10" i="17" s="1"/>
  <c r="P32" i="7"/>
  <c r="P6" i="15" s="1"/>
  <c r="P10" i="17" s="1"/>
  <c r="L32" i="7"/>
  <c r="L6" i="15" s="1"/>
  <c r="L10" i="17" s="1"/>
  <c r="Q32" i="7"/>
  <c r="Q6" i="15" s="1"/>
  <c r="Q10" i="17" s="1"/>
  <c r="M32" i="7"/>
  <c r="M6" i="15" s="1"/>
  <c r="M10" i="17" s="1"/>
  <c r="R31" i="7"/>
  <c r="R32" i="7"/>
  <c r="R6" i="15" s="1"/>
  <c r="R10" i="17" s="1"/>
  <c r="N32" i="7"/>
  <c r="N6" i="15" s="1"/>
  <c r="N10" i="17" s="1"/>
  <c r="AL10" i="17" s="1"/>
  <c r="J28" i="7"/>
  <c r="J5" i="15" s="1"/>
  <c r="J3" i="15" s="1"/>
  <c r="AF28" i="7"/>
  <c r="AF5" i="15" s="1"/>
  <c r="AF3" i="15" s="1"/>
  <c r="X32" i="7"/>
  <c r="X6" i="15" s="1"/>
  <c r="X10" i="17" s="1"/>
  <c r="AG28" i="7"/>
  <c r="AG5" i="15" s="1"/>
  <c r="AG3" i="15" s="1"/>
  <c r="C32" i="7"/>
  <c r="C6" i="15" s="1"/>
  <c r="C10" i="17" s="1"/>
  <c r="L28" i="7"/>
  <c r="L5" i="15" s="1"/>
  <c r="L3" i="15" s="1"/>
  <c r="Q28" i="7"/>
  <c r="Q5" i="15" s="1"/>
  <c r="Q3" i="15" s="1"/>
  <c r="Z32" i="7"/>
  <c r="Z6" i="15" s="1"/>
  <c r="Z10" i="17" s="1"/>
  <c r="AM10" i="17" s="1"/>
  <c r="M28" i="7"/>
  <c r="M5" i="15" s="1"/>
  <c r="M3" i="15" s="1"/>
  <c r="Q31" i="7"/>
  <c r="V31" i="7"/>
  <c r="W32" i="7"/>
  <c r="W6" i="15" s="1"/>
  <c r="W10" i="17" s="1"/>
  <c r="S28" i="7"/>
  <c r="S5" i="15" s="1"/>
  <c r="S3" i="15" s="1"/>
  <c r="K28" i="7"/>
  <c r="K5" i="15" s="1"/>
  <c r="K3" i="15" s="1"/>
  <c r="P28" i="7"/>
  <c r="P5" i="15" s="1"/>
  <c r="P3" i="15" s="1"/>
  <c r="Y32" i="7"/>
  <c r="Y6" i="15" s="1"/>
  <c r="Y10" i="17" s="1"/>
  <c r="AH28" i="7"/>
  <c r="AH5" i="15" s="1"/>
  <c r="AH3" i="15" s="1"/>
  <c r="D32" i="7"/>
  <c r="D6" i="15" s="1"/>
  <c r="D10" i="17" s="1"/>
  <c r="AI28" i="7"/>
  <c r="AI5" i="15" s="1"/>
  <c r="AI3" i="15" s="1"/>
  <c r="S31" i="7"/>
  <c r="O32" i="7"/>
  <c r="O6" i="15" s="1"/>
  <c r="O10" i="17" s="1"/>
  <c r="B32" i="7"/>
  <c r="B6" i="15" s="1"/>
  <c r="B10" i="17" s="1"/>
  <c r="R28" i="7"/>
  <c r="R5" i="15" s="1"/>
  <c r="R3" i="15" s="1"/>
  <c r="E32" i="7"/>
  <c r="E6" i="15" s="1"/>
  <c r="E10" i="17" s="1"/>
  <c r="AA32" i="7"/>
  <c r="AA6" i="15" s="1"/>
  <c r="AA10" i="17" s="1"/>
  <c r="F32" i="7"/>
  <c r="F6" i="15" s="1"/>
  <c r="F10" i="17" s="1"/>
  <c r="AB32" i="7"/>
  <c r="AB6" i="15" s="1"/>
  <c r="AB10" i="17" s="1"/>
  <c r="G32" i="7"/>
  <c r="G6" i="15" s="1"/>
  <c r="G10" i="17" s="1"/>
  <c r="AC32" i="7"/>
  <c r="AC6" i="15" s="1"/>
  <c r="AC10" i="17" s="1"/>
  <c r="H32" i="7"/>
  <c r="H6" i="15" s="1"/>
  <c r="H10" i="17" s="1"/>
  <c r="AD32" i="7"/>
  <c r="AD6" i="15" s="1"/>
  <c r="AD10" i="17" s="1"/>
  <c r="I32" i="7"/>
  <c r="I6" i="15" s="1"/>
  <c r="I10" i="17" s="1"/>
  <c r="AE32" i="7"/>
  <c r="AE6" i="15" s="1"/>
  <c r="AE10" i="17" s="1"/>
  <c r="J32" i="7"/>
  <c r="J6" i="15" s="1"/>
  <c r="J10" i="17" s="1"/>
  <c r="AF32" i="7"/>
  <c r="AF6" i="15" s="1"/>
  <c r="AF10" i="17" s="1"/>
  <c r="W31" i="7"/>
  <c r="B28" i="7"/>
  <c r="B5" i="15" s="1"/>
  <c r="X31" i="7"/>
  <c r="Y31" i="7"/>
  <c r="Z31" i="7"/>
  <c r="S32" i="7"/>
  <c r="S6" i="15" s="1"/>
  <c r="S10" i="17" s="1"/>
  <c r="AA31" i="7"/>
  <c r="AB31" i="7"/>
  <c r="AC31" i="7"/>
  <c r="AD31" i="7"/>
  <c r="C31" i="7"/>
  <c r="AE31" i="7"/>
  <c r="D31" i="7"/>
  <c r="AF31" i="7"/>
  <c r="K31" i="7"/>
  <c r="AG31" i="7"/>
  <c r="T32" i="7"/>
  <c r="T6" i="15" s="1"/>
  <c r="T10" i="17" s="1"/>
  <c r="E31" i="7"/>
  <c r="L31" i="7"/>
  <c r="AH31" i="7"/>
  <c r="U32" i="7"/>
  <c r="U6" i="15" s="1"/>
  <c r="U10" i="17" s="1"/>
  <c r="F31" i="7"/>
  <c r="AG32" i="7"/>
  <c r="AG6" i="15" s="1"/>
  <c r="AG10" i="17" s="1"/>
  <c r="M31" i="7"/>
  <c r="AI31" i="7"/>
  <c r="V32" i="7"/>
  <c r="V6" i="15" s="1"/>
  <c r="V10" i="17" s="1"/>
  <c r="G31" i="7"/>
  <c r="AH32" i="7"/>
  <c r="AH6" i="15" s="1"/>
  <c r="AH10" i="17" s="1"/>
  <c r="N28" i="7"/>
  <c r="N5" i="15" s="1"/>
  <c r="N3" i="15" s="1"/>
  <c r="N31" i="7"/>
  <c r="AJ28" i="7"/>
  <c r="AJ5" i="15" s="1"/>
  <c r="AJ3" i="15" s="1"/>
  <c r="AJ31" i="7"/>
  <c r="H31" i="7"/>
  <c r="AI32" i="7"/>
  <c r="AI6" i="15" s="1"/>
  <c r="AI10" i="17" s="1"/>
  <c r="O28" i="7"/>
  <c r="O5" i="15" s="1"/>
  <c r="O3" i="15" s="1"/>
  <c r="O31" i="7"/>
  <c r="AK28" i="7"/>
  <c r="AK5" i="15" s="1"/>
  <c r="AK3" i="15" s="1"/>
  <c r="AK31" i="7"/>
  <c r="X28" i="7"/>
  <c r="X5" i="15" s="1"/>
  <c r="X3" i="15" s="1"/>
  <c r="T28" i="7"/>
  <c r="T5" i="15" s="1"/>
  <c r="T3" i="15" s="1"/>
  <c r="I31" i="7"/>
  <c r="AJ32" i="7"/>
  <c r="AJ6" i="15" s="1"/>
  <c r="AJ10" i="17" s="1"/>
  <c r="P31" i="7"/>
  <c r="C28" i="7"/>
  <c r="C5" i="15" s="1"/>
  <c r="C3" i="15" s="1"/>
  <c r="Y28" i="7"/>
  <c r="Y5" i="15" s="1"/>
  <c r="Y3" i="15" s="1"/>
  <c r="U28" i="7"/>
  <c r="U5" i="15" s="1"/>
  <c r="U3" i="15" s="1"/>
  <c r="J31" i="7"/>
  <c r="AK32" i="7"/>
  <c r="AK6" i="15" s="1"/>
  <c r="AK10" i="17" s="1"/>
  <c r="AN10" i="17" s="1"/>
  <c r="D28" i="7"/>
  <c r="D5" i="15" s="1"/>
  <c r="D3" i="15" s="1"/>
  <c r="Z28" i="7"/>
  <c r="Z5" i="15" s="1"/>
  <c r="Z3" i="15" s="1"/>
  <c r="V28" i="7"/>
  <c r="V5" i="15" s="1"/>
  <c r="V3" i="15" s="1"/>
  <c r="E28" i="7"/>
  <c r="E5" i="15" s="1"/>
  <c r="E3" i="15" s="1"/>
  <c r="AA28" i="7"/>
  <c r="AA5" i="15" s="1"/>
  <c r="AA3" i="15" s="1"/>
  <c r="W28" i="7"/>
  <c r="W5" i="15" s="1"/>
  <c r="W3" i="15" s="1"/>
  <c r="F28" i="7"/>
  <c r="F5" i="15" s="1"/>
  <c r="F3" i="15" s="1"/>
  <c r="AB28" i="7"/>
  <c r="AB5" i="15" s="1"/>
  <c r="AB3" i="15" s="1"/>
  <c r="G28" i="7"/>
  <c r="G5" i="15" s="1"/>
  <c r="G3" i="15" s="1"/>
  <c r="AC28" i="7"/>
  <c r="AC5" i="15" s="1"/>
  <c r="AC3" i="15" s="1"/>
  <c r="H28" i="7"/>
  <c r="H5" i="15" s="1"/>
  <c r="H3" i="15" s="1"/>
  <c r="AD28" i="7"/>
  <c r="AD5" i="15" s="1"/>
  <c r="AD3" i="15" s="1"/>
  <c r="I28" i="7"/>
  <c r="I5" i="15" s="1"/>
  <c r="I3" i="15" s="1"/>
  <c r="AE28" i="7"/>
  <c r="AE5" i="15" s="1"/>
  <c r="AE3" i="15" s="1"/>
  <c r="C11" i="15"/>
  <c r="D11" i="15"/>
  <c r="E11" i="15"/>
  <c r="F11" i="15"/>
  <c r="G11" i="15"/>
  <c r="H11" i="15"/>
  <c r="I11" i="15"/>
  <c r="J11" i="15"/>
  <c r="K11" i="15"/>
  <c r="L11" i="15"/>
  <c r="M11" i="15"/>
  <c r="N11" i="15"/>
  <c r="O11" i="15"/>
  <c r="P11" i="15"/>
  <c r="Q11" i="15"/>
  <c r="R11" i="15"/>
  <c r="S11" i="15"/>
  <c r="T11" i="15"/>
  <c r="U11" i="15"/>
  <c r="V11" i="15"/>
  <c r="W11" i="15"/>
  <c r="X11" i="15"/>
  <c r="Y11" i="15"/>
  <c r="Z11" i="15"/>
  <c r="AA11" i="15"/>
  <c r="AB11" i="15"/>
  <c r="AC11" i="15"/>
  <c r="AD11" i="15"/>
  <c r="AE11" i="15"/>
  <c r="AF11" i="15"/>
  <c r="AG11" i="15"/>
  <c r="AH11" i="15"/>
  <c r="AI11" i="15"/>
  <c r="AJ11" i="15"/>
  <c r="AK11" i="15"/>
  <c r="B11" i="15"/>
  <c r="C21" i="2"/>
  <c r="B15" i="22"/>
  <c r="AL3" i="18"/>
  <c r="AL3" i="17"/>
  <c r="B5" i="10"/>
  <c r="B6" i="16"/>
  <c r="AL6" i="16" s="1"/>
  <c r="C4" i="16"/>
  <c r="D4" i="16"/>
  <c r="E4" i="16"/>
  <c r="F4" i="16"/>
  <c r="G4" i="16"/>
  <c r="H4" i="16"/>
  <c r="I4" i="16"/>
  <c r="J4" i="16"/>
  <c r="K4" i="16"/>
  <c r="L4" i="16"/>
  <c r="M4" i="16"/>
  <c r="N4" i="16"/>
  <c r="O4" i="16"/>
  <c r="P4" i="16"/>
  <c r="Q4" i="16"/>
  <c r="R4" i="16"/>
  <c r="S4" i="16"/>
  <c r="T4" i="16"/>
  <c r="U4" i="16"/>
  <c r="V4" i="16"/>
  <c r="W4" i="16"/>
  <c r="X4" i="16"/>
  <c r="Y4" i="16"/>
  <c r="Z4" i="16"/>
  <c r="AA4" i="16"/>
  <c r="AB4" i="16"/>
  <c r="AC4" i="16"/>
  <c r="AD4" i="16"/>
  <c r="AE4" i="16"/>
  <c r="AF4" i="16"/>
  <c r="AG4" i="16"/>
  <c r="AH4" i="16"/>
  <c r="AI4" i="16"/>
  <c r="AJ4" i="16"/>
  <c r="AK4" i="16"/>
  <c r="B4" i="16"/>
  <c r="B16" i="5"/>
  <c r="H7" i="9"/>
  <c r="C8" i="7"/>
  <c r="C50" i="2" s="1"/>
  <c r="E7" i="7"/>
  <c r="E6" i="7"/>
  <c r="E5" i="7"/>
  <c r="E4" i="7"/>
  <c r="E3" i="7"/>
  <c r="B3" i="13"/>
  <c r="AL3" i="13" s="1"/>
  <c r="C5" i="6"/>
  <c r="A1" i="23" a="1"/>
  <c r="A1" i="21" a="1"/>
  <c r="A1" i="21" s="1"/>
  <c r="A1" i="20" a="1"/>
  <c r="A1" i="18" a="1"/>
  <c r="A1" i="17" a="1"/>
  <c r="A1" i="17" s="1"/>
  <c r="A1" i="16" a="1"/>
  <c r="A1" i="16" s="1"/>
  <c r="A1" i="15" a="1"/>
  <c r="A1" i="14" a="1"/>
  <c r="A1" i="14" s="1"/>
  <c r="A1" i="13" a="1"/>
  <c r="A1" i="13" s="1"/>
  <c r="AK60" i="3" l="1"/>
  <c r="AK85" i="3"/>
  <c r="AJ85" i="3"/>
  <c r="AJ60" i="3"/>
  <c r="AE85" i="3"/>
  <c r="AE60" i="3"/>
  <c r="J85" i="3"/>
  <c r="J60" i="3"/>
  <c r="C60" i="3"/>
  <c r="C85" i="3"/>
  <c r="H85" i="3"/>
  <c r="H60" i="3"/>
  <c r="AD85" i="3"/>
  <c r="AD60" i="3"/>
  <c r="AC85" i="3"/>
  <c r="AC60" i="3"/>
  <c r="AI85" i="3"/>
  <c r="AI60" i="3"/>
  <c r="Z60" i="3"/>
  <c r="Z85" i="3"/>
  <c r="AH85" i="3"/>
  <c r="AH60" i="3"/>
  <c r="Y85" i="3"/>
  <c r="Y60" i="3"/>
  <c r="X60" i="3"/>
  <c r="X85" i="3"/>
  <c r="AG85" i="3"/>
  <c r="AG60" i="3"/>
  <c r="T60" i="3"/>
  <c r="T85" i="3"/>
  <c r="R60" i="3"/>
  <c r="R85" i="3"/>
  <c r="Q60" i="3"/>
  <c r="Q85" i="3"/>
  <c r="P60" i="3"/>
  <c r="P85" i="3"/>
  <c r="F60" i="3"/>
  <c r="F85" i="3"/>
  <c r="O60" i="3"/>
  <c r="O85" i="3"/>
  <c r="AA60" i="3"/>
  <c r="AA85" i="3"/>
  <c r="N60" i="3"/>
  <c r="N85" i="3"/>
  <c r="E60" i="3"/>
  <c r="E85" i="3"/>
  <c r="M60" i="3"/>
  <c r="M85" i="3"/>
  <c r="V60" i="3"/>
  <c r="V85" i="3"/>
  <c r="S60" i="3"/>
  <c r="S85" i="3"/>
  <c r="U60" i="3"/>
  <c r="U85" i="3"/>
  <c r="AF85" i="3"/>
  <c r="AF60" i="3"/>
  <c r="L60" i="3"/>
  <c r="L85" i="3"/>
  <c r="D60" i="3"/>
  <c r="D85" i="3"/>
  <c r="K85" i="3"/>
  <c r="K60" i="3"/>
  <c r="B85" i="3"/>
  <c r="B60" i="3"/>
  <c r="I85" i="3"/>
  <c r="I60" i="3"/>
  <c r="W60" i="3"/>
  <c r="W85" i="3"/>
  <c r="G60" i="3"/>
  <c r="G85" i="3"/>
  <c r="Z4" i="18"/>
  <c r="Z11" i="23" s="1"/>
  <c r="D4" i="18"/>
  <c r="D11" i="23" s="1"/>
  <c r="X4" i="18"/>
  <c r="X11" i="23" s="1"/>
  <c r="V4" i="18"/>
  <c r="U4" i="18"/>
  <c r="U11" i="23" s="1"/>
  <c r="T4" i="18"/>
  <c r="T11" i="23" s="1"/>
  <c r="AK4" i="18"/>
  <c r="AK11" i="23" s="1"/>
  <c r="O4" i="18"/>
  <c r="O11" i="23" s="1"/>
  <c r="AJ4" i="18"/>
  <c r="AJ11" i="23" s="1"/>
  <c r="N4" i="18"/>
  <c r="AH4" i="18"/>
  <c r="L4" i="18"/>
  <c r="L11" i="23" s="1"/>
  <c r="AG4" i="18"/>
  <c r="AG11" i="23" s="1"/>
  <c r="K4" i="18"/>
  <c r="K11" i="23" s="1"/>
  <c r="I4" i="18"/>
  <c r="I11" i="23" s="1"/>
  <c r="H4" i="18"/>
  <c r="H11" i="23" s="1"/>
  <c r="G4" i="18"/>
  <c r="G11" i="23" s="1"/>
  <c r="AB4" i="18"/>
  <c r="AB11" i="23" s="1"/>
  <c r="F4" i="18"/>
  <c r="F11" i="23" s="1"/>
  <c r="Y4" i="18"/>
  <c r="Y11" i="23" s="1"/>
  <c r="C4" i="18"/>
  <c r="C11" i="23" s="1"/>
  <c r="B4" i="18"/>
  <c r="W4" i="18"/>
  <c r="W11" i="23" s="1"/>
  <c r="S4" i="18"/>
  <c r="S11" i="23" s="1"/>
  <c r="R4" i="18"/>
  <c r="R11" i="23" s="1"/>
  <c r="Q4" i="18"/>
  <c r="Q11" i="23" s="1"/>
  <c r="P4" i="18"/>
  <c r="P11" i="23" s="1"/>
  <c r="AI4" i="18"/>
  <c r="AI11" i="23" s="1"/>
  <c r="M4" i="18"/>
  <c r="AF4" i="18"/>
  <c r="AF11" i="23" s="1"/>
  <c r="J4" i="18"/>
  <c r="J11" i="23" s="1"/>
  <c r="AE4" i="18"/>
  <c r="AE11" i="23" s="1"/>
  <c r="AD4" i="18"/>
  <c r="AD11" i="23" s="1"/>
  <c r="AC4" i="18"/>
  <c r="AC11" i="23" s="1"/>
  <c r="AA4" i="18"/>
  <c r="AA11" i="23" s="1"/>
  <c r="E4" i="18"/>
  <c r="E11" i="23" s="1"/>
  <c r="A1" i="23"/>
  <c r="F13" i="23"/>
  <c r="AB13" i="23"/>
  <c r="H13" i="23"/>
  <c r="J13" i="23"/>
  <c r="K13" i="23"/>
  <c r="Q13" i="23"/>
  <c r="R13" i="23"/>
  <c r="T13" i="23"/>
  <c r="U13" i="23"/>
  <c r="W13" i="23"/>
  <c r="X13" i="23"/>
  <c r="C13" i="23"/>
  <c r="Z13" i="23"/>
  <c r="E13" i="23"/>
  <c r="G13" i="23"/>
  <c r="AC13" i="23"/>
  <c r="AD13" i="23"/>
  <c r="I13" i="23"/>
  <c r="AE13" i="23"/>
  <c r="AF13" i="23"/>
  <c r="AG13" i="23"/>
  <c r="L13" i="23"/>
  <c r="AH13" i="23"/>
  <c r="M13" i="23"/>
  <c r="AI13" i="23"/>
  <c r="N13" i="23"/>
  <c r="AJ13" i="23"/>
  <c r="O13" i="23"/>
  <c r="AK13" i="23"/>
  <c r="P13" i="23"/>
  <c r="B13" i="23"/>
  <c r="S13" i="23"/>
  <c r="V13" i="23"/>
  <c r="Y13" i="23"/>
  <c r="D13" i="23"/>
  <c r="AA13" i="23"/>
  <c r="Q33" i="7"/>
  <c r="Q3" i="16" s="1"/>
  <c r="O33" i="7"/>
  <c r="O3" i="16" s="1"/>
  <c r="N33" i="7"/>
  <c r="N3" i="16" s="1"/>
  <c r="R33" i="7"/>
  <c r="R3" i="16" s="1"/>
  <c r="P33" i="7"/>
  <c r="P3" i="16" s="1"/>
  <c r="K33" i="7"/>
  <c r="K3" i="16" s="1"/>
  <c r="R8" i="15"/>
  <c r="C53" i="2"/>
  <c r="B5" i="17"/>
  <c r="C47" i="2"/>
  <c r="A1" i="20"/>
  <c r="B22" i="20" a="1"/>
  <c r="B22" i="20" s="1"/>
  <c r="B23" i="20" a="1"/>
  <c r="B23" i="20" s="1"/>
  <c r="AJ8" i="23"/>
  <c r="W8" i="23"/>
  <c r="AD8" i="23"/>
  <c r="AC8" i="23"/>
  <c r="U8" i="23"/>
  <c r="J8" i="23"/>
  <c r="AE8" i="23"/>
  <c r="I8" i="23"/>
  <c r="T8" i="23"/>
  <c r="H8" i="23"/>
  <c r="Z8" i="23"/>
  <c r="G8" i="23"/>
  <c r="AB8" i="23"/>
  <c r="AI8" i="23"/>
  <c r="F8" i="23"/>
  <c r="C8" i="23"/>
  <c r="C33" i="7"/>
  <c r="C3" i="16" s="1"/>
  <c r="AA8" i="23"/>
  <c r="E8" i="23"/>
  <c r="X8" i="23"/>
  <c r="B8" i="23"/>
  <c r="N8" i="23"/>
  <c r="AH8" i="23"/>
  <c r="S8" i="23"/>
  <c r="O8" i="23"/>
  <c r="R8" i="23"/>
  <c r="AK8" i="23"/>
  <c r="V8" i="23"/>
  <c r="M8" i="23"/>
  <c r="D8" i="23"/>
  <c r="Q8" i="23"/>
  <c r="M33" i="7"/>
  <c r="M3" i="16" s="1"/>
  <c r="L8" i="23"/>
  <c r="AG8" i="23"/>
  <c r="Y8" i="23"/>
  <c r="P8" i="23"/>
  <c r="AF8" i="23"/>
  <c r="K8" i="23"/>
  <c r="B33" i="7"/>
  <c r="B3" i="16" s="1"/>
  <c r="L33" i="7"/>
  <c r="L3" i="16" s="1"/>
  <c r="H33" i="7"/>
  <c r="H3" i="16" s="1"/>
  <c r="X33" i="7"/>
  <c r="X3" i="16" s="1"/>
  <c r="E33" i="7"/>
  <c r="E3" i="16" s="1"/>
  <c r="AD33" i="7"/>
  <c r="AD3" i="16" s="1"/>
  <c r="D33" i="7"/>
  <c r="D3" i="16" s="1"/>
  <c r="Y33" i="7"/>
  <c r="Y3" i="16" s="1"/>
  <c r="J33" i="7"/>
  <c r="J3" i="16" s="1"/>
  <c r="W33" i="7"/>
  <c r="W3" i="16" s="1"/>
  <c r="G33" i="7"/>
  <c r="G3" i="16" s="1"/>
  <c r="Z33" i="7"/>
  <c r="Z3" i="16" s="1"/>
  <c r="F33" i="7"/>
  <c r="F3" i="16" s="1"/>
  <c r="V33" i="7"/>
  <c r="V3" i="16" s="1"/>
  <c r="T33" i="7"/>
  <c r="T3" i="16" s="1"/>
  <c r="AH33" i="7"/>
  <c r="AH3" i="16" s="1"/>
  <c r="S33" i="7"/>
  <c r="S3" i="16" s="1"/>
  <c r="I33" i="7"/>
  <c r="I3" i="16" s="1"/>
  <c r="AF33" i="7"/>
  <c r="AF3" i="16" s="1"/>
  <c r="AE33" i="7"/>
  <c r="AE3" i="16" s="1"/>
  <c r="AK33" i="7"/>
  <c r="AK3" i="16" s="1"/>
  <c r="AC33" i="7"/>
  <c r="AC3" i="16" s="1"/>
  <c r="AB33" i="7"/>
  <c r="AB3" i="16" s="1"/>
  <c r="AA33" i="7"/>
  <c r="AA3" i="16" s="1"/>
  <c r="U33" i="7"/>
  <c r="U3" i="16" s="1"/>
  <c r="AG33" i="7"/>
  <c r="AG3" i="16" s="1"/>
  <c r="AJ33" i="7"/>
  <c r="AJ3" i="16" s="1"/>
  <c r="AI33" i="7"/>
  <c r="AI3" i="16" s="1"/>
  <c r="A1" i="15"/>
  <c r="AA10" i="15"/>
  <c r="E10" i="15"/>
  <c r="Z10" i="15"/>
  <c r="D10" i="15"/>
  <c r="Y10" i="15"/>
  <c r="C10" i="15"/>
  <c r="X10" i="15"/>
  <c r="B10" i="15"/>
  <c r="W10" i="15"/>
  <c r="V10" i="15"/>
  <c r="U10" i="15"/>
  <c r="T10" i="15"/>
  <c r="S10" i="15"/>
  <c r="R10" i="15"/>
  <c r="Q10" i="15"/>
  <c r="P10" i="15"/>
  <c r="AK10" i="15"/>
  <c r="O10" i="15"/>
  <c r="AJ10" i="15"/>
  <c r="N10" i="15"/>
  <c r="AI10" i="15"/>
  <c r="M10" i="15"/>
  <c r="AH10" i="15"/>
  <c r="L10" i="15"/>
  <c r="AG10" i="15"/>
  <c r="K10" i="15"/>
  <c r="AF10" i="15"/>
  <c r="J10" i="15"/>
  <c r="AE10" i="15"/>
  <c r="I10" i="15"/>
  <c r="AD10" i="15"/>
  <c r="H10" i="15"/>
  <c r="AC10" i="15"/>
  <c r="G10" i="15"/>
  <c r="AB10" i="15"/>
  <c r="F10" i="15"/>
  <c r="E8" i="7"/>
  <c r="AE8" i="15"/>
  <c r="AB8" i="15"/>
  <c r="AA8" i="15"/>
  <c r="J8" i="15"/>
  <c r="I8" i="15"/>
  <c r="H8" i="15"/>
  <c r="G8" i="15"/>
  <c r="AM4" i="16"/>
  <c r="F8" i="15"/>
  <c r="E8" i="15"/>
  <c r="AF8" i="15"/>
  <c r="AD8" i="15"/>
  <c r="AC8" i="15"/>
  <c r="AN4" i="16"/>
  <c r="AL4" i="16"/>
  <c r="Q8" i="15"/>
  <c r="B8" i="15"/>
  <c r="P8" i="15"/>
  <c r="AK8" i="15"/>
  <c r="O8" i="15"/>
  <c r="AJ8" i="15"/>
  <c r="N8" i="15"/>
  <c r="AI8" i="15"/>
  <c r="M8" i="15"/>
  <c r="AH8" i="15"/>
  <c r="L8" i="15"/>
  <c r="A1" i="18"/>
  <c r="R7" i="18"/>
  <c r="R12" i="23" s="1"/>
  <c r="Q7" i="18"/>
  <c r="Q12" i="23" s="1"/>
  <c r="P7" i="18"/>
  <c r="P12" i="23" s="1"/>
  <c r="AK7" i="18"/>
  <c r="AK12" i="23" s="1"/>
  <c r="O7" i="18"/>
  <c r="O12" i="23" s="1"/>
  <c r="AJ7" i="18"/>
  <c r="AJ12" i="23" s="1"/>
  <c r="N7" i="18"/>
  <c r="N12" i="23" s="1"/>
  <c r="AI7" i="18"/>
  <c r="AI12" i="23" s="1"/>
  <c r="M7" i="18"/>
  <c r="M12" i="23" s="1"/>
  <c r="AH7" i="18"/>
  <c r="AH12" i="23" s="1"/>
  <c r="L7" i="18"/>
  <c r="L12" i="23" s="1"/>
  <c r="AG7" i="18"/>
  <c r="AG12" i="23" s="1"/>
  <c r="K7" i="18"/>
  <c r="K12" i="23" s="1"/>
  <c r="AF7" i="18"/>
  <c r="AF12" i="23" s="1"/>
  <c r="J7" i="18"/>
  <c r="J12" i="23" s="1"/>
  <c r="AE7" i="18"/>
  <c r="AE12" i="23" s="1"/>
  <c r="I7" i="18"/>
  <c r="I12" i="23" s="1"/>
  <c r="AD7" i="18"/>
  <c r="AD12" i="23" s="1"/>
  <c r="H7" i="18"/>
  <c r="H12" i="23" s="1"/>
  <c r="AC7" i="18"/>
  <c r="AC12" i="23" s="1"/>
  <c r="G7" i="18"/>
  <c r="G12" i="23" s="1"/>
  <c r="AB7" i="18"/>
  <c r="AB12" i="23" s="1"/>
  <c r="F7" i="18"/>
  <c r="F12" i="23" s="1"/>
  <c r="AA7" i="18"/>
  <c r="AA12" i="23" s="1"/>
  <c r="E7" i="18"/>
  <c r="E12" i="23" s="1"/>
  <c r="Z7" i="18"/>
  <c r="Z12" i="23" s="1"/>
  <c r="D7" i="18"/>
  <c r="D12" i="23" s="1"/>
  <c r="Y7" i="18"/>
  <c r="Y12" i="23" s="1"/>
  <c r="C7" i="18"/>
  <c r="C15" i="22" s="1"/>
  <c r="X7" i="18"/>
  <c r="X12" i="23" s="1"/>
  <c r="B7" i="18"/>
  <c r="B12" i="23" s="1"/>
  <c r="W7" i="18"/>
  <c r="W12" i="23" s="1"/>
  <c r="V7" i="18"/>
  <c r="V12" i="23" s="1"/>
  <c r="U7" i="18"/>
  <c r="U12" i="23" s="1"/>
  <c r="T7" i="18"/>
  <c r="T12" i="23" s="1"/>
  <c r="S7" i="18"/>
  <c r="S12" i="23" s="1"/>
  <c r="AG8" i="15"/>
  <c r="K8" i="15"/>
  <c r="B7" i="16"/>
  <c r="B9" i="21" s="1"/>
  <c r="B4" i="23" s="1"/>
  <c r="Z8" i="15"/>
  <c r="D8" i="15"/>
  <c r="Y8" i="15"/>
  <c r="C8" i="15"/>
  <c r="X8" i="15"/>
  <c r="W8" i="15"/>
  <c r="V8" i="15"/>
  <c r="U8" i="15"/>
  <c r="T8" i="15"/>
  <c r="S8" i="15"/>
  <c r="N11" i="23"/>
  <c r="M11" i="23"/>
  <c r="B9" i="15"/>
  <c r="AN4" i="15"/>
  <c r="AL4" i="15"/>
  <c r="AM11" i="15"/>
  <c r="AN11" i="15"/>
  <c r="AL11" i="15"/>
  <c r="AM4" i="15"/>
  <c r="B5" i="13"/>
  <c r="AH11" i="23"/>
  <c r="D15" i="22" l="1"/>
  <c r="E15" i="22" s="1"/>
  <c r="F15" i="22" s="1"/>
  <c r="G15" i="22"/>
  <c r="H15" i="22" s="1"/>
  <c r="I15" i="22" s="1"/>
  <c r="J15" i="22" s="1"/>
  <c r="K15" i="22" s="1"/>
  <c r="L15" i="22" s="1"/>
  <c r="M15" i="22" s="1"/>
  <c r="N15" i="22" s="1"/>
  <c r="O15" i="22" s="1"/>
  <c r="P15" i="22" s="1"/>
  <c r="Q15" i="22" s="1"/>
  <c r="R15" i="22" s="1"/>
  <c r="S15" i="22" s="1"/>
  <c r="T15" i="22" s="1"/>
  <c r="U15" i="22" s="1"/>
  <c r="V15" i="22" s="1"/>
  <c r="W15" i="22" s="1"/>
  <c r="X15" i="22" s="1"/>
  <c r="Y15" i="22" s="1"/>
  <c r="Z15" i="22" s="1"/>
  <c r="AA15" i="22" s="1"/>
  <c r="AB15" i="22" s="1"/>
  <c r="AC15" i="22" s="1"/>
  <c r="AD15" i="22" s="1"/>
  <c r="AE15" i="22" s="1"/>
  <c r="AF15" i="22" s="1"/>
  <c r="AG15" i="22" s="1"/>
  <c r="AH15" i="22" s="1"/>
  <c r="AI15" i="22" s="1"/>
  <c r="AJ15" i="22" s="1"/>
  <c r="AK15" i="22" s="1"/>
  <c r="AN8" i="23"/>
  <c r="AM8" i="23"/>
  <c r="AL8" i="23"/>
  <c r="B4" i="13"/>
  <c r="D8" i="7"/>
  <c r="AM8" i="15"/>
  <c r="AL8" i="15"/>
  <c r="AN8" i="15"/>
  <c r="AN11" i="23"/>
  <c r="B12" i="15"/>
  <c r="C9" i="15"/>
  <c r="C12" i="15" s="1"/>
  <c r="C12" i="23"/>
  <c r="AL12" i="23" s="1"/>
  <c r="B6" i="13"/>
  <c r="AM12" i="23"/>
  <c r="AN12" i="23"/>
  <c r="AM7" i="18"/>
  <c r="AN7" i="18"/>
  <c r="AL7" i="18"/>
  <c r="B5" i="18"/>
  <c r="B11" i="23"/>
  <c r="AL11" i="23" s="1"/>
  <c r="AM4" i="18"/>
  <c r="V11" i="23"/>
  <c r="AM11" i="23" s="1"/>
  <c r="AN4" i="18"/>
  <c r="AL4" i="18"/>
  <c r="B7" i="13" l="1"/>
  <c r="B8" i="13" s="1"/>
  <c r="C4" i="13"/>
  <c r="D9" i="15"/>
  <c r="C3" i="18"/>
  <c r="C5" i="18" s="1"/>
  <c r="B6" i="18"/>
  <c r="B11" i="21" s="1"/>
  <c r="B62" i="3" l="1"/>
  <c r="B61" i="3"/>
  <c r="B86" i="3"/>
  <c r="B87" i="3"/>
  <c r="B7" i="15"/>
  <c r="B8" i="17" s="1"/>
  <c r="B9" i="22" s="1"/>
  <c r="B3" i="14"/>
  <c r="B28" i="3" s="1"/>
  <c r="B9" i="14"/>
  <c r="B10" i="14" s="1"/>
  <c r="B14" i="14"/>
  <c r="B15" i="14" s="1"/>
  <c r="B4" i="17" s="1"/>
  <c r="B6" i="17" s="1"/>
  <c r="C3" i="13"/>
  <c r="C5" i="13" s="1"/>
  <c r="C6" i="13" s="1"/>
  <c r="C7" i="13" s="1"/>
  <c r="B9" i="13"/>
  <c r="B8" i="14"/>
  <c r="D12" i="15"/>
  <c r="D4" i="13"/>
  <c r="E9" i="15"/>
  <c r="D3" i="18"/>
  <c r="D5" i="18" s="1"/>
  <c r="C6" i="18"/>
  <c r="C11" i="21" s="1"/>
  <c r="B88" i="3" l="1"/>
  <c r="B63" i="3"/>
  <c r="B17" i="14"/>
  <c r="B6" i="22"/>
  <c r="B17" i="20" s="1"/>
  <c r="B9" i="17"/>
  <c r="B10" i="22" s="1"/>
  <c r="B4" i="20"/>
  <c r="B6" i="14"/>
  <c r="B5" i="21" s="1"/>
  <c r="C3" i="17"/>
  <c r="B4" i="14"/>
  <c r="B5" i="14"/>
  <c r="B4" i="21" s="1"/>
  <c r="B11" i="14"/>
  <c r="B7" i="17" s="1"/>
  <c r="B5" i="22" s="1"/>
  <c r="B9" i="23"/>
  <c r="B16" i="14"/>
  <c r="E12" i="15"/>
  <c r="E4" i="13"/>
  <c r="F9" i="15"/>
  <c r="F4" i="13" s="1"/>
  <c r="C8" i="13"/>
  <c r="D3" i="13"/>
  <c r="D5" i="13" s="1"/>
  <c r="D6" i="13" s="1"/>
  <c r="D7" i="13" s="1"/>
  <c r="D8" i="13" s="1"/>
  <c r="C9" i="13"/>
  <c r="E3" i="18"/>
  <c r="E5" i="18" s="1"/>
  <c r="D6" i="18"/>
  <c r="D11" i="21" s="1"/>
  <c r="C61" i="3" l="1"/>
  <c r="C62" i="3"/>
  <c r="C86" i="3"/>
  <c r="C87" i="3"/>
  <c r="D87" i="3"/>
  <c r="D86" i="3"/>
  <c r="D61" i="3"/>
  <c r="D62" i="3"/>
  <c r="D63" i="3" s="1"/>
  <c r="B20" i="20"/>
  <c r="B27" i="3"/>
  <c r="B29" i="3" s="1"/>
  <c r="B30" i="3" s="1"/>
  <c r="D3" i="14"/>
  <c r="D28" i="3" s="1"/>
  <c r="C3" i="14"/>
  <c r="C28" i="3" s="1"/>
  <c r="C5" i="17"/>
  <c r="B7" i="14"/>
  <c r="B6" i="23"/>
  <c r="B7" i="23"/>
  <c r="G9" i="15"/>
  <c r="F12" i="15"/>
  <c r="C7" i="15"/>
  <c r="C8" i="17" s="1"/>
  <c r="C9" i="22" s="1"/>
  <c r="C14" i="14"/>
  <c r="C15" i="14" s="1"/>
  <c r="C9" i="14"/>
  <c r="C10" i="14" s="1"/>
  <c r="C8" i="14"/>
  <c r="B5" i="23"/>
  <c r="D7" i="15"/>
  <c r="D8" i="17" s="1"/>
  <c r="D9" i="22" s="1"/>
  <c r="D14" i="14"/>
  <c r="E6" i="18"/>
  <c r="E11" i="21" s="1"/>
  <c r="F3" i="18"/>
  <c r="F5" i="18" s="1"/>
  <c r="D8" i="14"/>
  <c r="D9" i="14"/>
  <c r="E3" i="13"/>
  <c r="E5" i="13" s="1"/>
  <c r="D9" i="13"/>
  <c r="C88" i="3" l="1"/>
  <c r="D88" i="3"/>
  <c r="C63" i="3"/>
  <c r="D6" i="14"/>
  <c r="D5" i="21" s="1"/>
  <c r="C6" i="14"/>
  <c r="C5" i="21" s="1"/>
  <c r="C9" i="17"/>
  <c r="C10" i="22" s="1"/>
  <c r="C4" i="20"/>
  <c r="G12" i="15"/>
  <c r="G4" i="13"/>
  <c r="H9" i="15"/>
  <c r="C11" i="14"/>
  <c r="C7" i="17" s="1"/>
  <c r="C5" i="22" s="1"/>
  <c r="C16" i="14"/>
  <c r="C4" i="17"/>
  <c r="C6" i="17" s="1"/>
  <c r="C4" i="14"/>
  <c r="C5" i="14"/>
  <c r="E6" i="13"/>
  <c r="D15" i="14"/>
  <c r="G3" i="18"/>
  <c r="G5" i="18" s="1"/>
  <c r="F6" i="18"/>
  <c r="F11" i="21" s="1"/>
  <c r="D10" i="14"/>
  <c r="D5" i="14"/>
  <c r="D4" i="21" s="1"/>
  <c r="D4" i="14"/>
  <c r="D20" i="20" l="1"/>
  <c r="D27" i="3"/>
  <c r="D29" i="3" s="1"/>
  <c r="D30" i="3" s="1"/>
  <c r="C20" i="20"/>
  <c r="C27" i="3"/>
  <c r="C29" i="3" s="1"/>
  <c r="C30" i="3" s="1"/>
  <c r="C17" i="14"/>
  <c r="C6" i="22"/>
  <c r="C17" i="20" s="1"/>
  <c r="D9" i="17"/>
  <c r="D10" i="22" s="1"/>
  <c r="D4" i="20"/>
  <c r="C7" i="23"/>
  <c r="B5" i="20"/>
  <c r="B18" i="14"/>
  <c r="B3" i="21" s="1"/>
  <c r="H12" i="15"/>
  <c r="H4" i="13"/>
  <c r="I9" i="15"/>
  <c r="C4" i="21"/>
  <c r="C7" i="14"/>
  <c r="D3" i="17"/>
  <c r="C9" i="23"/>
  <c r="D16" i="14"/>
  <c r="D4" i="17"/>
  <c r="E7" i="13"/>
  <c r="H3" i="18"/>
  <c r="H5" i="18" s="1"/>
  <c r="G6" i="18"/>
  <c r="G11" i="21" s="1"/>
  <c r="D11" i="14"/>
  <c r="D7" i="17" s="1"/>
  <c r="D5" i="22" s="1"/>
  <c r="D7" i="14"/>
  <c r="B6" i="21" l="1"/>
  <c r="B21" i="20" s="1"/>
  <c r="D5" i="17"/>
  <c r="D6" i="17" s="1"/>
  <c r="I12" i="15"/>
  <c r="I4" i="13"/>
  <c r="J9" i="15"/>
  <c r="C6" i="23"/>
  <c r="D7" i="23"/>
  <c r="D6" i="23"/>
  <c r="E8" i="13"/>
  <c r="E9" i="13"/>
  <c r="F3" i="13"/>
  <c r="F5" i="13" s="1"/>
  <c r="I3" i="18"/>
  <c r="I5" i="18" s="1"/>
  <c r="H6" i="18"/>
  <c r="H11" i="21" s="1"/>
  <c r="E86" i="3" l="1"/>
  <c r="E87" i="3"/>
  <c r="E62" i="3"/>
  <c r="E61" i="3"/>
  <c r="E3" i="17"/>
  <c r="E5" i="17" s="1"/>
  <c r="D6" i="22"/>
  <c r="D17" i="20" s="1"/>
  <c r="E3" i="14"/>
  <c r="E28" i="3" s="1"/>
  <c r="D17" i="14"/>
  <c r="B6" i="20"/>
  <c r="B10" i="20"/>
  <c r="J12" i="15"/>
  <c r="J4" i="13"/>
  <c r="J3" i="18"/>
  <c r="J5" i="18" s="1"/>
  <c r="K9" i="15"/>
  <c r="K4" i="13" s="1"/>
  <c r="D9" i="23"/>
  <c r="C5" i="23"/>
  <c r="I6" i="18"/>
  <c r="I11" i="21" s="1"/>
  <c r="E7" i="15"/>
  <c r="E8" i="17" s="1"/>
  <c r="E9" i="22" s="1"/>
  <c r="E14" i="14"/>
  <c r="E9" i="14"/>
  <c r="E10" i="14" s="1"/>
  <c r="E8" i="14"/>
  <c r="F6" i="13"/>
  <c r="E63" i="3" l="1"/>
  <c r="E88" i="3"/>
  <c r="E6" i="14"/>
  <c r="E5" i="21" s="1"/>
  <c r="E9" i="17"/>
  <c r="E10" i="22" s="1"/>
  <c r="E4" i="20"/>
  <c r="B8" i="20"/>
  <c r="B7" i="20"/>
  <c r="B9" i="20" s="1"/>
  <c r="C5" i="20"/>
  <c r="C22" i="20" s="1" a="1"/>
  <c r="C22" i="20" s="1"/>
  <c r="C18" i="14"/>
  <c r="L9" i="15"/>
  <c r="K12" i="15"/>
  <c r="F7" i="13"/>
  <c r="E11" i="14"/>
  <c r="E7" i="17" s="1"/>
  <c r="E5" i="22" s="1"/>
  <c r="E4" i="14"/>
  <c r="E5" i="14"/>
  <c r="E4" i="21" s="1"/>
  <c r="E15" i="14"/>
  <c r="K3" i="18"/>
  <c r="K5" i="18" s="1"/>
  <c r="J6" i="18"/>
  <c r="J11" i="21" s="1"/>
  <c r="E20" i="20" l="1"/>
  <c r="E27" i="3"/>
  <c r="E29" i="3" s="1"/>
  <c r="E30" i="3" s="1"/>
  <c r="C3" i="20"/>
  <c r="C3" i="21"/>
  <c r="L12" i="15"/>
  <c r="L4" i="13"/>
  <c r="M9" i="15"/>
  <c r="M4" i="13" s="1"/>
  <c r="E7" i="23"/>
  <c r="E16" i="14"/>
  <c r="E4" i="17"/>
  <c r="E7" i="14"/>
  <c r="F9" i="13"/>
  <c r="G3" i="13"/>
  <c r="F8" i="13"/>
  <c r="F86" i="3" l="1"/>
  <c r="F87" i="3"/>
  <c r="F62" i="3"/>
  <c r="F61" i="3"/>
  <c r="F3" i="14"/>
  <c r="F28" i="3" s="1"/>
  <c r="C6" i="21"/>
  <c r="C21" i="20" s="1"/>
  <c r="AL15" i="22"/>
  <c r="N9" i="15"/>
  <c r="N4" i="13" s="1"/>
  <c r="M12" i="15"/>
  <c r="D5" i="23"/>
  <c r="E6" i="23"/>
  <c r="E6" i="17"/>
  <c r="F7" i="15"/>
  <c r="F8" i="17" s="1"/>
  <c r="F9" i="22" s="1"/>
  <c r="F14" i="14"/>
  <c r="F9" i="14"/>
  <c r="F10" i="14" s="1"/>
  <c r="F8" i="14"/>
  <c r="G5" i="13"/>
  <c r="L3" i="18"/>
  <c r="L5" i="18" s="1"/>
  <c r="K6" i="18"/>
  <c r="K11" i="21" s="1"/>
  <c r="F63" i="3" l="1"/>
  <c r="F88" i="3"/>
  <c r="E17" i="14"/>
  <c r="E6" i="22"/>
  <c r="E17" i="20" s="1"/>
  <c r="F6" i="14"/>
  <c r="F5" i="21" s="1"/>
  <c r="F9" i="17"/>
  <c r="F10" i="22" s="1"/>
  <c r="F4" i="20"/>
  <c r="C6" i="20"/>
  <c r="C10" i="20"/>
  <c r="D5" i="20"/>
  <c r="D22" i="20" s="1" a="1"/>
  <c r="D22" i="20" s="1"/>
  <c r="D18" i="14"/>
  <c r="O9" i="15"/>
  <c r="O4" i="13" s="1"/>
  <c r="N12" i="15"/>
  <c r="E9" i="23"/>
  <c r="F4" i="14"/>
  <c r="F5" i="14"/>
  <c r="F4" i="21" s="1"/>
  <c r="G6" i="13"/>
  <c r="F11" i="14"/>
  <c r="F7" i="17" s="1"/>
  <c r="F5" i="22" s="1"/>
  <c r="F15" i="14"/>
  <c r="F3" i="17"/>
  <c r="L6" i="18"/>
  <c r="L11" i="21" s="1"/>
  <c r="M3" i="18"/>
  <c r="F20" i="20" l="1"/>
  <c r="F27" i="3"/>
  <c r="F29" i="3" s="1"/>
  <c r="F30" i="3" s="1"/>
  <c r="D3" i="20"/>
  <c r="D3" i="21"/>
  <c r="C8" i="20"/>
  <c r="C7" i="20"/>
  <c r="C9" i="20" s="1"/>
  <c r="P9" i="15"/>
  <c r="O12" i="15"/>
  <c r="F7" i="23"/>
  <c r="F16" i="14"/>
  <c r="F4" i="17"/>
  <c r="G7" i="13"/>
  <c r="F5" i="17"/>
  <c r="F7" i="14"/>
  <c r="M5" i="18"/>
  <c r="D6" i="21" l="1"/>
  <c r="D21" i="20" s="1"/>
  <c r="P12" i="15"/>
  <c r="P4" i="13"/>
  <c r="F6" i="17"/>
  <c r="Q9" i="15"/>
  <c r="Q4" i="13" s="1"/>
  <c r="F6" i="23"/>
  <c r="AL5" i="18"/>
  <c r="G8" i="13"/>
  <c r="H3" i="13"/>
  <c r="G9" i="13"/>
  <c r="N3" i="18"/>
  <c r="M6" i="18"/>
  <c r="M11" i="21" s="1"/>
  <c r="G87" i="3" l="1"/>
  <c r="G62" i="3"/>
  <c r="G61" i="3"/>
  <c r="G86" i="3"/>
  <c r="F17" i="14"/>
  <c r="F6" i="22"/>
  <c r="F17" i="20" s="1"/>
  <c r="G3" i="14"/>
  <c r="G28" i="3" s="1"/>
  <c r="D10" i="20"/>
  <c r="D6" i="20"/>
  <c r="G3" i="17"/>
  <c r="F9" i="23"/>
  <c r="R9" i="15"/>
  <c r="Q12" i="15"/>
  <c r="E5" i="23"/>
  <c r="H5" i="13"/>
  <c r="G7" i="15"/>
  <c r="G8" i="17" s="1"/>
  <c r="G9" i="22" s="1"/>
  <c r="G14" i="14"/>
  <c r="G8" i="14"/>
  <c r="G9" i="14"/>
  <c r="G10" i="14" s="1"/>
  <c r="AM3" i="18"/>
  <c r="N5" i="18"/>
  <c r="G63" i="3" l="1"/>
  <c r="G88" i="3"/>
  <c r="G6" i="14"/>
  <c r="G5" i="21" s="1"/>
  <c r="G9" i="17"/>
  <c r="G10" i="22" s="1"/>
  <c r="G4" i="20"/>
  <c r="G5" i="17"/>
  <c r="D8" i="20"/>
  <c r="D7" i="20"/>
  <c r="D9" i="20" s="1"/>
  <c r="E18" i="14"/>
  <c r="E5" i="20"/>
  <c r="E22" i="20" s="1" a="1"/>
  <c r="E22" i="20" s="1"/>
  <c r="R12" i="15"/>
  <c r="R4" i="13"/>
  <c r="S9" i="15"/>
  <c r="S4" i="13" s="1"/>
  <c r="F5" i="23"/>
  <c r="N6" i="18"/>
  <c r="N11" i="21" s="1"/>
  <c r="O3" i="18"/>
  <c r="O5" i="18" s="1"/>
  <c r="G4" i="14"/>
  <c r="G5" i="14"/>
  <c r="G4" i="21" s="1"/>
  <c r="G11" i="14"/>
  <c r="G7" i="17" s="1"/>
  <c r="G5" i="22" s="1"/>
  <c r="G15" i="14"/>
  <c r="H6" i="13"/>
  <c r="H7" i="13" s="1"/>
  <c r="G20" i="20" l="1"/>
  <c r="G27" i="3"/>
  <c r="G29" i="3" s="1"/>
  <c r="G30" i="3" s="1"/>
  <c r="E3" i="21"/>
  <c r="E3" i="20"/>
  <c r="T9" i="15"/>
  <c r="T4" i="13" s="1"/>
  <c r="S12" i="15"/>
  <c r="G7" i="23"/>
  <c r="G4" i="17"/>
  <c r="G6" i="17" s="1"/>
  <c r="G16" i="14"/>
  <c r="H9" i="13"/>
  <c r="I3" i="13"/>
  <c r="H8" i="13"/>
  <c r="G7" i="14"/>
  <c r="O6" i="18"/>
  <c r="O11" i="21" s="1"/>
  <c r="P3" i="18"/>
  <c r="P5" i="18" s="1"/>
  <c r="H62" i="3" l="1"/>
  <c r="H61" i="3"/>
  <c r="H86" i="3"/>
  <c r="H87" i="3"/>
  <c r="G17" i="14"/>
  <c r="G6" i="22"/>
  <c r="G17" i="20" s="1"/>
  <c r="H3" i="14"/>
  <c r="H28" i="3" s="1"/>
  <c r="F18" i="14"/>
  <c r="F5" i="20"/>
  <c r="F22" i="20" s="1" a="1"/>
  <c r="F22" i="20" s="1"/>
  <c r="E6" i="21"/>
  <c r="E21" i="20" s="1"/>
  <c r="U9" i="15"/>
  <c r="T12" i="15"/>
  <c r="G6" i="23"/>
  <c r="G9" i="23"/>
  <c r="I5" i="13"/>
  <c r="I6" i="13" s="1"/>
  <c r="H3" i="17"/>
  <c r="H7" i="15"/>
  <c r="H8" i="17" s="1"/>
  <c r="H9" i="22" s="1"/>
  <c r="H14" i="14"/>
  <c r="H15" i="14" s="1"/>
  <c r="H8" i="14"/>
  <c r="H9" i="14"/>
  <c r="H10" i="14" s="1"/>
  <c r="H63" i="3" l="1"/>
  <c r="H88" i="3"/>
  <c r="H6" i="14"/>
  <c r="H5" i="21" s="1"/>
  <c r="H9" i="17"/>
  <c r="H10" i="22" s="1"/>
  <c r="H4" i="20"/>
  <c r="E6" i="20"/>
  <c r="E10" i="20"/>
  <c r="F3" i="21"/>
  <c r="F3" i="20"/>
  <c r="U12" i="15"/>
  <c r="U4" i="13"/>
  <c r="V9" i="15"/>
  <c r="V4" i="13" s="1"/>
  <c r="I7" i="13"/>
  <c r="I8" i="13" s="1"/>
  <c r="H16" i="14"/>
  <c r="H4" i="17"/>
  <c r="H11" i="14"/>
  <c r="H7" i="17" s="1"/>
  <c r="H5" i="22" s="1"/>
  <c r="H4" i="14"/>
  <c r="H5" i="14"/>
  <c r="H4" i="21" s="1"/>
  <c r="H5" i="17"/>
  <c r="P6" i="18"/>
  <c r="P11" i="21" s="1"/>
  <c r="Q3" i="18"/>
  <c r="Q5" i="18" s="1"/>
  <c r="I62" i="3" l="1"/>
  <c r="I61" i="3"/>
  <c r="I86" i="3"/>
  <c r="I87" i="3"/>
  <c r="H20" i="20"/>
  <c r="H27" i="3"/>
  <c r="H29" i="3" s="1"/>
  <c r="H30" i="3" s="1"/>
  <c r="I3" i="14"/>
  <c r="I28" i="3" s="1"/>
  <c r="E8" i="20"/>
  <c r="E7" i="20"/>
  <c r="E9" i="20" s="1"/>
  <c r="F6" i="21"/>
  <c r="F21" i="20" s="1"/>
  <c r="W9" i="15"/>
  <c r="W4" i="13" s="1"/>
  <c r="V12" i="15"/>
  <c r="J3" i="13"/>
  <c r="J5" i="13" s="1"/>
  <c r="J6" i="13" s="1"/>
  <c r="I9" i="13"/>
  <c r="H7" i="23"/>
  <c r="H6" i="17"/>
  <c r="I7" i="15"/>
  <c r="I8" i="17" s="1"/>
  <c r="I9" i="22" s="1"/>
  <c r="I14" i="14"/>
  <c r="I15" i="14" s="1"/>
  <c r="I9" i="14"/>
  <c r="I10" i="14" s="1"/>
  <c r="I8" i="14"/>
  <c r="H7" i="14"/>
  <c r="I88" i="3" l="1"/>
  <c r="I63" i="3"/>
  <c r="H17" i="14"/>
  <c r="H6" i="22"/>
  <c r="H17" i="20" s="1"/>
  <c r="I6" i="14"/>
  <c r="I5" i="21" s="1"/>
  <c r="I9" i="17"/>
  <c r="I10" i="22" s="1"/>
  <c r="I4" i="20"/>
  <c r="I3" i="17"/>
  <c r="I5" i="17" s="1"/>
  <c r="F10" i="20"/>
  <c r="F6" i="20"/>
  <c r="X9" i="15"/>
  <c r="W12" i="15"/>
  <c r="H6" i="23"/>
  <c r="G5" i="23"/>
  <c r="H9" i="23"/>
  <c r="I11" i="14"/>
  <c r="I7" i="17" s="1"/>
  <c r="I5" i="22" s="1"/>
  <c r="J7" i="13"/>
  <c r="I4" i="14"/>
  <c r="I5" i="14"/>
  <c r="I4" i="21" s="1"/>
  <c r="I16" i="14"/>
  <c r="I4" i="17"/>
  <c r="Q6" i="18"/>
  <c r="Q11" i="21" s="1"/>
  <c r="R3" i="18"/>
  <c r="R5" i="18" s="1"/>
  <c r="I20" i="20" l="1"/>
  <c r="I27" i="3"/>
  <c r="I29" i="3" s="1"/>
  <c r="I30" i="3" s="1"/>
  <c r="G18" i="14"/>
  <c r="G5" i="20"/>
  <c r="F8" i="20"/>
  <c r="F7" i="20"/>
  <c r="F9" i="20" s="1"/>
  <c r="X12" i="15"/>
  <c r="X4" i="13"/>
  <c r="Y9" i="15"/>
  <c r="I6" i="17"/>
  <c r="I7" i="23"/>
  <c r="J9" i="13"/>
  <c r="K3" i="13"/>
  <c r="J8" i="13"/>
  <c r="I7" i="14"/>
  <c r="J62" i="3" l="1"/>
  <c r="J61" i="3"/>
  <c r="J87" i="3"/>
  <c r="J86" i="3"/>
  <c r="I6" i="22"/>
  <c r="I17" i="20" s="1"/>
  <c r="J3" i="14"/>
  <c r="J28" i="3" s="1"/>
  <c r="G22" i="20" a="1"/>
  <c r="G22" i="20" s="1"/>
  <c r="I17" i="14"/>
  <c r="G3" i="21"/>
  <c r="G3" i="20"/>
  <c r="Y12" i="15"/>
  <c r="Y4" i="13"/>
  <c r="AM15" i="22"/>
  <c r="Z9" i="15"/>
  <c r="I9" i="23"/>
  <c r="J3" i="17"/>
  <c r="I6" i="23"/>
  <c r="J7" i="15"/>
  <c r="J8" i="17" s="1"/>
  <c r="J9" i="22" s="1"/>
  <c r="J14" i="14"/>
  <c r="J15" i="14" s="1"/>
  <c r="J8" i="14"/>
  <c r="J9" i="14"/>
  <c r="J10" i="14" s="1"/>
  <c r="K5" i="13"/>
  <c r="K6" i="13" s="1"/>
  <c r="R6" i="18"/>
  <c r="R11" i="21" s="1"/>
  <c r="S3" i="18"/>
  <c r="S5" i="18" s="1"/>
  <c r="J88" i="3" l="1"/>
  <c r="J63" i="3"/>
  <c r="J6" i="14"/>
  <c r="J5" i="21" s="1"/>
  <c r="J9" i="17"/>
  <c r="J10" i="22" s="1"/>
  <c r="J4" i="20"/>
  <c r="J5" i="17"/>
  <c r="G6" i="21"/>
  <c r="G21" i="20" s="1"/>
  <c r="H5" i="20"/>
  <c r="H22" i="20" s="1" a="1"/>
  <c r="H22" i="20" s="1"/>
  <c r="H18" i="14"/>
  <c r="Z12" i="15"/>
  <c r="Z4" i="13"/>
  <c r="AA9" i="15"/>
  <c r="K7" i="13"/>
  <c r="K8" i="13" s="1"/>
  <c r="H5" i="23"/>
  <c r="J11" i="14"/>
  <c r="J7" i="17" s="1"/>
  <c r="J5" i="22" s="1"/>
  <c r="J16" i="14"/>
  <c r="J4" i="17"/>
  <c r="J4" i="14"/>
  <c r="J5" i="14"/>
  <c r="J4" i="21" s="1"/>
  <c r="S6" i="18"/>
  <c r="S11" i="21" s="1"/>
  <c r="T3" i="18"/>
  <c r="T5" i="18" s="1"/>
  <c r="K61" i="3" l="1"/>
  <c r="K62" i="3"/>
  <c r="K87" i="3"/>
  <c r="K86" i="3"/>
  <c r="J20" i="20"/>
  <c r="J27" i="3"/>
  <c r="J29" i="3" s="1"/>
  <c r="J30" i="3" s="1"/>
  <c r="K3" i="14"/>
  <c r="K28" i="3" s="1"/>
  <c r="J6" i="17"/>
  <c r="I5" i="20"/>
  <c r="I22" i="20" s="1" a="1"/>
  <c r="I22" i="20" s="1"/>
  <c r="I18" i="14"/>
  <c r="I3" i="20" s="1"/>
  <c r="H3" i="21"/>
  <c r="H3" i="20"/>
  <c r="G10" i="20"/>
  <c r="G6" i="20"/>
  <c r="AA12" i="15"/>
  <c r="AA4" i="13"/>
  <c r="AB9" i="15"/>
  <c r="K9" i="13"/>
  <c r="L3" i="13"/>
  <c r="L5" i="13" s="1"/>
  <c r="L6" i="13" s="1"/>
  <c r="J7" i="23"/>
  <c r="J7" i="14"/>
  <c r="K7" i="15"/>
  <c r="K8" i="17" s="1"/>
  <c r="K9" i="22" s="1"/>
  <c r="K14" i="14"/>
  <c r="K15" i="14" s="1"/>
  <c r="K8" i="14"/>
  <c r="K9" i="14"/>
  <c r="K10" i="14" s="1"/>
  <c r="T6" i="18"/>
  <c r="T11" i="21" s="1"/>
  <c r="U3" i="18"/>
  <c r="U5" i="18" s="1"/>
  <c r="K88" i="3" l="1"/>
  <c r="K63" i="3"/>
  <c r="J17" i="14"/>
  <c r="J6" i="22"/>
  <c r="J17" i="20" s="1"/>
  <c r="K6" i="14"/>
  <c r="K5" i="21" s="1"/>
  <c r="K9" i="17"/>
  <c r="K10" i="22" s="1"/>
  <c r="K4" i="20"/>
  <c r="K3" i="17"/>
  <c r="K5" i="17" s="1"/>
  <c r="J9" i="23"/>
  <c r="I3" i="21"/>
  <c r="G8" i="20"/>
  <c r="G7" i="20"/>
  <c r="G9" i="20" s="1"/>
  <c r="H6" i="21"/>
  <c r="H21" i="20" s="1"/>
  <c r="AB12" i="15"/>
  <c r="AB4" i="13"/>
  <c r="AC9" i="15"/>
  <c r="AC4" i="13" s="1"/>
  <c r="I5" i="23"/>
  <c r="J6" i="23"/>
  <c r="L7" i="13"/>
  <c r="L9" i="13" s="1"/>
  <c r="K4" i="14"/>
  <c r="K5" i="14"/>
  <c r="K4" i="21" s="1"/>
  <c r="K11" i="14"/>
  <c r="K7" i="17" s="1"/>
  <c r="K5" i="22" s="1"/>
  <c r="K16" i="14"/>
  <c r="K4" i="17"/>
  <c r="U6" i="18"/>
  <c r="U11" i="21" s="1"/>
  <c r="V3" i="18"/>
  <c r="V5" i="18" s="1"/>
  <c r="K20" i="20" l="1"/>
  <c r="K27" i="3"/>
  <c r="K29" i="3" s="1"/>
  <c r="K30" i="3" s="1"/>
  <c r="I6" i="21"/>
  <c r="I21" i="20" s="1"/>
  <c r="H10" i="20"/>
  <c r="H6" i="20"/>
  <c r="AD9" i="15"/>
  <c r="AD4" i="13" s="1"/>
  <c r="AC12" i="15"/>
  <c r="M3" i="13"/>
  <c r="L8" i="13"/>
  <c r="K6" i="17"/>
  <c r="K7" i="23"/>
  <c r="K7" i="14"/>
  <c r="V6" i="18"/>
  <c r="V11" i="21" s="1"/>
  <c r="W3" i="18"/>
  <c r="W5" i="18" s="1"/>
  <c r="L61" i="3" l="1"/>
  <c r="L62" i="3"/>
  <c r="L87" i="3"/>
  <c r="L86" i="3"/>
  <c r="K17" i="14"/>
  <c r="K6" i="22"/>
  <c r="K17" i="20" s="1"/>
  <c r="I6" i="20"/>
  <c r="I8" i="20" s="1"/>
  <c r="I10" i="20"/>
  <c r="L9" i="14"/>
  <c r="L10" i="14" s="1"/>
  <c r="L3" i="14"/>
  <c r="L28" i="3" s="1"/>
  <c r="H8" i="20"/>
  <c r="H7" i="20"/>
  <c r="H9" i="20" s="1"/>
  <c r="AE9" i="15"/>
  <c r="AE4" i="13" s="1"/>
  <c r="AD12" i="15"/>
  <c r="J5" i="23"/>
  <c r="L14" i="14"/>
  <c r="L15" i="14" s="1"/>
  <c r="L4" i="17" s="1"/>
  <c r="M5" i="13"/>
  <c r="M6" i="13" s="1"/>
  <c r="L8" i="14"/>
  <c r="L7" i="15"/>
  <c r="L8" i="17" s="1"/>
  <c r="L9" i="22" s="1"/>
  <c r="L3" i="17"/>
  <c r="K9" i="23"/>
  <c r="K6" i="23"/>
  <c r="W6" i="18"/>
  <c r="W11" i="21" s="1"/>
  <c r="X3" i="18"/>
  <c r="X5" i="18" s="1"/>
  <c r="L63" i="3" l="1"/>
  <c r="L88" i="3"/>
  <c r="I7" i="20"/>
  <c r="I9" i="20" s="1"/>
  <c r="L6" i="14"/>
  <c r="L5" i="21" s="1"/>
  <c r="L9" i="17"/>
  <c r="L4" i="20"/>
  <c r="L5" i="14"/>
  <c r="L4" i="21" s="1"/>
  <c r="L11" i="14"/>
  <c r="L7" i="17" s="1"/>
  <c r="L5" i="22" s="1"/>
  <c r="L5" i="17"/>
  <c r="L6" i="17" s="1"/>
  <c r="K5" i="20"/>
  <c r="J5" i="20"/>
  <c r="J18" i="14"/>
  <c r="AF9" i="15"/>
  <c r="AE12" i="15"/>
  <c r="L16" i="14"/>
  <c r="M7" i="13"/>
  <c r="L4" i="14"/>
  <c r="X6" i="18"/>
  <c r="X11" i="21" s="1"/>
  <c r="Y3" i="18"/>
  <c r="J22" i="20" l="1" a="1"/>
  <c r="J22" i="20" s="1"/>
  <c r="C18" i="25" a="1"/>
  <c r="C18" i="25" s="1"/>
  <c r="L20" i="20"/>
  <c r="L27" i="3"/>
  <c r="L29" i="3" s="1"/>
  <c r="L30" i="3" s="1"/>
  <c r="L9" i="23"/>
  <c r="L6" i="22"/>
  <c r="L7" i="23"/>
  <c r="L10" i="22"/>
  <c r="K22" i="20" a="1"/>
  <c r="K22" i="20" s="1"/>
  <c r="L17" i="14"/>
  <c r="K18" i="14"/>
  <c r="K5" i="23" s="1"/>
  <c r="J3" i="21"/>
  <c r="J3" i="20"/>
  <c r="AF12" i="15"/>
  <c r="AF4" i="13"/>
  <c r="AG9" i="15"/>
  <c r="AG4" i="13" s="1"/>
  <c r="L7" i="14"/>
  <c r="M3" i="17"/>
  <c r="L17" i="20"/>
  <c r="M8" i="13"/>
  <c r="AL7" i="13"/>
  <c r="AL8" i="13" s="1"/>
  <c r="M9" i="13"/>
  <c r="N3" i="13"/>
  <c r="L6" i="23"/>
  <c r="Y5" i="18"/>
  <c r="Z3" i="18" s="1"/>
  <c r="I28" i="27" l="1"/>
  <c r="M62" i="3"/>
  <c r="M86" i="3"/>
  <c r="M61" i="3"/>
  <c r="M87" i="3"/>
  <c r="M3" i="14"/>
  <c r="M28" i="3" s="1"/>
  <c r="K3" i="21"/>
  <c r="K3" i="20"/>
  <c r="J6" i="21"/>
  <c r="J21" i="20" s="1"/>
  <c r="M5" i="17"/>
  <c r="AH9" i="15"/>
  <c r="AH4" i="13" s="1"/>
  <c r="AG12" i="15"/>
  <c r="AL10" i="15"/>
  <c r="AM10" i="15"/>
  <c r="AM3" i="13"/>
  <c r="N5" i="13"/>
  <c r="N6" i="13" s="1"/>
  <c r="M7" i="15"/>
  <c r="M8" i="17" s="1"/>
  <c r="M9" i="22" s="1"/>
  <c r="AL9" i="22" s="1"/>
  <c r="M14" i="14"/>
  <c r="M15" i="14" s="1"/>
  <c r="M8" i="14"/>
  <c r="M9" i="14"/>
  <c r="M10" i="14" s="1"/>
  <c r="M4" i="20" s="1"/>
  <c r="AM5" i="18"/>
  <c r="Y6" i="18"/>
  <c r="Y11" i="21" s="1"/>
  <c r="AN3" i="18"/>
  <c r="Z5" i="18"/>
  <c r="M88" i="3" l="1"/>
  <c r="M63" i="3"/>
  <c r="AL4" i="20"/>
  <c r="B15" i="19" a="1"/>
  <c r="B15" i="19" s="1"/>
  <c r="M6" i="14"/>
  <c r="M5" i="21" s="1"/>
  <c r="K6" i="21"/>
  <c r="K10" i="20" s="1"/>
  <c r="J10" i="20"/>
  <c r="J6" i="20"/>
  <c r="M9" i="17"/>
  <c r="AI9" i="15"/>
  <c r="AH12" i="15"/>
  <c r="AL12" i="15"/>
  <c r="AM12" i="15"/>
  <c r="N7" i="13"/>
  <c r="N8" i="13" s="1"/>
  <c r="M4" i="14"/>
  <c r="M5" i="14"/>
  <c r="M11" i="14"/>
  <c r="M7" i="17" s="1"/>
  <c r="M5" i="22" s="1"/>
  <c r="AL5" i="22" s="1"/>
  <c r="M16" i="14"/>
  <c r="M4" i="17"/>
  <c r="M6" i="17" s="1"/>
  <c r="AA3" i="18"/>
  <c r="AA5" i="18" s="1"/>
  <c r="Z6" i="18"/>
  <c r="Z11" i="21" s="1"/>
  <c r="N86" i="3" l="1"/>
  <c r="N61" i="3"/>
  <c r="N87" i="3"/>
  <c r="N62" i="3"/>
  <c r="M17" i="14"/>
  <c r="M6" i="22"/>
  <c r="AL6" i="22" s="1"/>
  <c r="M20" i="20"/>
  <c r="AL20" i="20" s="1"/>
  <c r="M27" i="3"/>
  <c r="M29" i="3" s="1"/>
  <c r="M30" i="3" s="1"/>
  <c r="AL9" i="17"/>
  <c r="M10" i="22"/>
  <c r="AL10" i="22" s="1"/>
  <c r="K6" i="20"/>
  <c r="K21" i="20"/>
  <c r="N3" i="14"/>
  <c r="N28" i="3" s="1"/>
  <c r="J8" i="20"/>
  <c r="J7" i="20"/>
  <c r="J9" i="20" s="1"/>
  <c r="M7" i="23"/>
  <c r="AI12" i="15"/>
  <c r="AI4" i="13"/>
  <c r="AJ9" i="15"/>
  <c r="M9" i="23"/>
  <c r="O3" i="13"/>
  <c r="O5" i="13" s="1"/>
  <c r="N9" i="13"/>
  <c r="L5" i="23"/>
  <c r="N3" i="17"/>
  <c r="AL6" i="17"/>
  <c r="M4" i="21"/>
  <c r="M7" i="14"/>
  <c r="N7" i="15"/>
  <c r="N8" i="17" s="1"/>
  <c r="N9" i="22" s="1"/>
  <c r="N14" i="14"/>
  <c r="N8" i="14"/>
  <c r="N9" i="14"/>
  <c r="N10" i="14" s="1"/>
  <c r="N63" i="3" l="1"/>
  <c r="N88" i="3"/>
  <c r="K8" i="20"/>
  <c r="K7" i="20"/>
  <c r="K9" i="20" s="1"/>
  <c r="N6" i="14"/>
  <c r="N5" i="21" s="1"/>
  <c r="N9" i="17"/>
  <c r="N10" i="22" s="1"/>
  <c r="N4" i="20"/>
  <c r="AL17" i="20"/>
  <c r="M17" i="20"/>
  <c r="L5" i="20"/>
  <c r="L22" i="20" s="1" a="1"/>
  <c r="L22" i="20" s="1"/>
  <c r="L18" i="14"/>
  <c r="AJ12" i="15"/>
  <c r="AJ4" i="13"/>
  <c r="AL4" i="13"/>
  <c r="AM4" i="13"/>
  <c r="AK9" i="15"/>
  <c r="AK4" i="13" s="1"/>
  <c r="AM3" i="17"/>
  <c r="N5" i="17"/>
  <c r="M6" i="23"/>
  <c r="AL8" i="17"/>
  <c r="O6" i="13"/>
  <c r="O7" i="13" s="1"/>
  <c r="N11" i="14"/>
  <c r="N7" i="17" s="1"/>
  <c r="N5" i="22" s="1"/>
  <c r="N15" i="14"/>
  <c r="N4" i="14"/>
  <c r="N5" i="14"/>
  <c r="N4" i="21" s="1"/>
  <c r="AB3" i="18"/>
  <c r="AB5" i="18" s="1"/>
  <c r="AA6" i="18"/>
  <c r="AA11" i="21" s="1"/>
  <c r="N20" i="20" l="1"/>
  <c r="N27" i="3"/>
  <c r="N29" i="3" s="1"/>
  <c r="N30" i="3" s="1"/>
  <c r="L3" i="21"/>
  <c r="L3" i="20"/>
  <c r="AN4" i="13"/>
  <c r="AN15" i="22"/>
  <c r="N7" i="23"/>
  <c r="N4" i="17"/>
  <c r="N16" i="14"/>
  <c r="N7" i="14"/>
  <c r="O8" i="13"/>
  <c r="P3" i="13"/>
  <c r="O9" i="13"/>
  <c r="O62" i="3" l="1"/>
  <c r="O86" i="3"/>
  <c r="O87" i="3"/>
  <c r="O61" i="3"/>
  <c r="O3" i="14"/>
  <c r="O28" i="3" s="1"/>
  <c r="L6" i="21"/>
  <c r="L21" i="20" s="1"/>
  <c r="AK12" i="15"/>
  <c r="AN10" i="15"/>
  <c r="AL7" i="17"/>
  <c r="M5" i="23"/>
  <c r="N6" i="23"/>
  <c r="O7" i="15"/>
  <c r="O8" i="17" s="1"/>
  <c r="O9" i="22" s="1"/>
  <c r="O14" i="14"/>
  <c r="O9" i="14"/>
  <c r="O10" i="14" s="1"/>
  <c r="O8" i="14"/>
  <c r="N6" i="17"/>
  <c r="P5" i="13"/>
  <c r="AC3" i="18"/>
  <c r="AC5" i="18" s="1"/>
  <c r="AB6" i="18"/>
  <c r="AB11" i="21" s="1"/>
  <c r="O88" i="3" l="1"/>
  <c r="O63" i="3"/>
  <c r="N17" i="14"/>
  <c r="N6" i="22"/>
  <c r="N17" i="20" s="1"/>
  <c r="O6" i="14"/>
  <c r="O5" i="21" s="1"/>
  <c r="O9" i="17"/>
  <c r="O10" i="22" s="1"/>
  <c r="O4" i="20"/>
  <c r="M18" i="14"/>
  <c r="B23" i="19" s="1" a="1"/>
  <c r="B23" i="19" s="1"/>
  <c r="B24" i="19" s="1"/>
  <c r="M5" i="20"/>
  <c r="L6" i="20"/>
  <c r="L10" i="20"/>
  <c r="AN12" i="15"/>
  <c r="N9" i="23"/>
  <c r="O3" i="17"/>
  <c r="P6" i="13"/>
  <c r="O11" i="14"/>
  <c r="O7" i="17" s="1"/>
  <c r="O5" i="22" s="1"/>
  <c r="O4" i="14"/>
  <c r="O5" i="14"/>
  <c r="O4" i="21" s="1"/>
  <c r="O15" i="14"/>
  <c r="C19" i="25" l="1" a="1"/>
  <c r="C19" i="25" s="1"/>
  <c r="B7" i="25" a="1"/>
  <c r="B7" i="25" s="1"/>
  <c r="O20" i="20"/>
  <c r="O27" i="3"/>
  <c r="O29" i="3" s="1"/>
  <c r="O30" i="3" s="1"/>
  <c r="M22" i="20" a="1"/>
  <c r="M22" i="20" s="1"/>
  <c r="AL22" i="20" s="1"/>
  <c r="B14" i="19" a="1"/>
  <c r="B14" i="19" s="1"/>
  <c r="B18" i="19" s="1"/>
  <c r="AL5" i="20"/>
  <c r="L8" i="20"/>
  <c r="L7" i="20"/>
  <c r="L9" i="20" s="1"/>
  <c r="M3" i="20"/>
  <c r="M3" i="21"/>
  <c r="J28" i="27" s="1"/>
  <c r="O7" i="23"/>
  <c r="O4" i="17"/>
  <c r="O16" i="14"/>
  <c r="O7" i="14"/>
  <c r="P7" i="13"/>
  <c r="O5" i="17"/>
  <c r="AD3" i="18"/>
  <c r="AD5" i="18" s="1"/>
  <c r="AC6" i="18"/>
  <c r="AC11" i="21" s="1"/>
  <c r="M6" i="21" l="1"/>
  <c r="M21" i="20" s="1"/>
  <c r="AL21" i="20" s="1"/>
  <c r="O6" i="17"/>
  <c r="N5" i="23"/>
  <c r="O6" i="23"/>
  <c r="P8" i="13"/>
  <c r="P9" i="13"/>
  <c r="Q3" i="13"/>
  <c r="P61" i="3" l="1"/>
  <c r="P62" i="3"/>
  <c r="P86" i="3"/>
  <c r="P87" i="3"/>
  <c r="O17" i="14"/>
  <c r="O6" i="22"/>
  <c r="O17" i="20" s="1"/>
  <c r="P3" i="14"/>
  <c r="P28" i="3" s="1"/>
  <c r="M6" i="20"/>
  <c r="M10" i="20"/>
  <c r="P3" i="17"/>
  <c r="O9" i="23"/>
  <c r="Q5" i="13"/>
  <c r="P7" i="15"/>
  <c r="P8" i="17" s="1"/>
  <c r="P9" i="22" s="1"/>
  <c r="P14" i="14"/>
  <c r="P8" i="14"/>
  <c r="P9" i="14"/>
  <c r="P10" i="14" s="1"/>
  <c r="AE3" i="18"/>
  <c r="AE5" i="18" s="1"/>
  <c r="AD6" i="18"/>
  <c r="AD11" i="21" s="1"/>
  <c r="P88" i="3" l="1"/>
  <c r="P63" i="3"/>
  <c r="P6" i="14"/>
  <c r="P5" i="21" s="1"/>
  <c r="P9" i="17"/>
  <c r="P10" i="22" s="1"/>
  <c r="P4" i="20"/>
  <c r="N18" i="14"/>
  <c r="N5" i="20"/>
  <c r="P5" i="17"/>
  <c r="M8" i="20"/>
  <c r="E13" i="26" s="1"/>
  <c r="M7" i="20"/>
  <c r="P11" i="14"/>
  <c r="P7" i="17" s="1"/>
  <c r="P5" i="22" s="1"/>
  <c r="P15" i="14"/>
  <c r="Q6" i="13"/>
  <c r="P5" i="14"/>
  <c r="P4" i="21" s="1"/>
  <c r="P4" i="14"/>
  <c r="AF3" i="18"/>
  <c r="AF5" i="18" s="1"/>
  <c r="AE6" i="18"/>
  <c r="AE11" i="21" s="1"/>
  <c r="P20" i="20" l="1"/>
  <c r="P27" i="3"/>
  <c r="P29" i="3" s="1"/>
  <c r="P30" i="3" s="1"/>
  <c r="N22" i="20" a="1"/>
  <c r="N22" i="20" s="1"/>
  <c r="AL8" i="20"/>
  <c r="M9" i="20"/>
  <c r="E12" i="26" s="1"/>
  <c r="AL7" i="20"/>
  <c r="N3" i="20"/>
  <c r="N3" i="21"/>
  <c r="P7" i="23"/>
  <c r="P7" i="14"/>
  <c r="Q7" i="13"/>
  <c r="P16" i="14"/>
  <c r="P4" i="17"/>
  <c r="AG3" i="18"/>
  <c r="AG5" i="18" s="1"/>
  <c r="AF6" i="18"/>
  <c r="AF11" i="21" s="1"/>
  <c r="AL9" i="20" l="1"/>
  <c r="N6" i="21"/>
  <c r="N21" i="20" s="1"/>
  <c r="O5" i="23"/>
  <c r="P6" i="23"/>
  <c r="P6" i="17"/>
  <c r="Q8" i="13"/>
  <c r="R3" i="13"/>
  <c r="Q9" i="13"/>
  <c r="AH3" i="18"/>
  <c r="AH5" i="18" s="1"/>
  <c r="AG6" i="18"/>
  <c r="AG11" i="21" s="1"/>
  <c r="Q87" i="3" l="1"/>
  <c r="Q62" i="3"/>
  <c r="Q86" i="3"/>
  <c r="Q61" i="3"/>
  <c r="P17" i="14"/>
  <c r="P6" i="22"/>
  <c r="P17" i="20" s="1"/>
  <c r="Q3" i="14"/>
  <c r="Q28" i="3" s="1"/>
  <c r="N10" i="20"/>
  <c r="N6" i="20"/>
  <c r="O5" i="20"/>
  <c r="O18" i="14"/>
  <c r="P9" i="23"/>
  <c r="R5" i="13"/>
  <c r="Q7" i="15"/>
  <c r="Q8" i="17" s="1"/>
  <c r="Q9" i="22" s="1"/>
  <c r="Q14" i="14"/>
  <c r="Q8" i="14"/>
  <c r="Q9" i="14"/>
  <c r="Q10" i="14" s="1"/>
  <c r="Q3" i="17"/>
  <c r="AH6" i="18"/>
  <c r="AH11" i="21" s="1"/>
  <c r="AI3" i="18"/>
  <c r="AI5" i="18" s="1"/>
  <c r="Q88" i="3" l="1"/>
  <c r="Q63" i="3"/>
  <c r="Q6" i="14"/>
  <c r="Q5" i="21" s="1"/>
  <c r="O22" i="20" a="1"/>
  <c r="O22" i="20" s="1"/>
  <c r="Q9" i="17"/>
  <c r="Q10" i="22" s="1"/>
  <c r="Q4" i="20"/>
  <c r="O3" i="21"/>
  <c r="O3" i="20"/>
  <c r="N8" i="20"/>
  <c r="N7" i="20"/>
  <c r="N9" i="20" s="1"/>
  <c r="Q5" i="17"/>
  <c r="Q11" i="14"/>
  <c r="Q7" i="17" s="1"/>
  <c r="Q5" i="22" s="1"/>
  <c r="Q5" i="14"/>
  <c r="Q4" i="21" s="1"/>
  <c r="Q4" i="14"/>
  <c r="Q15" i="14"/>
  <c r="R6" i="13"/>
  <c r="R7" i="13" s="1"/>
  <c r="AJ3" i="18"/>
  <c r="AJ5" i="18" s="1"/>
  <c r="AI6" i="18"/>
  <c r="AI11" i="21" s="1"/>
  <c r="Q20" i="20" l="1"/>
  <c r="Q27" i="3"/>
  <c r="Q29" i="3" s="1"/>
  <c r="Q30" i="3" s="1"/>
  <c r="O6" i="21"/>
  <c r="O21" i="20" s="1"/>
  <c r="Q7" i="23"/>
  <c r="R8" i="13"/>
  <c r="R9" i="13"/>
  <c r="S3" i="13"/>
  <c r="Q4" i="17"/>
  <c r="Q16" i="14"/>
  <c r="Q7" i="14"/>
  <c r="AJ6" i="18"/>
  <c r="AJ11" i="21" s="1"/>
  <c r="AK3" i="18"/>
  <c r="AK5" i="18" s="1"/>
  <c r="R62" i="3" l="1"/>
  <c r="R61" i="3"/>
  <c r="R87" i="3"/>
  <c r="R86" i="3"/>
  <c r="R3" i="14"/>
  <c r="R28" i="3" s="1"/>
  <c r="O6" i="20"/>
  <c r="O10" i="20"/>
  <c r="Q6" i="23"/>
  <c r="P5" i="23"/>
  <c r="Q6" i="17"/>
  <c r="S5" i="13"/>
  <c r="S6" i="13" s="1"/>
  <c r="R7" i="15"/>
  <c r="R8" i="17" s="1"/>
  <c r="R9" i="22" s="1"/>
  <c r="R14" i="14"/>
  <c r="R9" i="14"/>
  <c r="R10" i="14" s="1"/>
  <c r="R8" i="14"/>
  <c r="R88" i="3" l="1"/>
  <c r="R63" i="3"/>
  <c r="Q17" i="14"/>
  <c r="Q6" i="22"/>
  <c r="Q17" i="20" s="1"/>
  <c r="R6" i="14"/>
  <c r="R5" i="21" s="1"/>
  <c r="R9" i="17"/>
  <c r="R10" i="22" s="1"/>
  <c r="R4" i="20"/>
  <c r="P5" i="20"/>
  <c r="C20" i="25" s="1" a="1"/>
  <c r="C20" i="25" s="1"/>
  <c r="P18" i="14"/>
  <c r="O8" i="20"/>
  <c r="O7" i="20"/>
  <c r="O9" i="20" s="1"/>
  <c r="S7" i="13"/>
  <c r="T3" i="13" s="1"/>
  <c r="Q9" i="23"/>
  <c r="R5" i="14"/>
  <c r="R4" i="21" s="1"/>
  <c r="R4" i="14"/>
  <c r="R11" i="14"/>
  <c r="R7" i="17" s="1"/>
  <c r="R5" i="22" s="1"/>
  <c r="R15" i="14"/>
  <c r="R3" i="17"/>
  <c r="AK6" i="18"/>
  <c r="AK11" i="21" s="1"/>
  <c r="AN5" i="18"/>
  <c r="R20" i="20" l="1"/>
  <c r="R27" i="3"/>
  <c r="R29" i="3" s="1"/>
  <c r="R30" i="3" s="1"/>
  <c r="P22" i="20" a="1"/>
  <c r="P22" i="20" s="1"/>
  <c r="P3" i="20"/>
  <c r="P3" i="21"/>
  <c r="AL11" i="21"/>
  <c r="AM11" i="21"/>
  <c r="AN11" i="21"/>
  <c r="S8" i="13"/>
  <c r="S9" i="13"/>
  <c r="R7" i="23"/>
  <c r="R5" i="17"/>
  <c r="T5" i="13"/>
  <c r="T6" i="13" s="1"/>
  <c r="R7" i="14"/>
  <c r="R16" i="14"/>
  <c r="R4" i="17"/>
  <c r="AL6" i="18"/>
  <c r="AM6" i="18"/>
  <c r="AN6" i="18"/>
  <c r="S87" i="3" l="1"/>
  <c r="S61" i="3"/>
  <c r="S86" i="3"/>
  <c r="S62" i="3"/>
  <c r="S7" i="15"/>
  <c r="S8" i="17" s="1"/>
  <c r="S9" i="22" s="1"/>
  <c r="S3" i="14"/>
  <c r="S28" i="3" s="1"/>
  <c r="P6" i="21"/>
  <c r="P21" i="20" s="1"/>
  <c r="S9" i="14"/>
  <c r="S10" i="14" s="1"/>
  <c r="S8" i="14"/>
  <c r="S14" i="14"/>
  <c r="S15" i="14" s="1"/>
  <c r="S16" i="14" s="1"/>
  <c r="Q5" i="23"/>
  <c r="R6" i="23"/>
  <c r="T7" i="13"/>
  <c r="R6" i="17"/>
  <c r="S63" i="3" l="1"/>
  <c r="S88" i="3"/>
  <c r="R17" i="14"/>
  <c r="R6" i="22"/>
  <c r="R17" i="20" s="1"/>
  <c r="S6" i="14"/>
  <c r="S5" i="21" s="1"/>
  <c r="S9" i="17"/>
  <c r="S10" i="22" s="1"/>
  <c r="S4" i="20"/>
  <c r="Q18" i="14"/>
  <c r="Q5" i="20"/>
  <c r="P6" i="20"/>
  <c r="P10" i="20"/>
  <c r="S11" i="14"/>
  <c r="S7" i="17" s="1"/>
  <c r="S5" i="22" s="1"/>
  <c r="S4" i="17"/>
  <c r="S5" i="14"/>
  <c r="S4" i="21" s="1"/>
  <c r="S4" i="14"/>
  <c r="R9" i="23"/>
  <c r="S3" i="17"/>
  <c r="T8" i="13"/>
  <c r="U3" i="13"/>
  <c r="T9" i="13"/>
  <c r="T61" i="3" l="1"/>
  <c r="T87" i="3"/>
  <c r="T86" i="3"/>
  <c r="T62" i="3"/>
  <c r="S20" i="20"/>
  <c r="S27" i="3"/>
  <c r="S29" i="3" s="1"/>
  <c r="T3" i="14"/>
  <c r="T28" i="3" s="1"/>
  <c r="Q22" i="20" a="1"/>
  <c r="Q22" i="20" s="1"/>
  <c r="S7" i="23"/>
  <c r="P8" i="20"/>
  <c r="P7" i="20"/>
  <c r="P9" i="20" s="1"/>
  <c r="Q3" i="20"/>
  <c r="Q3" i="21"/>
  <c r="S7" i="14"/>
  <c r="S6" i="23"/>
  <c r="T7" i="15"/>
  <c r="T8" i="17" s="1"/>
  <c r="T9" i="22" s="1"/>
  <c r="T14" i="14"/>
  <c r="T15" i="14" s="1"/>
  <c r="T8" i="14"/>
  <c r="T9" i="14"/>
  <c r="T10" i="14" s="1"/>
  <c r="U5" i="13"/>
  <c r="U6" i="13" s="1"/>
  <c r="S5" i="17"/>
  <c r="S6" i="17" s="1"/>
  <c r="T63" i="3" l="1"/>
  <c r="T88" i="3"/>
  <c r="S6" i="22"/>
  <c r="S17" i="20" s="1"/>
  <c r="S30" i="3"/>
  <c r="T6" i="14"/>
  <c r="T5" i="21" s="1"/>
  <c r="T9" i="17"/>
  <c r="T10" i="22" s="1"/>
  <c r="T4" i="20"/>
  <c r="S17" i="14"/>
  <c r="Q6" i="21"/>
  <c r="Q21" i="20" s="1"/>
  <c r="S9" i="23"/>
  <c r="T3" i="17"/>
  <c r="T16" i="14"/>
  <c r="T4" i="17"/>
  <c r="U7" i="13"/>
  <c r="T4" i="14"/>
  <c r="T5" i="14"/>
  <c r="T4" i="21" s="1"/>
  <c r="T11" i="14"/>
  <c r="T7" i="17" s="1"/>
  <c r="T5" i="22" s="1"/>
  <c r="T20" i="20" l="1"/>
  <c r="T27" i="3"/>
  <c r="T29" i="3" s="1"/>
  <c r="R5" i="20"/>
  <c r="R18" i="14"/>
  <c r="Q6" i="20"/>
  <c r="Q10" i="20"/>
  <c r="R5" i="23"/>
  <c r="T7" i="23"/>
  <c r="T5" i="17"/>
  <c r="T6" i="17" s="1"/>
  <c r="V3" i="13"/>
  <c r="U8" i="13"/>
  <c r="U9" i="13"/>
  <c r="T7" i="14"/>
  <c r="U62" i="3" l="1"/>
  <c r="U61" i="3"/>
  <c r="U87" i="3"/>
  <c r="U86" i="3"/>
  <c r="T17" i="14"/>
  <c r="T6" i="22"/>
  <c r="T17" i="20" s="1"/>
  <c r="T30" i="3"/>
  <c r="U3" i="14"/>
  <c r="U28" i="3" s="1"/>
  <c r="R22" i="20" a="1"/>
  <c r="R22" i="20" s="1"/>
  <c r="S18" i="14"/>
  <c r="S5" i="23" s="1"/>
  <c r="S5" i="20"/>
  <c r="C21" i="25" s="1" a="1"/>
  <c r="C21" i="25" s="1"/>
  <c r="R3" i="20"/>
  <c r="R3" i="21"/>
  <c r="Q8" i="20"/>
  <c r="Q7" i="20"/>
  <c r="Q9" i="20" s="1"/>
  <c r="T6" i="23"/>
  <c r="T9" i="23"/>
  <c r="U7" i="15"/>
  <c r="U8" i="17" s="1"/>
  <c r="U9" i="22" s="1"/>
  <c r="U14" i="14"/>
  <c r="U15" i="14" s="1"/>
  <c r="U9" i="14"/>
  <c r="U10" i="14" s="1"/>
  <c r="U8" i="14"/>
  <c r="V5" i="13"/>
  <c r="V6" i="13" s="1"/>
  <c r="U3" i="17"/>
  <c r="U88" i="3" l="1"/>
  <c r="U63" i="3"/>
  <c r="U6" i="14"/>
  <c r="U5" i="21" s="1"/>
  <c r="S22" i="20" a="1"/>
  <c r="S22" i="20" s="1"/>
  <c r="S3" i="21"/>
  <c r="S3" i="20"/>
  <c r="U9" i="17"/>
  <c r="U10" i="22" s="1"/>
  <c r="U4" i="20"/>
  <c r="R6" i="21"/>
  <c r="R21" i="20" s="1"/>
  <c r="U11" i="14"/>
  <c r="U7" i="17" s="1"/>
  <c r="U5" i="22" s="1"/>
  <c r="U4" i="14"/>
  <c r="U5" i="14"/>
  <c r="U4" i="21" s="1"/>
  <c r="U4" i="17"/>
  <c r="U16" i="14"/>
  <c r="U5" i="17"/>
  <c r="V7" i="13"/>
  <c r="U20" i="20" l="1"/>
  <c r="U27" i="3"/>
  <c r="U29" i="3" s="1"/>
  <c r="S6" i="21"/>
  <c r="S21" i="20" s="1"/>
  <c r="R10" i="20"/>
  <c r="R6" i="20"/>
  <c r="U6" i="17"/>
  <c r="U7" i="23"/>
  <c r="V8" i="13"/>
  <c r="V9" i="13"/>
  <c r="W3" i="13"/>
  <c r="U7" i="14"/>
  <c r="V62" i="3" l="1"/>
  <c r="V61" i="3"/>
  <c r="V87" i="3"/>
  <c r="V86" i="3"/>
  <c r="U17" i="14"/>
  <c r="U6" i="22"/>
  <c r="U30" i="3"/>
  <c r="S10" i="20"/>
  <c r="S6" i="20"/>
  <c r="S8" i="20" s="1"/>
  <c r="V3" i="14"/>
  <c r="V28" i="3" s="1"/>
  <c r="U17" i="20"/>
  <c r="R8" i="20"/>
  <c r="R7" i="20"/>
  <c r="R9" i="20" s="1"/>
  <c r="U9" i="23"/>
  <c r="V3" i="17"/>
  <c r="U6" i="23"/>
  <c r="T5" i="23"/>
  <c r="W5" i="13"/>
  <c r="W6" i="13" s="1"/>
  <c r="W7" i="13" s="1"/>
  <c r="V7" i="15"/>
  <c r="V8" i="17" s="1"/>
  <c r="V9" i="22" s="1"/>
  <c r="V14" i="14"/>
  <c r="V15" i="14" s="1"/>
  <c r="V8" i="14"/>
  <c r="V9" i="14"/>
  <c r="V10" i="14" s="1"/>
  <c r="V88" i="3" l="1"/>
  <c r="V63" i="3"/>
  <c r="S7" i="20"/>
  <c r="S9" i="20" s="1"/>
  <c r="V6" i="14"/>
  <c r="V5" i="21" s="1"/>
  <c r="V9" i="17"/>
  <c r="V10" i="22" s="1"/>
  <c r="V4" i="20"/>
  <c r="V5" i="17"/>
  <c r="T18" i="14"/>
  <c r="T5" i="20"/>
  <c r="B38" i="19" s="1" a="1"/>
  <c r="B38" i="19" s="1"/>
  <c r="B39" i="19" s="1"/>
  <c r="W8" i="13"/>
  <c r="X3" i="13"/>
  <c r="W9" i="13"/>
  <c r="V4" i="14"/>
  <c r="V5" i="14"/>
  <c r="V4" i="21" s="1"/>
  <c r="V11" i="14"/>
  <c r="V7" i="17" s="1"/>
  <c r="V5" i="22" s="1"/>
  <c r="V4" i="17"/>
  <c r="V16" i="14"/>
  <c r="W61" i="3" l="1"/>
  <c r="W87" i="3"/>
  <c r="W62" i="3"/>
  <c r="W86" i="3"/>
  <c r="V20" i="20"/>
  <c r="V27" i="3"/>
  <c r="V29" i="3" s="1"/>
  <c r="W3" i="14"/>
  <c r="W28" i="3" s="1"/>
  <c r="T22" i="20" a="1"/>
  <c r="T22" i="20" s="1"/>
  <c r="V6" i="17"/>
  <c r="U18" i="14"/>
  <c r="U5" i="20"/>
  <c r="T3" i="20"/>
  <c r="T3" i="21"/>
  <c r="V7" i="23"/>
  <c r="V7" i="14"/>
  <c r="X5" i="13"/>
  <c r="X6" i="13" s="1"/>
  <c r="W7" i="15"/>
  <c r="W8" i="17" s="1"/>
  <c r="W9" i="22" s="1"/>
  <c r="W14" i="14"/>
  <c r="W15" i="14" s="1"/>
  <c r="W9" i="14"/>
  <c r="W10" i="14" s="1"/>
  <c r="W8" i="14"/>
  <c r="W63" i="3" l="1"/>
  <c r="W88" i="3"/>
  <c r="V17" i="14"/>
  <c r="V6" i="22"/>
  <c r="V17" i="20" s="1"/>
  <c r="V30" i="3"/>
  <c r="W6" i="14"/>
  <c r="W5" i="21" s="1"/>
  <c r="U22" i="20" a="1"/>
  <c r="U22" i="20" s="1"/>
  <c r="W9" i="17"/>
  <c r="W10" i="22" s="1"/>
  <c r="W4" i="20"/>
  <c r="W3" i="17"/>
  <c r="W5" i="17" s="1"/>
  <c r="V9" i="23"/>
  <c r="T6" i="21"/>
  <c r="T21" i="20" s="1"/>
  <c r="U5" i="23"/>
  <c r="U3" i="20"/>
  <c r="U3" i="21"/>
  <c r="X7" i="13"/>
  <c r="X8" i="13" s="1"/>
  <c r="V6" i="23"/>
  <c r="W11" i="14"/>
  <c r="W7" i="17" s="1"/>
  <c r="W5" i="22" s="1"/>
  <c r="W4" i="14"/>
  <c r="W5" i="14"/>
  <c r="W4" i="21" s="1"/>
  <c r="W4" i="17"/>
  <c r="W16" i="14"/>
  <c r="X87" i="3" l="1"/>
  <c r="X86" i="3"/>
  <c r="X61" i="3"/>
  <c r="X62" i="3"/>
  <c r="W20" i="20"/>
  <c r="W27" i="3"/>
  <c r="W29" i="3" s="1"/>
  <c r="X3" i="14"/>
  <c r="X28" i="3" s="1"/>
  <c r="U6" i="21"/>
  <c r="U21" i="20" s="1"/>
  <c r="T10" i="20"/>
  <c r="T6" i="20"/>
  <c r="X9" i="13"/>
  <c r="Y3" i="13"/>
  <c r="Y5" i="13" s="1"/>
  <c r="Y6" i="13" s="1"/>
  <c r="Y7" i="13" s="1"/>
  <c r="W6" i="17"/>
  <c r="W7" i="23"/>
  <c r="X7" i="15"/>
  <c r="X8" i="17" s="1"/>
  <c r="X9" i="22" s="1"/>
  <c r="X14" i="14"/>
  <c r="X15" i="14" s="1"/>
  <c r="X8" i="14"/>
  <c r="X9" i="14"/>
  <c r="X10" i="14" s="1"/>
  <c r="W7" i="14"/>
  <c r="AL5" i="17"/>
  <c r="X63" i="3" l="1"/>
  <c r="X88" i="3"/>
  <c r="W17" i="14"/>
  <c r="W6" i="22"/>
  <c r="W17" i="20" s="1"/>
  <c r="W30" i="3"/>
  <c r="X6" i="14"/>
  <c r="X5" i="21" s="1"/>
  <c r="X9" i="17"/>
  <c r="X10" i="22" s="1"/>
  <c r="X4" i="20"/>
  <c r="X3" i="17"/>
  <c r="X5" i="17" s="1"/>
  <c r="T8" i="20"/>
  <c r="T7" i="20"/>
  <c r="T9" i="20" s="1"/>
  <c r="U6" i="20"/>
  <c r="U10" i="20"/>
  <c r="V5" i="23"/>
  <c r="W9" i="23"/>
  <c r="W6" i="23"/>
  <c r="X4" i="17"/>
  <c r="X16" i="14"/>
  <c r="X4" i="14"/>
  <c r="X5" i="14"/>
  <c r="X4" i="21" s="1"/>
  <c r="X11" i="14"/>
  <c r="X7" i="17" s="1"/>
  <c r="X5" i="22" s="1"/>
  <c r="AM7" i="13"/>
  <c r="AM8" i="13" s="1"/>
  <c r="Z3" i="13"/>
  <c r="Y9" i="13"/>
  <c r="Y8" i="13"/>
  <c r="I29" i="27" l="1"/>
  <c r="Y61" i="3"/>
  <c r="Y62" i="3"/>
  <c r="Y86" i="3"/>
  <c r="Y87" i="3"/>
  <c r="X20" i="20"/>
  <c r="X27" i="3"/>
  <c r="X29" i="3" s="1"/>
  <c r="X30" i="3" s="1"/>
  <c r="Y3" i="14"/>
  <c r="Y28" i="3" s="1"/>
  <c r="V5" i="20"/>
  <c r="V18" i="14"/>
  <c r="U8" i="20"/>
  <c r="U7" i="20"/>
  <c r="U9" i="20" s="1"/>
  <c r="X7" i="23"/>
  <c r="Z5" i="13"/>
  <c r="AN3" i="13"/>
  <c r="Y7" i="15"/>
  <c r="Y8" i="17" s="1"/>
  <c r="Y9" i="22" s="1"/>
  <c r="AM9" i="22" s="1"/>
  <c r="Y14" i="14"/>
  <c r="Y15" i="14" s="1"/>
  <c r="Y9" i="14"/>
  <c r="Y10" i="14" s="1"/>
  <c r="Y8" i="14"/>
  <c r="X7" i="14"/>
  <c r="X6" i="17"/>
  <c r="AL17" i="14"/>
  <c r="Y88" i="3" l="1"/>
  <c r="Y63" i="3"/>
  <c r="X17" i="14"/>
  <c r="X6" i="22"/>
  <c r="Y6" i="14"/>
  <c r="Y5" i="21" s="1"/>
  <c r="V22" i="20" a="1"/>
  <c r="V22" i="20" s="1"/>
  <c r="Y9" i="17"/>
  <c r="Y10" i="22" s="1"/>
  <c r="AM10" i="22" s="1"/>
  <c r="Y4" i="20"/>
  <c r="AM4" i="20" s="1"/>
  <c r="W5" i="20"/>
  <c r="W18" i="14"/>
  <c r="W3" i="20" s="1"/>
  <c r="V3" i="21"/>
  <c r="V3" i="20"/>
  <c r="X17" i="20"/>
  <c r="X9" i="23"/>
  <c r="X6" i="23"/>
  <c r="Y11" i="14"/>
  <c r="Y7" i="17" s="1"/>
  <c r="Y5" i="22" s="1"/>
  <c r="AM5" i="22" s="1"/>
  <c r="Y3" i="17"/>
  <c r="Y4" i="14"/>
  <c r="Y5" i="14"/>
  <c r="Y4" i="21" s="1"/>
  <c r="AM3" i="14"/>
  <c r="Y16" i="14"/>
  <c r="Y4" i="17"/>
  <c r="Z6" i="13"/>
  <c r="Y20" i="20" l="1"/>
  <c r="AM20" i="20" s="1"/>
  <c r="Y27" i="3"/>
  <c r="Y29" i="3" s="1"/>
  <c r="Y30" i="3" s="1"/>
  <c r="W22" i="20" a="1"/>
  <c r="W22" i="20" s="1"/>
  <c r="W3" i="21"/>
  <c r="V6" i="21"/>
  <c r="V21" i="20" s="1"/>
  <c r="W5" i="23"/>
  <c r="Y7" i="23"/>
  <c r="Z7" i="13"/>
  <c r="Y7" i="14"/>
  <c r="Y5" i="17"/>
  <c r="AM9" i="17"/>
  <c r="W6" i="21" l="1"/>
  <c r="W21" i="20" s="1"/>
  <c r="V6" i="20"/>
  <c r="V10" i="20"/>
  <c r="Y6" i="23"/>
  <c r="Y6" i="17"/>
  <c r="AM5" i="17"/>
  <c r="AM8" i="17"/>
  <c r="Z8" i="13"/>
  <c r="AA3" i="13"/>
  <c r="Z9" i="13"/>
  <c r="Z87" i="3" l="1"/>
  <c r="Z86" i="3"/>
  <c r="Z61" i="3"/>
  <c r="Z62" i="3"/>
  <c r="Y17" i="14"/>
  <c r="Y6" i="22"/>
  <c r="AM6" i="22" s="1"/>
  <c r="W10" i="20"/>
  <c r="W6" i="20"/>
  <c r="W8" i="20" s="1"/>
  <c r="Z3" i="14"/>
  <c r="Z28" i="3" s="1"/>
  <c r="X5" i="20"/>
  <c r="X18" i="14"/>
  <c r="V8" i="20"/>
  <c r="V7" i="20"/>
  <c r="V9" i="20" s="1"/>
  <c r="X5" i="23"/>
  <c r="Y9" i="23"/>
  <c r="AA5" i="13"/>
  <c r="Z7" i="15"/>
  <c r="Z8" i="17" s="1"/>
  <c r="Z9" i="22" s="1"/>
  <c r="Z14" i="14"/>
  <c r="Z8" i="14"/>
  <c r="Z9" i="14"/>
  <c r="Z10" i="14" s="1"/>
  <c r="Z3" i="17"/>
  <c r="AM6" i="17"/>
  <c r="Z63" i="3" l="1"/>
  <c r="Z88" i="3"/>
  <c r="W7" i="20"/>
  <c r="W9" i="20" s="1"/>
  <c r="Z6" i="14"/>
  <c r="Z5" i="21" s="1"/>
  <c r="X22" i="20" a="1"/>
  <c r="X22" i="20" s="1"/>
  <c r="Z9" i="17"/>
  <c r="Z10" i="22" s="1"/>
  <c r="Z4" i="20"/>
  <c r="AM17" i="20"/>
  <c r="Y17" i="20"/>
  <c r="X3" i="21"/>
  <c r="X3" i="20"/>
  <c r="Z11" i="14"/>
  <c r="Z7" i="17" s="1"/>
  <c r="Z5" i="22" s="1"/>
  <c r="AN3" i="17"/>
  <c r="Z5" i="17"/>
  <c r="Z15" i="14"/>
  <c r="AA6" i="13"/>
  <c r="Z4" i="14"/>
  <c r="Z5" i="14"/>
  <c r="Z4" i="21" s="1"/>
  <c r="Z20" i="20" l="1"/>
  <c r="Z27" i="3"/>
  <c r="X6" i="21"/>
  <c r="X21" i="20" s="1"/>
  <c r="Z7" i="23"/>
  <c r="Z7" i="14"/>
  <c r="AA7" i="13"/>
  <c r="Z16" i="14"/>
  <c r="Z4" i="17"/>
  <c r="Z29" i="3" l="1"/>
  <c r="X6" i="20"/>
  <c r="X10" i="20"/>
  <c r="Y5" i="23"/>
  <c r="Z6" i="23"/>
  <c r="AM7" i="17"/>
  <c r="Z6" i="17"/>
  <c r="AA8" i="13"/>
  <c r="AB3" i="13"/>
  <c r="AA9" i="13"/>
  <c r="AA86" i="3" l="1"/>
  <c r="AA87" i="3"/>
  <c r="AA61" i="3"/>
  <c r="AA62" i="3"/>
  <c r="Z17" i="14"/>
  <c r="Z6" i="22"/>
  <c r="Z17" i="20" s="1"/>
  <c r="Z30" i="3"/>
  <c r="AA3" i="14"/>
  <c r="AA28" i="3" s="1"/>
  <c r="Y5" i="20"/>
  <c r="AM17" i="14"/>
  <c r="Y18" i="14"/>
  <c r="X8" i="20"/>
  <c r="X7" i="20"/>
  <c r="X9" i="20" s="1"/>
  <c r="Z9" i="23"/>
  <c r="AB5" i="13"/>
  <c r="AA7" i="15"/>
  <c r="AA8" i="17" s="1"/>
  <c r="AA9" i="22" s="1"/>
  <c r="AA14" i="14"/>
  <c r="AA8" i="14"/>
  <c r="AA9" i="14"/>
  <c r="AA10" i="14" s="1"/>
  <c r="AA3" i="17"/>
  <c r="AA88" i="3" l="1"/>
  <c r="AA63" i="3"/>
  <c r="AA6" i="14"/>
  <c r="AA5" i="21" s="1"/>
  <c r="AM5" i="20"/>
  <c r="Y22" i="20" a="1"/>
  <c r="Y22" i="20" s="1"/>
  <c r="AM22" i="20" s="1"/>
  <c r="AA9" i="17"/>
  <c r="AA10" i="22" s="1"/>
  <c r="AA4" i="20"/>
  <c r="Y3" i="20"/>
  <c r="Y3" i="21"/>
  <c r="J29" i="27" s="1"/>
  <c r="AA5" i="17"/>
  <c r="AA4" i="14"/>
  <c r="AA5" i="14"/>
  <c r="AA4" i="21" s="1"/>
  <c r="AA11" i="14"/>
  <c r="AA7" i="17" s="1"/>
  <c r="AA5" i="22" s="1"/>
  <c r="AA15" i="14"/>
  <c r="AB6" i="13"/>
  <c r="AA20" i="20" l="1"/>
  <c r="AA27" i="3"/>
  <c r="Y6" i="21"/>
  <c r="Y21" i="20" s="1"/>
  <c r="AM21" i="20" s="1"/>
  <c r="AA7" i="23"/>
  <c r="AB7" i="13"/>
  <c r="AA16" i="14"/>
  <c r="AA4" i="17"/>
  <c r="AA7" i="14"/>
  <c r="AA29" i="3" l="1"/>
  <c r="Y6" i="20"/>
  <c r="Y10" i="20"/>
  <c r="Z5" i="23"/>
  <c r="AA6" i="23"/>
  <c r="AA6" i="17"/>
  <c r="AB8" i="13"/>
  <c r="AC3" i="13"/>
  <c r="AB9" i="13"/>
  <c r="AB62" i="3" l="1"/>
  <c r="AB86" i="3"/>
  <c r="AB87" i="3"/>
  <c r="AB61" i="3"/>
  <c r="AA17" i="14"/>
  <c r="AA6" i="22"/>
  <c r="AA17" i="20" s="1"/>
  <c r="AA30" i="3"/>
  <c r="AB3" i="14"/>
  <c r="AB28" i="3" s="1"/>
  <c r="Z5" i="20"/>
  <c r="Z18" i="14"/>
  <c r="Y8" i="20"/>
  <c r="AM8" i="20" s="1"/>
  <c r="Y7" i="20"/>
  <c r="AA9" i="23"/>
  <c r="AC5" i="13"/>
  <c r="AB7" i="15"/>
  <c r="AB8" i="17" s="1"/>
  <c r="AB9" i="22" s="1"/>
  <c r="AB14" i="14"/>
  <c r="AB9" i="14"/>
  <c r="AB10" i="14" s="1"/>
  <c r="AB8" i="14"/>
  <c r="AB3" i="17"/>
  <c r="AB88" i="3" l="1"/>
  <c r="AB63" i="3"/>
  <c r="AB6" i="14"/>
  <c r="AB5" i="21" s="1"/>
  <c r="Z22" i="20" a="1"/>
  <c r="Z22" i="20" s="1"/>
  <c r="AB9" i="17"/>
  <c r="AB10" i="22" s="1"/>
  <c r="AB4" i="20"/>
  <c r="Y9" i="20"/>
  <c r="AM9" i="20" s="1"/>
  <c r="AM7" i="20"/>
  <c r="Z3" i="20"/>
  <c r="Z3" i="21"/>
  <c r="AB5" i="17"/>
  <c r="AB4" i="14"/>
  <c r="AB5" i="14"/>
  <c r="AB4" i="21" s="1"/>
  <c r="AB11" i="14"/>
  <c r="AB7" i="17" s="1"/>
  <c r="AB5" i="22" s="1"/>
  <c r="AB15" i="14"/>
  <c r="AC6" i="13"/>
  <c r="AL3" i="14"/>
  <c r="AB20" i="20" l="1"/>
  <c r="AB27" i="3"/>
  <c r="Z6" i="21"/>
  <c r="Z21" i="20" s="1"/>
  <c r="AB7" i="23"/>
  <c r="AB16" i="14"/>
  <c r="AB4" i="17"/>
  <c r="AB7" i="14"/>
  <c r="AC7" i="13"/>
  <c r="AL9" i="14"/>
  <c r="AM9" i="14"/>
  <c r="AL8" i="14"/>
  <c r="AM8" i="14"/>
  <c r="AB29" i="3" l="1"/>
  <c r="Z10" i="20"/>
  <c r="Z6" i="20"/>
  <c r="AB6" i="23"/>
  <c r="AA5" i="23"/>
  <c r="AC8" i="13"/>
  <c r="AD3" i="13"/>
  <c r="AC9" i="13"/>
  <c r="AB6" i="17"/>
  <c r="AL11" i="14"/>
  <c r="AM11" i="14"/>
  <c r="AL10" i="14"/>
  <c r="AM10" i="14"/>
  <c r="AL4" i="14"/>
  <c r="AM4" i="14"/>
  <c r="AL6" i="14"/>
  <c r="AM6" i="14"/>
  <c r="AL5" i="14"/>
  <c r="AM5" i="14"/>
  <c r="AC61" i="3" l="1"/>
  <c r="AC62" i="3"/>
  <c r="AC87" i="3"/>
  <c r="AC86" i="3"/>
  <c r="AB17" i="14"/>
  <c r="AB6" i="22"/>
  <c r="AB17" i="20" s="1"/>
  <c r="AB30" i="3"/>
  <c r="AC3" i="14"/>
  <c r="AC28" i="3" s="1"/>
  <c r="AA5" i="20"/>
  <c r="AA18" i="14"/>
  <c r="Z8" i="20"/>
  <c r="Z7" i="20"/>
  <c r="Z9" i="20" s="1"/>
  <c r="AB9" i="23"/>
  <c r="AC3" i="17"/>
  <c r="AC7" i="15"/>
  <c r="AC8" i="17" s="1"/>
  <c r="AC9" i="22" s="1"/>
  <c r="AC14" i="14"/>
  <c r="AC8" i="14"/>
  <c r="AC9" i="14"/>
  <c r="AD5" i="13"/>
  <c r="AL18" i="14"/>
  <c r="AM18" i="14"/>
  <c r="AL7" i="14"/>
  <c r="AM7" i="14"/>
  <c r="AC88" i="3" l="1"/>
  <c r="AC63" i="3"/>
  <c r="AC6" i="14"/>
  <c r="AC5" i="21" s="1"/>
  <c r="AA22" i="20" a="1"/>
  <c r="AA22" i="20" s="1"/>
  <c r="AA3" i="20"/>
  <c r="AA3" i="21"/>
  <c r="AM3" i="20"/>
  <c r="AD6" i="13"/>
  <c r="AC10" i="14"/>
  <c r="AC4" i="14"/>
  <c r="AC5" i="14"/>
  <c r="AC4" i="21" s="1"/>
  <c r="AC15" i="14"/>
  <c r="AC5" i="17"/>
  <c r="AC20" i="20" l="1"/>
  <c r="AC27" i="3"/>
  <c r="AC9" i="17"/>
  <c r="AC10" i="22" s="1"/>
  <c r="AC4" i="20"/>
  <c r="AA6" i="21"/>
  <c r="AA21" i="20" s="1"/>
  <c r="AC16" i="14"/>
  <c r="AC4" i="17"/>
  <c r="AC7" i="14"/>
  <c r="AC11" i="14"/>
  <c r="AC7" i="17" s="1"/>
  <c r="AC5" i="22" s="1"/>
  <c r="AD7" i="13"/>
  <c r="AC29" i="3" l="1"/>
  <c r="AA10" i="20"/>
  <c r="AA6" i="20"/>
  <c r="AB5" i="23"/>
  <c r="AC7" i="23"/>
  <c r="AC6" i="23"/>
  <c r="AD8" i="13"/>
  <c r="AE3" i="13"/>
  <c r="AD9" i="13"/>
  <c r="AC6" i="17"/>
  <c r="AD87" i="3" l="1"/>
  <c r="AD86" i="3"/>
  <c r="AD62" i="3"/>
  <c r="AD61" i="3"/>
  <c r="AC17" i="14"/>
  <c r="AC6" i="22"/>
  <c r="AC30" i="3"/>
  <c r="AD3" i="14"/>
  <c r="AD28" i="3" s="1"/>
  <c r="AB5" i="20"/>
  <c r="AB18" i="14"/>
  <c r="AA8" i="20"/>
  <c r="AA7" i="20"/>
  <c r="AA9" i="20" s="1"/>
  <c r="AC17" i="20"/>
  <c r="AC9" i="23"/>
  <c r="AD3" i="17"/>
  <c r="AE5" i="13"/>
  <c r="AE6" i="13" s="1"/>
  <c r="AD7" i="15"/>
  <c r="AD8" i="17" s="1"/>
  <c r="AD9" i="22" s="1"/>
  <c r="AD14" i="14"/>
  <c r="AD9" i="14"/>
  <c r="AD8" i="14"/>
  <c r="AD63" i="3" l="1"/>
  <c r="AD88" i="3"/>
  <c r="AD6" i="14"/>
  <c r="AD5" i="21" s="1"/>
  <c r="AB22" i="20" a="1"/>
  <c r="AB22" i="20" s="1"/>
  <c r="AB3" i="20"/>
  <c r="AB3" i="21"/>
  <c r="AE7" i="13"/>
  <c r="AE8" i="13" s="1"/>
  <c r="AD10" i="14"/>
  <c r="AD4" i="14"/>
  <c r="AD5" i="14"/>
  <c r="AD4" i="21" s="1"/>
  <c r="AD15" i="14"/>
  <c r="AD5" i="17"/>
  <c r="AE61" i="3" l="1"/>
  <c r="AE62" i="3"/>
  <c r="AE87" i="3"/>
  <c r="AE86" i="3"/>
  <c r="AD20" i="20"/>
  <c r="AD27" i="3"/>
  <c r="AE3" i="14"/>
  <c r="AE28" i="3" s="1"/>
  <c r="AD9" i="17"/>
  <c r="AD10" i="22" s="1"/>
  <c r="AD4" i="20"/>
  <c r="AB6" i="21"/>
  <c r="AB21" i="20" s="1"/>
  <c r="AE9" i="13"/>
  <c r="AF3" i="13"/>
  <c r="AF5" i="13" s="1"/>
  <c r="AF6" i="13" s="1"/>
  <c r="AE7" i="15"/>
  <c r="AE8" i="17" s="1"/>
  <c r="AE9" i="22" s="1"/>
  <c r="AE14" i="14"/>
  <c r="AE15" i="14" s="1"/>
  <c r="AE8" i="14"/>
  <c r="AE9" i="14"/>
  <c r="AD16" i="14"/>
  <c r="AD4" i="17"/>
  <c r="AD7" i="14"/>
  <c r="AD11" i="14"/>
  <c r="AD7" i="17" s="1"/>
  <c r="AD5" i="22" s="1"/>
  <c r="AE63" i="3" l="1"/>
  <c r="AE88" i="3"/>
  <c r="AD29" i="3"/>
  <c r="AE6" i="14"/>
  <c r="AE5" i="21" s="1"/>
  <c r="AB10" i="20"/>
  <c r="AB6" i="20"/>
  <c r="AF7" i="13"/>
  <c r="AF8" i="13" s="1"/>
  <c r="AD7" i="23"/>
  <c r="AC5" i="23"/>
  <c r="AD6" i="23"/>
  <c r="AE10" i="14"/>
  <c r="AE4" i="20" s="1"/>
  <c r="AE4" i="14"/>
  <c r="AE5" i="14"/>
  <c r="AE4" i="21" s="1"/>
  <c r="AE16" i="14"/>
  <c r="AE4" i="17"/>
  <c r="AD6" i="17"/>
  <c r="AF61" i="3" l="1"/>
  <c r="AF62" i="3"/>
  <c r="AF87" i="3"/>
  <c r="AF86" i="3"/>
  <c r="AD17" i="14"/>
  <c r="AD6" i="22"/>
  <c r="AE20" i="20"/>
  <c r="AE27" i="3"/>
  <c r="AE29" i="3" s="1"/>
  <c r="AE30" i="3" s="1"/>
  <c r="AD30" i="3"/>
  <c r="AF3" i="14"/>
  <c r="AF28" i="3" s="1"/>
  <c r="AC5" i="20"/>
  <c r="AC18" i="14"/>
  <c r="AB8" i="20"/>
  <c r="AB7" i="20"/>
  <c r="AB9" i="20" s="1"/>
  <c r="AE11" i="14"/>
  <c r="AE7" i="17" s="1"/>
  <c r="AE5" i="22" s="1"/>
  <c r="AE9" i="17"/>
  <c r="AE10" i="22" s="1"/>
  <c r="AG3" i="13"/>
  <c r="AG5" i="13" s="1"/>
  <c r="AG6" i="13" s="1"/>
  <c r="AF9" i="13"/>
  <c r="AD17" i="20"/>
  <c r="AD9" i="23"/>
  <c r="AE7" i="14"/>
  <c r="AF7" i="15"/>
  <c r="AF8" i="17" s="1"/>
  <c r="AF9" i="22" s="1"/>
  <c r="AF14" i="14"/>
  <c r="AF15" i="14" s="1"/>
  <c r="AF9" i="14"/>
  <c r="AF8" i="14"/>
  <c r="AE3" i="17"/>
  <c r="AF88" i="3" l="1"/>
  <c r="AF63" i="3"/>
  <c r="AF6" i="14"/>
  <c r="AF5" i="21" s="1"/>
  <c r="AC22" i="20" a="1"/>
  <c r="AC22" i="20" s="1"/>
  <c r="AC3" i="20"/>
  <c r="AC3" i="21"/>
  <c r="AG7" i="13"/>
  <c r="AG9" i="13" s="1"/>
  <c r="AE7" i="23"/>
  <c r="AE6" i="23"/>
  <c r="AE5" i="17"/>
  <c r="AE6" i="17" s="1"/>
  <c r="AF10" i="14"/>
  <c r="AF4" i="20" s="1"/>
  <c r="AF5" i="14"/>
  <c r="AF4" i="21" s="1"/>
  <c r="AF4" i="14"/>
  <c r="AF16" i="14"/>
  <c r="AF4" i="17"/>
  <c r="AF20" i="20" l="1"/>
  <c r="AF27" i="3"/>
  <c r="AF29" i="3" s="1"/>
  <c r="AF30" i="3" s="1"/>
  <c r="AE9" i="23"/>
  <c r="AE6" i="22"/>
  <c r="AE17" i="14"/>
  <c r="AC6" i="21"/>
  <c r="AC21" i="20" s="1"/>
  <c r="AF11" i="14"/>
  <c r="AF7" i="17" s="1"/>
  <c r="AF5" i="22" s="1"/>
  <c r="AF9" i="17"/>
  <c r="AF10" i="22" s="1"/>
  <c r="AH3" i="13"/>
  <c r="AH5" i="13" s="1"/>
  <c r="AH6" i="13" s="1"/>
  <c r="AG8" i="13"/>
  <c r="AE17" i="20"/>
  <c r="AF7" i="14"/>
  <c r="AF3" i="17"/>
  <c r="AG86" i="3" l="1"/>
  <c r="AG87" i="3"/>
  <c r="AG61" i="3"/>
  <c r="AG62" i="3"/>
  <c r="AG3" i="14"/>
  <c r="AC6" i="20"/>
  <c r="AC10" i="20"/>
  <c r="AD5" i="20"/>
  <c r="AD18" i="14"/>
  <c r="AG9" i="14"/>
  <c r="AG10" i="14" s="1"/>
  <c r="AG8" i="14"/>
  <c r="AG14" i="14"/>
  <c r="AG15" i="14" s="1"/>
  <c r="AG4" i="17" s="1"/>
  <c r="AG7" i="15"/>
  <c r="AG8" i="17" s="1"/>
  <c r="AG9" i="22" s="1"/>
  <c r="AF7" i="23"/>
  <c r="AD5" i="23"/>
  <c r="AF6" i="23"/>
  <c r="AF5" i="17"/>
  <c r="AF6" i="17" s="1"/>
  <c r="AH7" i="13"/>
  <c r="AG63" i="3" l="1"/>
  <c r="AG88" i="3"/>
  <c r="AG5" i="14"/>
  <c r="AG4" i="21" s="1"/>
  <c r="AG28" i="3"/>
  <c r="AF6" i="22"/>
  <c r="AF17" i="20" s="1"/>
  <c r="AG4" i="14"/>
  <c r="AG6" i="14"/>
  <c r="AG5" i="21" s="1"/>
  <c r="AD22" i="20" a="1"/>
  <c r="AD22" i="20" s="1"/>
  <c r="AG9" i="17"/>
  <c r="AG10" i="22" s="1"/>
  <c r="AG4" i="20"/>
  <c r="AF17" i="14"/>
  <c r="AD3" i="21"/>
  <c r="AD3" i="20"/>
  <c r="AC8" i="20"/>
  <c r="AC7" i="20"/>
  <c r="AC9" i="20" s="1"/>
  <c r="AG16" i="14"/>
  <c r="AF9" i="23"/>
  <c r="AH8" i="13"/>
  <c r="AH9" i="13"/>
  <c r="AI3" i="13"/>
  <c r="AG11" i="14"/>
  <c r="AG7" i="17" s="1"/>
  <c r="AG5" i="22" s="1"/>
  <c r="AG3" i="17"/>
  <c r="AH62" i="3" l="1"/>
  <c r="AH86" i="3"/>
  <c r="AH87" i="3"/>
  <c r="AH61" i="3"/>
  <c r="AG20" i="20"/>
  <c r="AG27" i="3"/>
  <c r="AG29" i="3" s="1"/>
  <c r="AG30" i="3" s="1"/>
  <c r="AG7" i="14"/>
  <c r="AH3" i="14"/>
  <c r="AH28" i="3" s="1"/>
  <c r="AE5" i="20"/>
  <c r="AE18" i="14"/>
  <c r="AD6" i="21"/>
  <c r="AD21" i="20" s="1"/>
  <c r="AG6" i="23"/>
  <c r="AG7" i="23"/>
  <c r="AE5" i="23"/>
  <c r="AG5" i="17"/>
  <c r="AG6" i="17" s="1"/>
  <c r="AI5" i="13"/>
  <c r="AI6" i="13" s="1"/>
  <c r="AH7" i="15"/>
  <c r="AH8" i="17" s="1"/>
  <c r="AH9" i="22" s="1"/>
  <c r="AH14" i="14"/>
  <c r="AH15" i="14" s="1"/>
  <c r="AH9" i="14"/>
  <c r="AH10" i="14" s="1"/>
  <c r="AH8" i="14"/>
  <c r="AH88" i="3" l="1"/>
  <c r="AH63" i="3"/>
  <c r="AG6" i="22"/>
  <c r="AG17" i="20" s="1"/>
  <c r="AH6" i="14"/>
  <c r="AH5" i="21" s="1"/>
  <c r="AE22" i="20" a="1"/>
  <c r="AE22" i="20" s="1"/>
  <c r="AH9" i="17"/>
  <c r="AH10" i="22" s="1"/>
  <c r="AH4" i="20"/>
  <c r="AG17" i="14"/>
  <c r="AE3" i="21"/>
  <c r="AE3" i="20"/>
  <c r="AD10" i="20"/>
  <c r="AD6" i="20"/>
  <c r="AH11" i="14"/>
  <c r="AH7" i="17" s="1"/>
  <c r="AH5" i="22" s="1"/>
  <c r="AG9" i="23"/>
  <c r="AH16" i="14"/>
  <c r="AH4" i="17"/>
  <c r="AH4" i="14"/>
  <c r="AH5" i="14"/>
  <c r="AH4" i="21" s="1"/>
  <c r="AI7" i="13"/>
  <c r="AH3" i="17"/>
  <c r="AH20" i="20" l="1"/>
  <c r="AH27" i="3"/>
  <c r="AH29" i="3" s="1"/>
  <c r="AH30" i="3" s="1"/>
  <c r="AD8" i="20"/>
  <c r="AD7" i="20"/>
  <c r="AD9" i="20" s="1"/>
  <c r="AF5" i="20"/>
  <c r="AF18" i="14"/>
  <c r="AE6" i="21"/>
  <c r="AE21" i="20" s="1"/>
  <c r="AH7" i="23"/>
  <c r="AH5" i="17"/>
  <c r="AH6" i="17" s="1"/>
  <c r="AI8" i="13"/>
  <c r="AI9" i="13"/>
  <c r="AJ3" i="13"/>
  <c r="AJ5" i="13" s="1"/>
  <c r="AJ6" i="13" s="1"/>
  <c r="AJ7" i="13" s="1"/>
  <c r="AH7" i="14"/>
  <c r="AI86" i="3" l="1"/>
  <c r="AI87" i="3"/>
  <c r="AI61" i="3"/>
  <c r="AI62" i="3"/>
  <c r="AH6" i="22"/>
  <c r="AH17" i="20" s="1"/>
  <c r="AI3" i="14"/>
  <c r="AI28" i="3" s="1"/>
  <c r="AF22" i="20" a="1"/>
  <c r="AF22" i="20" s="1"/>
  <c r="AH17" i="14"/>
  <c r="AE10" i="20"/>
  <c r="AE6" i="20"/>
  <c r="AF5" i="23"/>
  <c r="AF3" i="21"/>
  <c r="AF3" i="20"/>
  <c r="AH9" i="23"/>
  <c r="AH6" i="23"/>
  <c r="AJ8" i="13"/>
  <c r="AK3" i="13"/>
  <c r="AK5" i="13" s="1"/>
  <c r="AJ9" i="13"/>
  <c r="AI7" i="15"/>
  <c r="AI8" i="17" s="1"/>
  <c r="AI9" i="22" s="1"/>
  <c r="AI14" i="14"/>
  <c r="AI15" i="14" s="1"/>
  <c r="AI9" i="14"/>
  <c r="AI10" i="14" s="1"/>
  <c r="AI8" i="14"/>
  <c r="AI3" i="17"/>
  <c r="AI88" i="3" l="1"/>
  <c r="AJ61" i="3"/>
  <c r="AJ62" i="3"/>
  <c r="AJ87" i="3"/>
  <c r="AJ86" i="3"/>
  <c r="AI63" i="3"/>
  <c r="AJ3" i="14"/>
  <c r="AJ28" i="3" s="1"/>
  <c r="AI6" i="14"/>
  <c r="AI5" i="21" s="1"/>
  <c r="AI9" i="17"/>
  <c r="AI10" i="22" s="1"/>
  <c r="AI4" i="20"/>
  <c r="AG18" i="14"/>
  <c r="AG5" i="20"/>
  <c r="AF6" i="21"/>
  <c r="AF21" i="20" s="1"/>
  <c r="AE8" i="20"/>
  <c r="AE7" i="20"/>
  <c r="AE9" i="20" s="1"/>
  <c r="AL5" i="13"/>
  <c r="AM5" i="13"/>
  <c r="AI11" i="14"/>
  <c r="AI7" i="17" s="1"/>
  <c r="AI5" i="22" s="1"/>
  <c r="AI5" i="17"/>
  <c r="AI4" i="14"/>
  <c r="AI5" i="14"/>
  <c r="AI4" i="21" s="1"/>
  <c r="AI16" i="14"/>
  <c r="AI4" i="17"/>
  <c r="AK6" i="13"/>
  <c r="AN5" i="13"/>
  <c r="AJ7" i="15"/>
  <c r="AJ8" i="17" s="1"/>
  <c r="AJ9" i="22" s="1"/>
  <c r="AJ14" i="14"/>
  <c r="AJ15" i="14" s="1"/>
  <c r="AJ8" i="14"/>
  <c r="AJ9" i="14"/>
  <c r="AJ10" i="14" s="1"/>
  <c r="AJ63" i="3" l="1"/>
  <c r="AJ88" i="3"/>
  <c r="AI20" i="20"/>
  <c r="AI27" i="3"/>
  <c r="AI29" i="3" s="1"/>
  <c r="AI30" i="3" s="1"/>
  <c r="AJ6" i="14"/>
  <c r="AJ5" i="21" s="1"/>
  <c r="AG22" i="20" a="1"/>
  <c r="AG22" i="20" s="1"/>
  <c r="AJ9" i="17"/>
  <c r="AJ10" i="22" s="1"/>
  <c r="AJ4" i="20"/>
  <c r="AF10" i="20"/>
  <c r="AF6" i="20"/>
  <c r="AG5" i="23"/>
  <c r="AG3" i="20"/>
  <c r="AG3" i="21"/>
  <c r="AI7" i="23"/>
  <c r="AJ4" i="14"/>
  <c r="AJ5" i="14"/>
  <c r="AJ4" i="21" s="1"/>
  <c r="AJ16" i="14"/>
  <c r="AJ4" i="17"/>
  <c r="AJ11" i="14"/>
  <c r="AJ7" i="17" s="1"/>
  <c r="AJ5" i="22" s="1"/>
  <c r="AK7" i="13"/>
  <c r="AL6" i="13"/>
  <c r="AM6" i="13"/>
  <c r="AN6" i="13"/>
  <c r="AI7" i="14"/>
  <c r="AI6" i="17"/>
  <c r="AJ20" i="20" l="1"/>
  <c r="AJ27" i="3"/>
  <c r="AJ29" i="3" s="1"/>
  <c r="AJ30" i="3" s="1"/>
  <c r="AI17" i="14"/>
  <c r="AI6" i="22"/>
  <c r="AI17" i="20" s="1"/>
  <c r="AH18" i="14"/>
  <c r="AH5" i="20"/>
  <c r="AF8" i="20"/>
  <c r="AF7" i="20"/>
  <c r="AF9" i="20" s="1"/>
  <c r="AG6" i="21"/>
  <c r="AG21" i="20" s="1"/>
  <c r="AI6" i="23"/>
  <c r="AH5" i="23"/>
  <c r="AJ7" i="23"/>
  <c r="AI9" i="23"/>
  <c r="AJ3" i="17"/>
  <c r="AK8" i="13"/>
  <c r="AN7" i="13"/>
  <c r="AN8" i="13" s="1"/>
  <c r="AK9" i="13"/>
  <c r="AJ7" i="14"/>
  <c r="AK86" i="3" l="1"/>
  <c r="B93" i="3" s="1"/>
  <c r="AK87" i="3"/>
  <c r="AK61" i="3"/>
  <c r="B68" i="3" s="1"/>
  <c r="AK62" i="3"/>
  <c r="I30" i="27"/>
  <c r="F9" i="28"/>
  <c r="E5" i="26"/>
  <c r="AH22" i="20" a="1"/>
  <c r="AH22" i="20" s="1"/>
  <c r="AK3" i="14"/>
  <c r="AK28" i="3" s="1"/>
  <c r="AG6" i="20"/>
  <c r="AG10" i="20"/>
  <c r="AH3" i="20"/>
  <c r="AH3" i="21"/>
  <c r="AJ6" i="23"/>
  <c r="AL9" i="13"/>
  <c r="AM9" i="13"/>
  <c r="AN9" i="13"/>
  <c r="AK7" i="15"/>
  <c r="AK8" i="17" s="1"/>
  <c r="AK9" i="22" s="1"/>
  <c r="AN9" i="22" s="1"/>
  <c r="AK14" i="14"/>
  <c r="AK8" i="14"/>
  <c r="AN8" i="14" s="1"/>
  <c r="AK9" i="14"/>
  <c r="AJ5" i="17"/>
  <c r="AJ6" i="17" s="1"/>
  <c r="AK88" i="3" l="1"/>
  <c r="B94" i="3"/>
  <c r="AK63" i="3"/>
  <c r="B69" i="3"/>
  <c r="AJ6" i="22"/>
  <c r="AJ17" i="20" s="1"/>
  <c r="B37" i="3"/>
  <c r="AK6" i="14"/>
  <c r="AK5" i="21" s="1"/>
  <c r="AJ17" i="14"/>
  <c r="AG8" i="20"/>
  <c r="AG7" i="20"/>
  <c r="AG9" i="20" s="1"/>
  <c r="AH6" i="21"/>
  <c r="AH21" i="20" s="1"/>
  <c r="AJ9" i="23"/>
  <c r="AK15" i="14"/>
  <c r="AL14" i="14"/>
  <c r="AM14" i="14"/>
  <c r="AN14" i="14"/>
  <c r="AK3" i="17"/>
  <c r="AK10" i="14"/>
  <c r="AN9" i="14"/>
  <c r="AK5" i="14"/>
  <c r="AK4" i="21" s="1"/>
  <c r="AK4" i="14"/>
  <c r="AN3" i="14"/>
  <c r="AL7" i="15"/>
  <c r="AM7" i="15"/>
  <c r="AN7" i="15"/>
  <c r="B66" i="3" l="1"/>
  <c r="B67" i="3"/>
  <c r="C124" i="2" s="1"/>
  <c r="B91" i="3"/>
  <c r="B92" i="3"/>
  <c r="AK20" i="20"/>
  <c r="C113" i="2" s="1"/>
  <c r="AK27" i="3"/>
  <c r="AK9" i="17"/>
  <c r="AK10" i="22" s="1"/>
  <c r="AN10" i="22" s="1"/>
  <c r="AK4" i="20"/>
  <c r="AI18" i="14"/>
  <c r="AI5" i="20"/>
  <c r="AH10" i="20"/>
  <c r="AH6" i="20"/>
  <c r="AL4" i="21"/>
  <c r="AM4" i="21"/>
  <c r="AN4" i="21"/>
  <c r="AL5" i="21"/>
  <c r="AM5" i="21"/>
  <c r="AN5" i="21"/>
  <c r="AI5" i="23"/>
  <c r="AJ5" i="23"/>
  <c r="AN5" i="14"/>
  <c r="AK5" i="17"/>
  <c r="AN5" i="17" s="1"/>
  <c r="AK7" i="14"/>
  <c r="AN7" i="14" s="1"/>
  <c r="AN4" i="14"/>
  <c r="AN6" i="14"/>
  <c r="AK11" i="14"/>
  <c r="AN10" i="14"/>
  <c r="AK16" i="14"/>
  <c r="AK4" i="17"/>
  <c r="AL15" i="14"/>
  <c r="AM15" i="14"/>
  <c r="AN15" i="14"/>
  <c r="AN20" i="20" l="1"/>
  <c r="B36" i="3"/>
  <c r="AK29" i="3"/>
  <c r="AI22" i="20" a="1"/>
  <c r="AI22" i="20" s="1"/>
  <c r="AN4" i="20"/>
  <c r="C75" i="2"/>
  <c r="AH8" i="20"/>
  <c r="AH7" i="20"/>
  <c r="AH9" i="20" s="1"/>
  <c r="AI3" i="20"/>
  <c r="AI3" i="21"/>
  <c r="AN11" i="14"/>
  <c r="AK7" i="17"/>
  <c r="AK5" i="22" s="1"/>
  <c r="AN5" i="22" s="1"/>
  <c r="AK7" i="23"/>
  <c r="AK6" i="23"/>
  <c r="AK6" i="17"/>
  <c r="AN9" i="17"/>
  <c r="AL4" i="17"/>
  <c r="AM4" i="17"/>
  <c r="AN4" i="17"/>
  <c r="AN8" i="17"/>
  <c r="AL16" i="14"/>
  <c r="AM16" i="14"/>
  <c r="AN16" i="14"/>
  <c r="AK17" i="14" l="1"/>
  <c r="AK5" i="20" s="1"/>
  <c r="B27" i="27" s="1"/>
  <c r="AK6" i="22"/>
  <c r="AN6" i="22" s="1"/>
  <c r="AK30" i="3"/>
  <c r="B34" i="3" s="1"/>
  <c r="B33" i="3"/>
  <c r="B35" i="3"/>
  <c r="C120" i="2" s="1"/>
  <c r="AI6" i="21"/>
  <c r="AI21" i="20" s="1"/>
  <c r="AL7" i="23"/>
  <c r="AM7" i="23"/>
  <c r="AN7" i="23"/>
  <c r="AL6" i="23"/>
  <c r="AM6" i="23"/>
  <c r="AN6" i="23"/>
  <c r="AN6" i="17"/>
  <c r="AK9" i="23"/>
  <c r="AK18" i="14" l="1"/>
  <c r="AK3" i="21" s="1"/>
  <c r="J30" i="27" s="1"/>
  <c r="AN17" i="14"/>
  <c r="B9" i="28"/>
  <c r="A3" i="27"/>
  <c r="E4" i="26"/>
  <c r="C76" i="2"/>
  <c r="AN17" i="20"/>
  <c r="AK17" i="20"/>
  <c r="C83" i="2" s="1"/>
  <c r="AI6" i="20"/>
  <c r="AI10" i="20"/>
  <c r="AJ18" i="14"/>
  <c r="AJ5" i="20"/>
  <c r="AN5" i="20"/>
  <c r="AL9" i="23"/>
  <c r="AM9" i="23"/>
  <c r="AN9" i="23"/>
  <c r="AK3" i="20" l="1"/>
  <c r="AJ22" i="20" a="1"/>
  <c r="AJ22" i="20" s="1"/>
  <c r="AK22" i="20" a="1"/>
  <c r="AK22" i="20" s="1"/>
  <c r="AN18" i="14"/>
  <c r="AN3" i="20" s="1"/>
  <c r="AJ3" i="21"/>
  <c r="AJ3" i="20"/>
  <c r="AI8" i="20"/>
  <c r="AI7" i="20"/>
  <c r="AI9" i="20" s="1"/>
  <c r="AK6" i="21"/>
  <c r="AK21" i="20" s="1"/>
  <c r="AL3" i="21"/>
  <c r="AM3" i="21"/>
  <c r="AK5" i="23"/>
  <c r="AN7" i="17"/>
  <c r="C114" i="2" l="1"/>
  <c r="AN21" i="20"/>
  <c r="AN3" i="21"/>
  <c r="C115" i="2"/>
  <c r="AN22" i="20"/>
  <c r="AJ6" i="21"/>
  <c r="AK6" i="20"/>
  <c r="AK10" i="20"/>
  <c r="AL6" i="21"/>
  <c r="AL10" i="20" s="1"/>
  <c r="AM6" i="21"/>
  <c r="AM10" i="20" s="1"/>
  <c r="AL5" i="23"/>
  <c r="AM5" i="23"/>
  <c r="AN5" i="23"/>
  <c r="F59" i="19" l="1"/>
  <c r="E59" i="19"/>
  <c r="B38" i="3"/>
  <c r="B39" i="3" s="1"/>
  <c r="C9" i="28"/>
  <c r="AK8" i="20"/>
  <c r="C82" i="2" s="1"/>
  <c r="AL6" i="20"/>
  <c r="AM6" i="20"/>
  <c r="C77" i="2"/>
  <c r="AN6" i="21"/>
  <c r="AN10" i="20" s="1"/>
  <c r="E7" i="26" s="1"/>
  <c r="AJ21" i="20"/>
  <c r="E3" i="26"/>
  <c r="AJ10" i="20"/>
  <c r="AJ6" i="20"/>
  <c r="AN6" i="20" s="1"/>
  <c r="AK7" i="20"/>
  <c r="AN8" i="20" l="1"/>
  <c r="AJ8" i="20"/>
  <c r="AJ7" i="20"/>
  <c r="AJ9" i="20" s="1"/>
  <c r="AK9" i="20"/>
  <c r="AN7" i="20"/>
  <c r="AN9" i="20" l="1"/>
  <c r="C81" i="2"/>
  <c r="E3" i="27" l="1"/>
  <c r="E9" i="28"/>
  <c r="C5" i="16" l="1"/>
  <c r="C10" i="23" s="1"/>
  <c r="G5" i="16"/>
  <c r="G10" i="23" s="1"/>
  <c r="C13" i="15"/>
  <c r="C7" i="21" s="1"/>
  <c r="C8" i="21" s="1"/>
  <c r="G13" i="15"/>
  <c r="G7" i="21" s="1"/>
  <c r="G8" i="21" s="1"/>
  <c r="B3" i="15"/>
  <c r="AL3" i="15" s="1"/>
  <c r="B13" i="15"/>
  <c r="B7" i="21" s="1"/>
  <c r="B8" i="21" s="1"/>
  <c r="B10" i="21" s="1"/>
  <c r="B12" i="21" s="1"/>
  <c r="B18" i="21" s="1"/>
  <c r="C23" i="20" l="1" a="1"/>
  <c r="C23" i="20" s="1"/>
  <c r="B12" i="20"/>
  <c r="B11" i="20"/>
  <c r="B18" i="20" s="1" a="1"/>
  <c r="B18" i="20" s="1"/>
  <c r="C11" i="20"/>
  <c r="C18" i="20" s="1" a="1"/>
  <c r="C18" i="20" s="1"/>
  <c r="C12" i="20"/>
  <c r="C13" i="20" s="1"/>
  <c r="G11" i="20"/>
  <c r="G18" i="20" s="1" a="1"/>
  <c r="G18" i="20" s="1"/>
  <c r="G12" i="20"/>
  <c r="G13" i="20" s="1"/>
  <c r="F5" i="16"/>
  <c r="F10" i="23" s="1"/>
  <c r="F13" i="15"/>
  <c r="F7" i="21" s="1"/>
  <c r="F8" i="21" s="1"/>
  <c r="B19" i="21"/>
  <c r="C17" i="21" s="1"/>
  <c r="B13" i="21"/>
  <c r="E5" i="16"/>
  <c r="E10" i="23" s="1"/>
  <c r="E13" i="15"/>
  <c r="E7" i="21" s="1"/>
  <c r="E8" i="21" s="1"/>
  <c r="D5" i="16"/>
  <c r="D10" i="23" s="1"/>
  <c r="D13" i="15"/>
  <c r="D7" i="21" s="1"/>
  <c r="F23" i="20" l="1" a="1"/>
  <c r="F23" i="20" s="1"/>
  <c r="G23" i="20" a="1"/>
  <c r="G23" i="20" s="1"/>
  <c r="E12" i="20"/>
  <c r="E13" i="20" s="1"/>
  <c r="E11" i="20"/>
  <c r="E18" i="20" s="1" a="1"/>
  <c r="E18" i="20" s="1"/>
  <c r="B14" i="21"/>
  <c r="F11" i="20"/>
  <c r="F18" i="20" s="1" a="1"/>
  <c r="F18" i="20" s="1"/>
  <c r="F12" i="20"/>
  <c r="F13" i="20" s="1"/>
  <c r="H5" i="16"/>
  <c r="H10" i="23" s="1"/>
  <c r="H13" i="15"/>
  <c r="H7" i="21" s="1"/>
  <c r="H8" i="21" s="1"/>
  <c r="H23" i="20" s="1" a="1"/>
  <c r="H23" i="20" s="1"/>
  <c r="D8" i="21"/>
  <c r="D23" i="20" s="1" a="1"/>
  <c r="D23" i="20" s="1"/>
  <c r="B5" i="16"/>
  <c r="E23" i="20" l="1" a="1"/>
  <c r="E23" i="20" s="1"/>
  <c r="B10" i="23"/>
  <c r="B8" i="16"/>
  <c r="D11" i="20"/>
  <c r="D18" i="20" s="1" a="1"/>
  <c r="D18" i="20" s="1"/>
  <c r="D12" i="20"/>
  <c r="D13" i="20" s="1"/>
  <c r="I13" i="15"/>
  <c r="H12" i="20"/>
  <c r="H13" i="20" s="1"/>
  <c r="H11" i="20"/>
  <c r="H18" i="20" s="1" a="1"/>
  <c r="H18" i="20" s="1"/>
  <c r="B15" i="21"/>
  <c r="B16" i="22" l="1"/>
  <c r="B3" i="23"/>
  <c r="B14" i="23" s="1"/>
  <c r="B4" i="22" s="1"/>
  <c r="I7" i="21"/>
  <c r="I5" i="16"/>
  <c r="J5" i="16"/>
  <c r="J10" i="23" s="1"/>
  <c r="J13" i="15"/>
  <c r="J7" i="21" s="1"/>
  <c r="J8" i="21" s="1"/>
  <c r="C6" i="16"/>
  <c r="B57" i="25" l="1"/>
  <c r="C7" i="16"/>
  <c r="C8" i="16" s="1"/>
  <c r="K13" i="15"/>
  <c r="K7" i="21" s="1"/>
  <c r="K8" i="21" s="1"/>
  <c r="K23" i="20" s="1" a="1"/>
  <c r="K23" i="20" s="1"/>
  <c r="K5" i="16"/>
  <c r="K10" i="23" s="1"/>
  <c r="J12" i="20"/>
  <c r="J13" i="20" s="1"/>
  <c r="J11" i="20"/>
  <c r="J18" i="20" s="1" a="1"/>
  <c r="J18" i="20" s="1"/>
  <c r="I10" i="23"/>
  <c r="I8" i="21"/>
  <c r="I23" i="20" s="1" a="1"/>
  <c r="I23" i="20" s="1"/>
  <c r="B20" i="22"/>
  <c r="B16" i="20"/>
  <c r="J23" i="20" l="1" a="1"/>
  <c r="J23" i="20" s="1"/>
  <c r="K11" i="20"/>
  <c r="K18" i="20" s="1" a="1"/>
  <c r="K18" i="20" s="1"/>
  <c r="K12" i="20"/>
  <c r="K13" i="20" s="1"/>
  <c r="AL5" i="15"/>
  <c r="L13" i="15"/>
  <c r="C9" i="21"/>
  <c r="I12" i="20"/>
  <c r="I13" i="20" s="1"/>
  <c r="I11" i="20"/>
  <c r="I18" i="20" s="1" a="1"/>
  <c r="I18" i="20" s="1"/>
  <c r="D6" i="16"/>
  <c r="D7" i="16" l="1"/>
  <c r="D8" i="16" s="1"/>
  <c r="C4" i="23"/>
  <c r="C10" i="21"/>
  <c r="L5" i="16"/>
  <c r="M13" i="15"/>
  <c r="M7" i="21" s="1"/>
  <c r="M8" i="21" s="1"/>
  <c r="M5" i="16"/>
  <c r="M10" i="23" s="1"/>
  <c r="AL6" i="15"/>
  <c r="AM3" i="15"/>
  <c r="B15" i="20"/>
  <c r="B19" i="22"/>
  <c r="B21" i="22" s="1"/>
  <c r="B14" i="20"/>
  <c r="L7" i="21"/>
  <c r="AL13" i="15" l="1"/>
  <c r="L8" i="21"/>
  <c r="L23" i="20" s="1" a="1"/>
  <c r="L23" i="20" s="1"/>
  <c r="AL7" i="21"/>
  <c r="M11" i="20"/>
  <c r="M18" i="20" s="1" a="1"/>
  <c r="M18" i="20" s="1"/>
  <c r="AL18" i="20" s="1"/>
  <c r="M12" i="20"/>
  <c r="M13" i="20" s="1"/>
  <c r="AL3" i="16"/>
  <c r="L10" i="23"/>
  <c r="AL10" i="23" s="1"/>
  <c r="AL5" i="16"/>
  <c r="C12" i="21"/>
  <c r="C18" i="21" s="1"/>
  <c r="D9" i="21"/>
  <c r="E6" i="16"/>
  <c r="E11" i="26" l="1"/>
  <c r="G3" i="27"/>
  <c r="M23" i="20" a="1"/>
  <c r="M23" i="20" s="1"/>
  <c r="AL23" i="20" s="1"/>
  <c r="L11" i="20"/>
  <c r="L18" i="20" s="1" a="1"/>
  <c r="L18" i="20" s="1"/>
  <c r="L12" i="20"/>
  <c r="L13" i="20" s="1"/>
  <c r="AL8" i="21"/>
  <c r="AL11" i="20" s="1"/>
  <c r="E7" i="16"/>
  <c r="E8" i="16"/>
  <c r="N13" i="15"/>
  <c r="D4" i="23"/>
  <c r="D10" i="21"/>
  <c r="C13" i="21"/>
  <c r="C19" i="21"/>
  <c r="D17" i="21" s="1"/>
  <c r="AL13" i="20"/>
  <c r="AL12" i="20"/>
  <c r="C14" i="21" l="1"/>
  <c r="D12" i="21"/>
  <c r="D18" i="21" s="1"/>
  <c r="N7" i="21"/>
  <c r="N5" i="16"/>
  <c r="O5" i="16"/>
  <c r="O10" i="23" s="1"/>
  <c r="O13" i="15"/>
  <c r="O7" i="21" s="1"/>
  <c r="O8" i="21" s="1"/>
  <c r="F6" i="16"/>
  <c r="E9" i="21"/>
  <c r="E4" i="23" l="1"/>
  <c r="E10" i="21"/>
  <c r="F7" i="16"/>
  <c r="F8" i="16" s="1"/>
  <c r="P5" i="16"/>
  <c r="P10" i="23" s="1"/>
  <c r="P13" i="15"/>
  <c r="O11" i="20"/>
  <c r="O18" i="20" s="1" a="1"/>
  <c r="O18" i="20" s="1"/>
  <c r="O12" i="20"/>
  <c r="O13" i="20" s="1"/>
  <c r="N10" i="23"/>
  <c r="N8" i="21"/>
  <c r="N23" i="20" s="1" a="1"/>
  <c r="N23" i="20" s="1"/>
  <c r="C15" i="21"/>
  <c r="D19" i="21"/>
  <c r="E17" i="21" s="1"/>
  <c r="D13" i="21"/>
  <c r="O23" i="20" l="1" a="1"/>
  <c r="O23" i="20" s="1"/>
  <c r="D14" i="21"/>
  <c r="D15" i="21" s="1"/>
  <c r="D3" i="23" s="1"/>
  <c r="D14" i="23" s="1"/>
  <c r="C3" i="23"/>
  <c r="C14" i="23" s="1"/>
  <c r="C4" i="22" s="1"/>
  <c r="C16" i="22"/>
  <c r="N11" i="20"/>
  <c r="N18" i="20" s="1" a="1"/>
  <c r="N18" i="20" s="1"/>
  <c r="N12" i="20"/>
  <c r="N13" i="20" s="1"/>
  <c r="P7" i="21"/>
  <c r="Q13" i="15"/>
  <c r="Q7" i="21" s="1"/>
  <c r="Q8" i="21" s="1"/>
  <c r="G6" i="16"/>
  <c r="F9" i="21"/>
  <c r="E12" i="21"/>
  <c r="E18" i="21" s="1"/>
  <c r="C57" i="25" l="1"/>
  <c r="D4" i="22"/>
  <c r="D57" i="25" s="1"/>
  <c r="E13" i="21"/>
  <c r="E19" i="21"/>
  <c r="F17" i="21" s="1"/>
  <c r="F4" i="23"/>
  <c r="F10" i="21"/>
  <c r="F12" i="21" s="1"/>
  <c r="G7" i="16"/>
  <c r="Q5" i="16"/>
  <c r="Q12" i="20"/>
  <c r="Q13" i="20" s="1"/>
  <c r="Q11" i="20"/>
  <c r="Q18" i="20" s="1" a="1"/>
  <c r="Q18" i="20" s="1"/>
  <c r="R13" i="15"/>
  <c r="R7" i="21" s="1"/>
  <c r="R8" i="21" s="1"/>
  <c r="R23" i="20" s="1" a="1"/>
  <c r="R23" i="20" s="1"/>
  <c r="R5" i="16"/>
  <c r="R10" i="23" s="1"/>
  <c r="P8" i="21"/>
  <c r="P23" i="20" s="1" a="1"/>
  <c r="P23" i="20" s="1"/>
  <c r="C20" i="22"/>
  <c r="C16" i="20"/>
  <c r="D16" i="22"/>
  <c r="F18" i="21" l="1"/>
  <c r="F14" i="21" s="1"/>
  <c r="F15" i="21" s="1"/>
  <c r="F3" i="23" s="1"/>
  <c r="F14" i="23" s="1"/>
  <c r="Q23" i="20" a="1"/>
  <c r="Q23" i="20" s="1"/>
  <c r="S13" i="15"/>
  <c r="S5" i="16"/>
  <c r="S10" i="23" s="1"/>
  <c r="G9" i="21"/>
  <c r="F13" i="21"/>
  <c r="P12" i="20"/>
  <c r="P13" i="20" s="1"/>
  <c r="P11" i="20"/>
  <c r="P18" i="20" s="1" a="1"/>
  <c r="P18" i="20" s="1"/>
  <c r="R12" i="20"/>
  <c r="R13" i="20" s="1"/>
  <c r="R11" i="20"/>
  <c r="R18" i="20" s="1" a="1"/>
  <c r="R18" i="20" s="1"/>
  <c r="Q10" i="23"/>
  <c r="G8" i="16"/>
  <c r="D16" i="20"/>
  <c r="D20" i="22"/>
  <c r="E14" i="21"/>
  <c r="F19" i="21" l="1"/>
  <c r="G17" i="21" s="1"/>
  <c r="G4" i="23"/>
  <c r="G10" i="21"/>
  <c r="G12" i="21" s="1"/>
  <c r="E15" i="21"/>
  <c r="C15" i="20"/>
  <c r="C14" i="20"/>
  <c r="C19" i="22"/>
  <c r="C21" i="22" s="1"/>
  <c r="S7" i="21"/>
  <c r="H6" i="16"/>
  <c r="T13" i="15"/>
  <c r="T7" i="21" s="1"/>
  <c r="T8" i="21" s="1"/>
  <c r="G18" i="21" l="1"/>
  <c r="G19" i="21" s="1"/>
  <c r="H17" i="21" s="1"/>
  <c r="T5" i="16"/>
  <c r="H7" i="16"/>
  <c r="H9" i="21" s="1"/>
  <c r="U13" i="15"/>
  <c r="U7" i="21" s="1"/>
  <c r="U8" i="21" s="1"/>
  <c r="U23" i="20" s="1" a="1"/>
  <c r="U23" i="20" s="1"/>
  <c r="U5" i="16"/>
  <c r="U10" i="23" s="1"/>
  <c r="S8" i="21"/>
  <c r="S23" i="20" s="1" a="1"/>
  <c r="S23" i="20" s="1"/>
  <c r="D19" i="22"/>
  <c r="D21" i="22" s="1"/>
  <c r="D14" i="20"/>
  <c r="D15" i="20"/>
  <c r="E3" i="23"/>
  <c r="E14" i="23" s="1"/>
  <c r="E4" i="22" s="1"/>
  <c r="E16" i="22"/>
  <c r="T12" i="20"/>
  <c r="T13" i="20" s="1"/>
  <c r="T11" i="20"/>
  <c r="T18" i="20" s="1" a="1"/>
  <c r="T18" i="20" s="1"/>
  <c r="G13" i="21"/>
  <c r="F4" i="22" l="1"/>
  <c r="F57" i="25" s="1"/>
  <c r="E57" i="25"/>
  <c r="T23" i="20" a="1"/>
  <c r="T23" i="20" s="1"/>
  <c r="H8" i="16"/>
  <c r="I6" i="16" s="1"/>
  <c r="G14" i="21"/>
  <c r="G15" i="21" s="1"/>
  <c r="G3" i="23" s="1"/>
  <c r="G14" i="23" s="1"/>
  <c r="V5" i="16"/>
  <c r="V10" i="23" s="1"/>
  <c r="V13" i="15"/>
  <c r="V7" i="21" s="1"/>
  <c r="S12" i="20"/>
  <c r="S13" i="20" s="1"/>
  <c r="S11" i="20"/>
  <c r="S18" i="20" s="1" a="1"/>
  <c r="S18" i="20" s="1"/>
  <c r="U11" i="20"/>
  <c r="U18" i="20" s="1" a="1"/>
  <c r="U18" i="20" s="1"/>
  <c r="U12" i="20"/>
  <c r="U13" i="20" s="1"/>
  <c r="H4" i="23"/>
  <c r="H10" i="21"/>
  <c r="H12" i="21" s="1"/>
  <c r="H18" i="21" s="1"/>
  <c r="F16" i="22"/>
  <c r="E16" i="20"/>
  <c r="E20" i="22"/>
  <c r="T10" i="23"/>
  <c r="G4" i="22" l="1"/>
  <c r="G57" i="25" s="1"/>
  <c r="G16" i="22"/>
  <c r="F20" i="22"/>
  <c r="F16" i="20"/>
  <c r="H13" i="21"/>
  <c r="H19" i="21"/>
  <c r="I17" i="21" s="1"/>
  <c r="I7" i="16"/>
  <c r="I9" i="21" s="1"/>
  <c r="W5" i="16"/>
  <c r="W13" i="15"/>
  <c r="W7" i="21" s="1"/>
  <c r="W8" i="21" s="1"/>
  <c r="V8" i="21"/>
  <c r="V23" i="20" s="1" a="1"/>
  <c r="V23" i="20" s="1"/>
  <c r="W23" i="20" l="1" a="1"/>
  <c r="W23" i="20" s="1"/>
  <c r="H14" i="21"/>
  <c r="H15" i="21" s="1"/>
  <c r="H3" i="23" s="1"/>
  <c r="H14" i="23" s="1"/>
  <c r="H4" i="22" s="1"/>
  <c r="H57" i="25" s="1"/>
  <c r="AM5" i="15"/>
  <c r="W11" i="20"/>
  <c r="W18" i="20" s="1" a="1"/>
  <c r="W18" i="20" s="1"/>
  <c r="W12" i="20"/>
  <c r="W13" i="20" s="1"/>
  <c r="I8" i="16"/>
  <c r="V11" i="20"/>
  <c r="V18" i="20" s="1" a="1"/>
  <c r="V18" i="20" s="1"/>
  <c r="V12" i="20"/>
  <c r="V13" i="20" s="1"/>
  <c r="X13" i="15"/>
  <c r="X7" i="21" s="1"/>
  <c r="X8" i="21" s="1"/>
  <c r="X23" i="20" s="1" a="1"/>
  <c r="X23" i="20" s="1"/>
  <c r="X5" i="16"/>
  <c r="X10" i="23" s="1"/>
  <c r="W10" i="23"/>
  <c r="E14" i="20"/>
  <c r="E19" i="22"/>
  <c r="E21" i="22" s="1"/>
  <c r="E15" i="20"/>
  <c r="I4" i="23"/>
  <c r="I10" i="21"/>
  <c r="I12" i="21" s="1"/>
  <c r="I18" i="21" s="1"/>
  <c r="G16" i="20"/>
  <c r="G20" i="22"/>
  <c r="H16" i="22" l="1"/>
  <c r="H20" i="22" s="1"/>
  <c r="F19" i="22"/>
  <c r="F21" i="22" s="1"/>
  <c r="F14" i="20"/>
  <c r="F15" i="20"/>
  <c r="X11" i="20"/>
  <c r="X18" i="20" s="1" a="1"/>
  <c r="X18" i="20" s="1"/>
  <c r="X12" i="20"/>
  <c r="X13" i="20" s="1"/>
  <c r="J6" i="16"/>
  <c r="I19" i="21"/>
  <c r="J17" i="21" s="1"/>
  <c r="I13" i="21"/>
  <c r="Y13" i="15"/>
  <c r="Y7" i="21" s="1"/>
  <c r="Y8" i="21" s="1"/>
  <c r="Y23" i="20" s="1" a="1"/>
  <c r="Y23" i="20" s="1"/>
  <c r="AM23" i="20" s="1"/>
  <c r="Y5" i="16"/>
  <c r="AN3" i="15"/>
  <c r="H16" i="20" l="1"/>
  <c r="Y10" i="23"/>
  <c r="AM5" i="16"/>
  <c r="Y12" i="20"/>
  <c r="Y13" i="20" s="1"/>
  <c r="Y11" i="20"/>
  <c r="Y18" i="20" s="1" a="1"/>
  <c r="Y18" i="20" s="1"/>
  <c r="AM18" i="20" s="1"/>
  <c r="I14" i="21"/>
  <c r="I15" i="21" s="1"/>
  <c r="J7" i="16"/>
  <c r="J9" i="21" s="1"/>
  <c r="G19" i="22"/>
  <c r="G21" i="22" s="1"/>
  <c r="G14" i="20"/>
  <c r="G15" i="20"/>
  <c r="J8" i="16" l="1"/>
  <c r="H14" i="20"/>
  <c r="H19" i="22"/>
  <c r="H21" i="22" s="1"/>
  <c r="H15" i="20"/>
  <c r="Z13" i="15"/>
  <c r="J4" i="23"/>
  <c r="J10" i="21"/>
  <c r="J12" i="21" s="1"/>
  <c r="J18" i="21" s="1"/>
  <c r="I3" i="23"/>
  <c r="I14" i="23" s="1"/>
  <c r="I4" i="22" s="1"/>
  <c r="I57" i="25" s="1"/>
  <c r="I16" i="22"/>
  <c r="AM13" i="20"/>
  <c r="AM12" i="20"/>
  <c r="K6" i="16" l="1"/>
  <c r="K7" i="16" s="1"/>
  <c r="K9" i="21" s="1"/>
  <c r="I16" i="20"/>
  <c r="I20" i="22"/>
  <c r="Z5" i="16"/>
  <c r="Z7" i="21"/>
  <c r="AA13" i="15"/>
  <c r="AA7" i="21" s="1"/>
  <c r="AA8" i="21" s="1"/>
  <c r="AA5" i="16"/>
  <c r="AA10" i="23" s="1"/>
  <c r="J19" i="21"/>
  <c r="K17" i="21" s="1"/>
  <c r="J13" i="21"/>
  <c r="K8" i="16" l="1"/>
  <c r="L6" i="16" s="1"/>
  <c r="AB13" i="15"/>
  <c r="AB5" i="16"/>
  <c r="AB10" i="23" s="1"/>
  <c r="K4" i="23"/>
  <c r="K10" i="21"/>
  <c r="K12" i="21" s="1"/>
  <c r="K18" i="21" s="1"/>
  <c r="I14" i="20"/>
  <c r="I15" i="20"/>
  <c r="I19" i="22"/>
  <c r="I21" i="22" s="1"/>
  <c r="J14" i="21"/>
  <c r="J15" i="21" s="1"/>
  <c r="AA12" i="20"/>
  <c r="AA13" i="20" s="1"/>
  <c r="AA11" i="20"/>
  <c r="AA18" i="20" s="1" a="1"/>
  <c r="AA18" i="20" s="1"/>
  <c r="Z8" i="21"/>
  <c r="Z23" i="20" s="1" a="1"/>
  <c r="Z23" i="20" s="1"/>
  <c r="Z10" i="23"/>
  <c r="AA23" i="20" l="1" a="1"/>
  <c r="AA23" i="20" s="1"/>
  <c r="Z11" i="20"/>
  <c r="Z18" i="20" s="1" a="1"/>
  <c r="Z18" i="20" s="1"/>
  <c r="Z12" i="20"/>
  <c r="Z13" i="20" s="1"/>
  <c r="AC13" i="15"/>
  <c r="AC7" i="21" s="1"/>
  <c r="AC8" i="21" s="1"/>
  <c r="J3" i="23"/>
  <c r="J16" i="22"/>
  <c r="K13" i="21"/>
  <c r="K19" i="21"/>
  <c r="L17" i="21" s="1"/>
  <c r="AB7" i="21"/>
  <c r="L7" i="16"/>
  <c r="L9" i="21" s="1"/>
  <c r="J14" i="23" l="1"/>
  <c r="J4" i="22" s="1"/>
  <c r="L4" i="23"/>
  <c r="L10" i="21"/>
  <c r="L12" i="21" s="1"/>
  <c r="L18" i="21" s="1"/>
  <c r="L8" i="16"/>
  <c r="AB8" i="21"/>
  <c r="AB23" i="20" s="1" a="1"/>
  <c r="AB23" i="20" s="1"/>
  <c r="K14" i="21"/>
  <c r="K15" i="21" s="1"/>
  <c r="K3" i="23" s="1"/>
  <c r="J16" i="20"/>
  <c r="J20" i="22"/>
  <c r="AC5" i="16"/>
  <c r="AC11" i="20"/>
  <c r="AC18" i="20" s="1" a="1"/>
  <c r="AC18" i="20" s="1"/>
  <c r="AC12" i="20"/>
  <c r="AC13" i="20" s="1"/>
  <c r="AD5" i="16"/>
  <c r="AD10" i="23" s="1"/>
  <c r="AD13" i="15"/>
  <c r="D18" i="25" l="1" a="1"/>
  <c r="D18" i="25" s="1"/>
  <c r="E18" i="25" s="1"/>
  <c r="J57" i="25"/>
  <c r="J14" i="20"/>
  <c r="J15" i="20"/>
  <c r="J19" i="22"/>
  <c r="J21" i="22" s="1"/>
  <c r="K14" i="23"/>
  <c r="K4" i="22" s="1"/>
  <c r="K57" i="25" s="1"/>
  <c r="AC23" i="20" a="1"/>
  <c r="AC23" i="20" s="1"/>
  <c r="K16" i="22"/>
  <c r="K20" i="22" s="1"/>
  <c r="AC10" i="23"/>
  <c r="AB12" i="20"/>
  <c r="AB13" i="20" s="1"/>
  <c r="AB11" i="20"/>
  <c r="AB18" i="20" s="1" a="1"/>
  <c r="AB18" i="20" s="1"/>
  <c r="M6" i="16"/>
  <c r="AD7" i="21"/>
  <c r="L19" i="21"/>
  <c r="M17" i="21" s="1"/>
  <c r="L13" i="21"/>
  <c r="AE5" i="16"/>
  <c r="AE10" i="23" s="1"/>
  <c r="AE13" i="15"/>
  <c r="AE7" i="21" s="1"/>
  <c r="AE8" i="21" s="1"/>
  <c r="B27" i="25" l="1"/>
  <c r="K15" i="20"/>
  <c r="K19" i="22"/>
  <c r="K21" i="22" s="1"/>
  <c r="K14" i="20"/>
  <c r="K16" i="20"/>
  <c r="L14" i="21"/>
  <c r="L15" i="21" s="1"/>
  <c r="AD8" i="21"/>
  <c r="AD23" i="20" s="1" a="1"/>
  <c r="AD23" i="20" s="1"/>
  <c r="AE12" i="20"/>
  <c r="AE13" i="20" s="1"/>
  <c r="AE11" i="20"/>
  <c r="AE18" i="20" s="1" a="1"/>
  <c r="AE18" i="20" s="1"/>
  <c r="M7" i="16"/>
  <c r="M9" i="21" s="1"/>
  <c r="AF5" i="16"/>
  <c r="AF13" i="15"/>
  <c r="D27" i="25" l="1"/>
  <c r="D36" i="25" s="1"/>
  <c r="C27" i="25"/>
  <c r="C36" i="25" s="1"/>
  <c r="G27" i="25"/>
  <c r="G36" i="25" s="1"/>
  <c r="F27" i="25"/>
  <c r="F36" i="25" s="1"/>
  <c r="E27" i="25"/>
  <c r="E36" i="25" s="1"/>
  <c r="AE23" i="20" a="1"/>
  <c r="AE23" i="20" s="1"/>
  <c r="M8" i="16"/>
  <c r="N6" i="16" s="1"/>
  <c r="AF7" i="21"/>
  <c r="AD12" i="20"/>
  <c r="AD13" i="20" s="1"/>
  <c r="AD11" i="20"/>
  <c r="AD18" i="20" s="1" a="1"/>
  <c r="AD18" i="20" s="1"/>
  <c r="AG13" i="15"/>
  <c r="AG7" i="21" s="1"/>
  <c r="AG8" i="21" s="1"/>
  <c r="AG5" i="16"/>
  <c r="AG10" i="23" s="1"/>
  <c r="AF10" i="23"/>
  <c r="M4" i="23"/>
  <c r="M10" i="21"/>
  <c r="M12" i="21" s="1"/>
  <c r="M18" i="21" s="1"/>
  <c r="L3" i="23"/>
  <c r="L16" i="22"/>
  <c r="L14" i="23" l="1"/>
  <c r="L4" i="22" s="1"/>
  <c r="L57" i="25" s="1"/>
  <c r="AL8" i="16"/>
  <c r="L16" i="20"/>
  <c r="L20" i="22"/>
  <c r="M13" i="21"/>
  <c r="AL13" i="21" s="1"/>
  <c r="M19" i="21"/>
  <c r="N7" i="16"/>
  <c r="AM6" i="16"/>
  <c r="AG12" i="20"/>
  <c r="AG13" i="20" s="1"/>
  <c r="AG11" i="20"/>
  <c r="AG18" i="20" s="1" a="1"/>
  <c r="AG18" i="20" s="1"/>
  <c r="AF8" i="21"/>
  <c r="AF23" i="20" s="1" a="1"/>
  <c r="AF23" i="20" s="1"/>
  <c r="AH5" i="16"/>
  <c r="AH13" i="15"/>
  <c r="AH7" i="21" s="1"/>
  <c r="AH8" i="21" s="1"/>
  <c r="AH23" i="20" s="1" a="1"/>
  <c r="AH23" i="20" s="1"/>
  <c r="L19" i="22" l="1"/>
  <c r="L21" i="22" s="1"/>
  <c r="L14" i="20"/>
  <c r="L15" i="20"/>
  <c r="N17" i="21"/>
  <c r="AM17" i="21" s="1"/>
  <c r="AL19" i="21"/>
  <c r="AG23" i="20" a="1"/>
  <c r="AG23" i="20" s="1"/>
  <c r="AH10" i="23"/>
  <c r="AF12" i="20"/>
  <c r="AF13" i="20" s="1"/>
  <c r="AF11" i="20"/>
  <c r="AF18" i="20" s="1" a="1"/>
  <c r="AF18" i="20" s="1"/>
  <c r="N9" i="21"/>
  <c r="N8" i="16"/>
  <c r="M14" i="21"/>
  <c r="M15" i="21" s="1"/>
  <c r="AI5" i="16"/>
  <c r="AI10" i="23" s="1"/>
  <c r="AI13" i="15"/>
  <c r="AI7" i="21" s="1"/>
  <c r="AH12" i="20"/>
  <c r="AH13" i="20" s="1"/>
  <c r="AH11" i="20"/>
  <c r="AH18" i="20" s="1" a="1"/>
  <c r="AH18" i="20" s="1"/>
  <c r="AI8" i="21" l="1"/>
  <c r="AI23" i="20" s="1" a="1"/>
  <c r="AI23" i="20" s="1"/>
  <c r="AJ5" i="16"/>
  <c r="AJ10" i="23" s="1"/>
  <c r="AJ13" i="15"/>
  <c r="AJ7" i="21" s="1"/>
  <c r="AJ8" i="21" s="1"/>
  <c r="AN5" i="15"/>
  <c r="M3" i="23"/>
  <c r="M16" i="22"/>
  <c r="O6" i="16"/>
  <c r="N4" i="23"/>
  <c r="N10" i="21"/>
  <c r="M14" i="23" l="1"/>
  <c r="M4" i="22" s="1"/>
  <c r="AJ23" i="20" a="1"/>
  <c r="AJ23" i="20" s="1"/>
  <c r="N12" i="21"/>
  <c r="N18" i="21" s="1"/>
  <c r="O7" i="16"/>
  <c r="M20" i="22"/>
  <c r="M16" i="20"/>
  <c r="AL16" i="22"/>
  <c r="AK13" i="15"/>
  <c r="AM6" i="15"/>
  <c r="AN6" i="15"/>
  <c r="AJ11" i="20"/>
  <c r="AJ18" i="20" s="1" a="1"/>
  <c r="AJ18" i="20" s="1"/>
  <c r="AJ12" i="20"/>
  <c r="AJ13" i="20" s="1"/>
  <c r="AI11" i="20"/>
  <c r="AI18" i="20" s="1" a="1"/>
  <c r="AI18" i="20" s="1"/>
  <c r="AI12" i="20"/>
  <c r="AI13" i="20" s="1"/>
  <c r="M57" i="25" l="1"/>
  <c r="E16" i="26"/>
  <c r="B8" i="25" a="1"/>
  <c r="B8" i="25" s="1"/>
  <c r="D19" i="25" a="1"/>
  <c r="D19" i="25" s="1"/>
  <c r="AL4" i="22"/>
  <c r="AL15" i="20" s="1"/>
  <c r="E18" i="26"/>
  <c r="M15" i="20"/>
  <c r="B19" i="19" s="1" a="1"/>
  <c r="B19" i="19" s="1"/>
  <c r="B20" i="19" s="1"/>
  <c r="B29" i="19" s="1"/>
  <c r="B9" i="25" s="1"/>
  <c r="M19" i="22"/>
  <c r="M21" i="22" s="1"/>
  <c r="M14" i="20"/>
  <c r="AL16" i="20"/>
  <c r="AL20" i="22"/>
  <c r="AK5" i="16"/>
  <c r="AM3" i="16"/>
  <c r="AN3" i="16"/>
  <c r="AK7" i="21"/>
  <c r="AM13" i="15"/>
  <c r="AN13" i="15"/>
  <c r="O9" i="21"/>
  <c r="O8" i="16"/>
  <c r="N19" i="21"/>
  <c r="N13" i="21"/>
  <c r="AL14" i="20" l="1"/>
  <c r="E15" i="26" a="1"/>
  <c r="E15" i="26" s="1"/>
  <c r="E19" i="25"/>
  <c r="J3" i="27"/>
  <c r="AL19" i="22"/>
  <c r="AL21" i="22" s="1"/>
  <c r="E54" i="19"/>
  <c r="E55" i="19" s="1"/>
  <c r="B54" i="19"/>
  <c r="B55" i="19" s="1"/>
  <c r="C54" i="19"/>
  <c r="C55" i="19" s="1"/>
  <c r="D54" i="19"/>
  <c r="D55" i="19" s="1"/>
  <c r="F54" i="19"/>
  <c r="F55" i="19" s="1"/>
  <c r="B25" i="19"/>
  <c r="B26" i="19" s="1"/>
  <c r="C49" i="19"/>
  <c r="B11" i="25" s="1"/>
  <c r="C48" i="19"/>
  <c r="B10" i="25" s="1"/>
  <c r="C47" i="19"/>
  <c r="C16" i="28"/>
  <c r="E19" i="27"/>
  <c r="B25" i="27"/>
  <c r="B31" i="19"/>
  <c r="B32" i="19" s="1"/>
  <c r="O17" i="21"/>
  <c r="N14" i="21"/>
  <c r="O4" i="23"/>
  <c r="O10" i="21"/>
  <c r="AK8" i="21"/>
  <c r="AK23" i="20" s="1" a="1"/>
  <c r="AK23" i="20" s="1"/>
  <c r="AM7" i="21"/>
  <c r="AN7" i="21"/>
  <c r="P6" i="16"/>
  <c r="AK10" i="23"/>
  <c r="AN5" i="16"/>
  <c r="E20" i="26" l="1"/>
  <c r="B12" i="25"/>
  <c r="A14" i="25" s="1"/>
  <c r="B28" i="25"/>
  <c r="B33" i="19"/>
  <c r="C51" i="19"/>
  <c r="C17" i="28"/>
  <c r="E20" i="27"/>
  <c r="C25" i="27"/>
  <c r="C116" i="2"/>
  <c r="AN23" i="20"/>
  <c r="AM10" i="23"/>
  <c r="AN10" i="23"/>
  <c r="P7" i="16"/>
  <c r="AK12" i="20"/>
  <c r="AK13" i="20" s="1"/>
  <c r="C79" i="2" s="1"/>
  <c r="AK11" i="20"/>
  <c r="AM8" i="21"/>
  <c r="AM11" i="20" s="1"/>
  <c r="AN8" i="21"/>
  <c r="O12" i="21"/>
  <c r="O18" i="21" s="1"/>
  <c r="N15" i="21"/>
  <c r="E28" i="25" l="1"/>
  <c r="E37" i="25" s="1"/>
  <c r="D28" i="25"/>
  <c r="D37" i="25" s="1"/>
  <c r="G28" i="25"/>
  <c r="G37" i="25" s="1"/>
  <c r="F28" i="25"/>
  <c r="F37" i="25" s="1"/>
  <c r="C28" i="25"/>
  <c r="C37" i="25" s="1"/>
  <c r="AN11" i="20"/>
  <c r="E8" i="26" s="1"/>
  <c r="B40" i="3"/>
  <c r="E21" i="27"/>
  <c r="C18" i="28"/>
  <c r="C78" i="2"/>
  <c r="AK18" i="20" a="1"/>
  <c r="AK18" i="20" s="1"/>
  <c r="N3" i="23"/>
  <c r="N14" i="23" s="1"/>
  <c r="N4" i="22" s="1"/>
  <c r="N57" i="25" s="1"/>
  <c r="N16" i="22"/>
  <c r="AN12" i="20"/>
  <c r="AN13" i="20"/>
  <c r="P9" i="21"/>
  <c r="P8" i="16"/>
  <c r="O19" i="21"/>
  <c r="P17" i="21" s="1"/>
  <c r="O13" i="21"/>
  <c r="B42" i="3" l="1"/>
  <c r="B41" i="3"/>
  <c r="B43" i="3" s="1"/>
  <c r="C111" i="2"/>
  <c r="AN18" i="20"/>
  <c r="O14" i="21"/>
  <c r="Q6" i="16"/>
  <c r="P4" i="23"/>
  <c r="P10" i="21"/>
  <c r="N20" i="22"/>
  <c r="N16" i="20"/>
  <c r="B44" i="3" l="1"/>
  <c r="C3" i="27"/>
  <c r="D9" i="28"/>
  <c r="Q7" i="16"/>
  <c r="Q8" i="16" s="1"/>
  <c r="P12" i="21"/>
  <c r="P18" i="21" s="1"/>
  <c r="O15" i="21"/>
  <c r="O3" i="23" l="1"/>
  <c r="O14" i="23" s="1"/>
  <c r="O4" i="22" s="1"/>
  <c r="O57" i="25" s="1"/>
  <c r="O16" i="22"/>
  <c r="P13" i="21"/>
  <c r="P19" i="21"/>
  <c r="Q17" i="21" s="1"/>
  <c r="R6" i="16"/>
  <c r="Q9" i="21"/>
  <c r="N19" i="22"/>
  <c r="N21" i="22" s="1"/>
  <c r="N14" i="20"/>
  <c r="N15" i="20"/>
  <c r="Q4" i="23" l="1"/>
  <c r="Q10" i="21"/>
  <c r="R7" i="16"/>
  <c r="P14" i="21"/>
  <c r="O16" i="20"/>
  <c r="O20" i="22"/>
  <c r="P15" i="21" l="1"/>
  <c r="R9" i="21"/>
  <c r="R8" i="16"/>
  <c r="Q12" i="21"/>
  <c r="Q18" i="21" s="1"/>
  <c r="Q19" i="21" l="1"/>
  <c r="R17" i="21" s="1"/>
  <c r="Q13" i="21"/>
  <c r="S6" i="16"/>
  <c r="R4" i="23"/>
  <c r="R10" i="21"/>
  <c r="P3" i="23"/>
  <c r="P14" i="23" s="1"/>
  <c r="P4" i="22" s="1"/>
  <c r="P16" i="22"/>
  <c r="O19" i="22"/>
  <c r="O21" i="22" s="1"/>
  <c r="O14" i="20"/>
  <c r="O15" i="20"/>
  <c r="D20" i="25" l="1" a="1"/>
  <c r="D20" i="25" s="1"/>
  <c r="E20" i="25" s="1"/>
  <c r="P57" i="25"/>
  <c r="P16" i="20"/>
  <c r="P20" i="22"/>
  <c r="R12" i="21"/>
  <c r="R18" i="21" s="1"/>
  <c r="S7" i="16"/>
  <c r="S9" i="21" s="1"/>
  <c r="Q14" i="21"/>
  <c r="B29" i="25" l="1"/>
  <c r="Q15" i="21"/>
  <c r="S4" i="23"/>
  <c r="S10" i="21"/>
  <c r="S12" i="21" s="1"/>
  <c r="S8" i="16"/>
  <c r="R19" i="21"/>
  <c r="S17" i="21" s="1"/>
  <c r="R13" i="21"/>
  <c r="G29" i="25" l="1"/>
  <c r="G38" i="25" s="1"/>
  <c r="F29" i="25"/>
  <c r="F38" i="25" s="1"/>
  <c r="E29" i="25"/>
  <c r="E38" i="25" s="1"/>
  <c r="D29" i="25"/>
  <c r="D38" i="25" s="1"/>
  <c r="C29" i="25"/>
  <c r="C38" i="25" s="1"/>
  <c r="S18" i="21"/>
  <c r="S19" i="21" s="1"/>
  <c r="T17" i="21" s="1"/>
  <c r="R14" i="21"/>
  <c r="P14" i="20"/>
  <c r="P15" i="20"/>
  <c r="P19" i="22"/>
  <c r="P21" i="22" s="1"/>
  <c r="T6" i="16"/>
  <c r="S13" i="21"/>
  <c r="Q3" i="23"/>
  <c r="Q14" i="23" s="1"/>
  <c r="Q4" i="22" s="1"/>
  <c r="Q57" i="25" s="1"/>
  <c r="Q16" i="22"/>
  <c r="S14" i="21" l="1"/>
  <c r="S15" i="21" s="1"/>
  <c r="S3" i="23" s="1"/>
  <c r="S14" i="23" s="1"/>
  <c r="Q20" i="22"/>
  <c r="Q16" i="20"/>
  <c r="T7" i="16"/>
  <c r="T9" i="21" s="1"/>
  <c r="R15" i="21"/>
  <c r="R3" i="23" l="1"/>
  <c r="R14" i="23" s="1"/>
  <c r="R4" i="22" s="1"/>
  <c r="R16" i="22"/>
  <c r="T4" i="23"/>
  <c r="T10" i="21"/>
  <c r="T12" i="21" s="1"/>
  <c r="T18" i="21" s="1"/>
  <c r="T8" i="16"/>
  <c r="S4" i="22" l="1"/>
  <c r="R57" i="25"/>
  <c r="U6" i="16"/>
  <c r="T19" i="21"/>
  <c r="U17" i="21" s="1"/>
  <c r="T13" i="21"/>
  <c r="S16" i="22"/>
  <c r="R16" i="20"/>
  <c r="R20" i="22"/>
  <c r="Q15" i="20"/>
  <c r="Q14" i="20"/>
  <c r="Q19" i="22"/>
  <c r="Q21" i="22" s="1"/>
  <c r="D21" i="25" l="1" a="1"/>
  <c r="D21" i="25" s="1"/>
  <c r="E21" i="25" s="1"/>
  <c r="B30" i="25" s="1"/>
  <c r="S57" i="25"/>
  <c r="R14" i="20"/>
  <c r="R19" i="22"/>
  <c r="R21" i="22" s="1"/>
  <c r="R15" i="20"/>
  <c r="S16" i="20"/>
  <c r="S20" i="22"/>
  <c r="T14" i="21"/>
  <c r="T15" i="21" s="1"/>
  <c r="T3" i="23" s="1"/>
  <c r="T14" i="23" s="1"/>
  <c r="T4" i="22" s="1"/>
  <c r="T57" i="25" s="1"/>
  <c r="U7" i="16"/>
  <c r="U9" i="21" s="1"/>
  <c r="E50" i="25" l="1"/>
  <c r="G50" i="25"/>
  <c r="D50" i="25"/>
  <c r="F50" i="25"/>
  <c r="C50" i="25"/>
  <c r="D47" i="25"/>
  <c r="C47" i="25"/>
  <c r="G47" i="25"/>
  <c r="E47" i="25"/>
  <c r="F47" i="25"/>
  <c r="C48" i="25"/>
  <c r="D48" i="25"/>
  <c r="F48" i="25"/>
  <c r="E48" i="25"/>
  <c r="G49" i="25"/>
  <c r="F49" i="25"/>
  <c r="C49" i="25"/>
  <c r="D49" i="25"/>
  <c r="E49" i="25"/>
  <c r="G48" i="25"/>
  <c r="F30" i="25"/>
  <c r="F39" i="25" s="1"/>
  <c r="G30" i="25"/>
  <c r="G39" i="25" s="1"/>
  <c r="E30" i="25"/>
  <c r="E39" i="25" s="1"/>
  <c r="D30" i="25"/>
  <c r="D39" i="25" s="1"/>
  <c r="C30" i="25"/>
  <c r="C39" i="25" s="1"/>
  <c r="U8" i="16"/>
  <c r="U4" i="23"/>
  <c r="U10" i="21"/>
  <c r="U12" i="21" s="1"/>
  <c r="U18" i="21" s="1"/>
  <c r="T16" i="22"/>
  <c r="S15" i="20"/>
  <c r="S19" i="22"/>
  <c r="S21" i="22" s="1"/>
  <c r="S14" i="20"/>
  <c r="V6" i="16" l="1"/>
  <c r="V7" i="16" s="1"/>
  <c r="V9" i="21" s="1"/>
  <c r="T20" i="22"/>
  <c r="T16" i="20"/>
  <c r="T19" i="22"/>
  <c r="T15" i="20"/>
  <c r="B40" i="19" s="1" a="1"/>
  <c r="B40" i="19" s="1"/>
  <c r="B41" i="19" s="1"/>
  <c r="D16" i="28" s="1"/>
  <c r="T14" i="20"/>
  <c r="U13" i="21"/>
  <c r="U19" i="21"/>
  <c r="V17" i="21" s="1"/>
  <c r="F19" i="27" l="1"/>
  <c r="B26" i="27"/>
  <c r="B43" i="19"/>
  <c r="D17" i="28" s="1"/>
  <c r="T21" i="22"/>
  <c r="V8" i="16"/>
  <c r="U14" i="21"/>
  <c r="U15" i="21" s="1"/>
  <c r="U3" i="23" s="1"/>
  <c r="V4" i="23"/>
  <c r="V10" i="21"/>
  <c r="V12" i="21" s="1"/>
  <c r="V18" i="21" s="1"/>
  <c r="U14" i="23" l="1"/>
  <c r="U4" i="22" s="1"/>
  <c r="F20" i="27"/>
  <c r="C26" i="27"/>
  <c r="B44" i="19"/>
  <c r="U16" i="22"/>
  <c r="U20" i="22" s="1"/>
  <c r="W6" i="16"/>
  <c r="W7" i="16" s="1"/>
  <c r="W9" i="21" s="1"/>
  <c r="V19" i="21"/>
  <c r="W17" i="21" s="1"/>
  <c r="V13" i="21"/>
  <c r="U19" i="22" l="1"/>
  <c r="U21" i="22" s="1"/>
  <c r="U14" i="20"/>
  <c r="U15" i="20"/>
  <c r="D50" i="19"/>
  <c r="D48" i="19"/>
  <c r="D49" i="19"/>
  <c r="D47" i="19"/>
  <c r="F21" i="27"/>
  <c r="D18" i="28"/>
  <c r="U16" i="20"/>
  <c r="W8" i="16"/>
  <c r="X6" i="16" s="1"/>
  <c r="W4" i="23"/>
  <c r="W10" i="21"/>
  <c r="W12" i="21" s="1"/>
  <c r="W18" i="21" s="1"/>
  <c r="V14" i="21"/>
  <c r="V15" i="21" s="1"/>
  <c r="F19" i="28" l="1"/>
  <c r="E27" i="27"/>
  <c r="D51" i="19"/>
  <c r="E24" i="27"/>
  <c r="C19" i="28"/>
  <c r="E26" i="27"/>
  <c r="E19" i="28"/>
  <c r="E25" i="27"/>
  <c r="D19" i="28"/>
  <c r="X7" i="16"/>
  <c r="X9" i="21" s="1"/>
  <c r="V3" i="23"/>
  <c r="V16" i="22"/>
  <c r="W19" i="21"/>
  <c r="X17" i="21" s="1"/>
  <c r="W13" i="21"/>
  <c r="V14" i="23" l="1"/>
  <c r="V4" i="22" s="1"/>
  <c r="W14" i="21"/>
  <c r="W15" i="21" s="1"/>
  <c r="W3" i="23" s="1"/>
  <c r="V16" i="20"/>
  <c r="V20" i="22"/>
  <c r="X8" i="16"/>
  <c r="X4" i="23"/>
  <c r="X10" i="21"/>
  <c r="X12" i="21" s="1"/>
  <c r="X18" i="21" s="1"/>
  <c r="V14" i="20" l="1"/>
  <c r="V15" i="20"/>
  <c r="V19" i="22"/>
  <c r="V21" i="22" s="1"/>
  <c r="W14" i="23"/>
  <c r="W4" i="22" s="1"/>
  <c r="W16" i="22"/>
  <c r="W20" i="22" s="1"/>
  <c r="X13" i="21"/>
  <c r="X19" i="21"/>
  <c r="Y17" i="21" s="1"/>
  <c r="Y6" i="16"/>
  <c r="W14" i="20" l="1"/>
  <c r="W15" i="20"/>
  <c r="W19" i="22"/>
  <c r="W21" i="22" s="1"/>
  <c r="W16" i="20"/>
  <c r="X14" i="21"/>
  <c r="X15" i="21" s="1"/>
  <c r="X3" i="23" s="1"/>
  <c r="Y7" i="16"/>
  <c r="Y9" i="21" s="1"/>
  <c r="X14" i="23" l="1"/>
  <c r="X4" i="22" s="1"/>
  <c r="Y8" i="16"/>
  <c r="AM8" i="16" s="1"/>
  <c r="X16" i="22"/>
  <c r="X16" i="20" s="1"/>
  <c r="Y4" i="23"/>
  <c r="Y10" i="21"/>
  <c r="Y12" i="21" s="1"/>
  <c r="Y18" i="21" s="1"/>
  <c r="Z6" i="16" l="1"/>
  <c r="Z7" i="16" s="1"/>
  <c r="Z8" i="16" s="1"/>
  <c r="X14" i="20"/>
  <c r="X19" i="22"/>
  <c r="X15" i="20"/>
  <c r="X20" i="22"/>
  <c r="Y19" i="21"/>
  <c r="Y13" i="21"/>
  <c r="AM13" i="21" s="1"/>
  <c r="AN6" i="16" l="1"/>
  <c r="X21" i="22"/>
  <c r="Z17" i="21"/>
  <c r="AN17" i="21" s="1"/>
  <c r="AM19" i="21"/>
  <c r="Y14" i="21"/>
  <c r="Y15" i="21" s="1"/>
  <c r="Y16" i="22" s="1"/>
  <c r="Z9" i="21"/>
  <c r="AA6" i="16"/>
  <c r="Y3" i="23" l="1"/>
  <c r="AA7" i="16"/>
  <c r="AA8" i="16" s="1"/>
  <c r="Z4" i="23"/>
  <c r="Z10" i="21"/>
  <c r="Y20" i="22"/>
  <c r="Y16" i="20"/>
  <c r="AM16" i="22"/>
  <c r="Y14" i="23" l="1"/>
  <c r="AM16" i="20"/>
  <c r="AM20" i="22"/>
  <c r="Z12" i="21"/>
  <c r="Z18" i="21" s="1"/>
  <c r="AB6" i="16"/>
  <c r="AA9" i="21"/>
  <c r="Y4" i="22" l="1"/>
  <c r="Y15" i="20" s="1"/>
  <c r="AA4" i="23"/>
  <c r="AA10" i="21"/>
  <c r="AB7" i="16"/>
  <c r="Z19" i="21"/>
  <c r="Z13" i="21"/>
  <c r="Y14" i="20" l="1"/>
  <c r="AM14" i="20" s="1"/>
  <c r="Y19" i="22"/>
  <c r="Y21" i="22" s="1"/>
  <c r="AM4" i="22"/>
  <c r="AM15" i="20" s="1"/>
  <c r="AA17" i="21"/>
  <c r="Z14" i="21"/>
  <c r="AB9" i="21"/>
  <c r="AB8" i="16"/>
  <c r="AA12" i="21"/>
  <c r="AM19" i="22" l="1"/>
  <c r="AM21" i="22" s="1"/>
  <c r="AA18" i="21"/>
  <c r="AA19" i="21" s="1"/>
  <c r="AB17" i="21" s="1"/>
  <c r="AA13" i="21"/>
  <c r="AB4" i="23"/>
  <c r="AB10" i="21"/>
  <c r="AC6" i="16"/>
  <c r="Z15" i="21"/>
  <c r="AC7" i="16" l="1"/>
  <c r="AB12" i="21"/>
  <c r="AB18" i="21" s="1"/>
  <c r="Z3" i="23"/>
  <c r="Z14" i="23" s="1"/>
  <c r="Z4" i="22" s="1"/>
  <c r="Z16" i="22"/>
  <c r="AA14" i="21"/>
  <c r="AA15" i="21" l="1"/>
  <c r="AA16" i="22" s="1"/>
  <c r="Z16" i="20"/>
  <c r="Z20" i="22"/>
  <c r="AB13" i="21"/>
  <c r="AB19" i="21"/>
  <c r="AC17" i="21" s="1"/>
  <c r="AC9" i="21"/>
  <c r="AC8" i="16"/>
  <c r="AC4" i="23" l="1"/>
  <c r="AC10" i="21"/>
  <c r="AB14" i="21"/>
  <c r="AD6" i="16"/>
  <c r="AA20" i="22"/>
  <c r="AA16" i="20"/>
  <c r="AA3" i="23"/>
  <c r="AA14" i="23" s="1"/>
  <c r="AA4" i="22" s="1"/>
  <c r="AD7" i="16" l="1"/>
  <c r="AD8" i="16" s="1"/>
  <c r="Z15" i="20"/>
  <c r="Z14" i="20"/>
  <c r="Z19" i="22"/>
  <c r="Z21" i="22" s="1"/>
  <c r="AB15" i="21"/>
  <c r="AC12" i="21"/>
  <c r="AC18" i="21" s="1"/>
  <c r="AC19" i="21" l="1"/>
  <c r="AD17" i="21" s="1"/>
  <c r="AC13" i="21"/>
  <c r="AB3" i="23"/>
  <c r="AB14" i="23" s="1"/>
  <c r="AB4" i="22" s="1"/>
  <c r="AB16" i="22"/>
  <c r="AA19" i="22"/>
  <c r="AA21" i="22" s="1"/>
  <c r="AA15" i="20"/>
  <c r="AA14" i="20"/>
  <c r="AE6" i="16"/>
  <c r="AD9" i="21"/>
  <c r="AC14" i="21" l="1"/>
  <c r="AC15" i="21" s="1"/>
  <c r="AC3" i="23" s="1"/>
  <c r="AC14" i="23" s="1"/>
  <c r="AC4" i="22" s="1"/>
  <c r="AD4" i="23"/>
  <c r="AD10" i="21"/>
  <c r="AE7" i="16"/>
  <c r="AE9" i="21" s="1"/>
  <c r="AB16" i="20"/>
  <c r="AB20" i="22"/>
  <c r="AC16" i="22" l="1"/>
  <c r="AC16" i="20" s="1"/>
  <c r="AE4" i="23"/>
  <c r="AE10" i="21"/>
  <c r="AE12" i="21" s="1"/>
  <c r="AE8" i="16"/>
  <c r="AD12" i="21"/>
  <c r="AD18" i="21" s="1"/>
  <c r="AC20" i="22" l="1"/>
  <c r="AD13" i="21"/>
  <c r="AE13" i="21" s="1"/>
  <c r="AD19" i="21"/>
  <c r="AE17" i="21" s="1"/>
  <c r="AF6" i="16"/>
  <c r="AB14" i="20"/>
  <c r="AB15" i="20"/>
  <c r="AB19" i="22"/>
  <c r="AB21" i="22" s="1"/>
  <c r="AE18" i="21" l="1"/>
  <c r="AE19" i="21" s="1"/>
  <c r="AF17" i="21" s="1"/>
  <c r="AC15" i="20"/>
  <c r="AC14" i="20"/>
  <c r="AC19" i="22"/>
  <c r="AC21" i="22" s="1"/>
  <c r="AF7" i="16"/>
  <c r="AF9" i="21" s="1"/>
  <c r="AD14" i="21"/>
  <c r="AD15" i="21" s="1"/>
  <c r="AE14" i="21" l="1"/>
  <c r="AE15" i="21" s="1"/>
  <c r="AE3" i="23" s="1"/>
  <c r="AE14" i="23" s="1"/>
  <c r="AF8" i="16"/>
  <c r="AD3" i="23"/>
  <c r="AD14" i="23" s="1"/>
  <c r="AD4" i="22" s="1"/>
  <c r="AD16" i="22"/>
  <c r="AF4" i="23"/>
  <c r="AF10" i="21"/>
  <c r="AF12" i="21" s="1"/>
  <c r="AF18" i="21" s="1"/>
  <c r="AE4" i="22" l="1"/>
  <c r="AG6" i="16"/>
  <c r="AG7" i="16" s="1"/>
  <c r="AG9" i="21" s="1"/>
  <c r="AF19" i="21"/>
  <c r="AG17" i="21" s="1"/>
  <c r="AF13" i="21"/>
  <c r="AE16" i="22"/>
  <c r="AD20" i="22"/>
  <c r="AD16" i="20"/>
  <c r="AG8" i="16" l="1"/>
  <c r="AE16" i="20"/>
  <c r="AE20" i="22"/>
  <c r="AG4" i="23"/>
  <c r="AG10" i="21"/>
  <c r="AG12" i="21" s="1"/>
  <c r="AG18" i="21" s="1"/>
  <c r="AF14" i="21"/>
  <c r="AF15" i="21" s="1"/>
  <c r="AH6" i="16" l="1"/>
  <c r="AH7" i="16" s="1"/>
  <c r="AH9" i="21" s="1"/>
  <c r="AF3" i="23"/>
  <c r="AF14" i="23" s="1"/>
  <c r="AF4" i="22" s="1"/>
  <c r="AG19" i="21"/>
  <c r="AH17" i="21" s="1"/>
  <c r="AG13" i="21"/>
  <c r="AF16" i="22"/>
  <c r="AD15" i="20"/>
  <c r="AD14" i="20"/>
  <c r="AD19" i="22"/>
  <c r="AD21" i="22" s="1"/>
  <c r="AG14" i="21" l="1"/>
  <c r="AG15" i="21" s="1"/>
  <c r="AG3" i="23" s="1"/>
  <c r="AG14" i="23" s="1"/>
  <c r="AG4" i="22" s="1"/>
  <c r="AE19" i="22"/>
  <c r="AE21" i="22" s="1"/>
  <c r="AE14" i="20"/>
  <c r="AE15" i="20"/>
  <c r="AF20" i="22"/>
  <c r="AF16" i="20"/>
  <c r="AH4" i="23"/>
  <c r="AH10" i="21"/>
  <c r="AH12" i="21" s="1"/>
  <c r="AH18" i="21" s="1"/>
  <c r="AH8" i="16"/>
  <c r="AG16" i="22" l="1"/>
  <c r="AG16" i="20" s="1"/>
  <c r="AF19" i="22"/>
  <c r="AF21" i="22" s="1"/>
  <c r="AF14" i="20"/>
  <c r="AF15" i="20"/>
  <c r="AI6" i="16"/>
  <c r="AH19" i="21"/>
  <c r="AI17" i="21" s="1"/>
  <c r="AH13" i="21"/>
  <c r="AG20" i="22" l="1"/>
  <c r="AH14" i="21"/>
  <c r="AH15" i="21" s="1"/>
  <c r="AH3" i="23" s="1"/>
  <c r="AI7" i="16"/>
  <c r="AI9" i="21" s="1"/>
  <c r="AG19" i="22"/>
  <c r="AG15" i="20"/>
  <c r="AG14" i="20"/>
  <c r="AH14" i="23" l="1"/>
  <c r="AH4" i="22" s="1"/>
  <c r="AG21" i="22"/>
  <c r="AH16" i="22"/>
  <c r="AH20" i="22" s="1"/>
  <c r="AI4" i="23"/>
  <c r="AI10" i="21"/>
  <c r="AI12" i="21" s="1"/>
  <c r="AI18" i="21" s="1"/>
  <c r="AI8" i="16"/>
  <c r="AH14" i="20" l="1"/>
  <c r="AH15" i="20"/>
  <c r="AH19" i="22"/>
  <c r="AH21" i="22" s="1"/>
  <c r="AH16" i="20"/>
  <c r="AJ6" i="16"/>
  <c r="AI13" i="21"/>
  <c r="AI19" i="21"/>
  <c r="AJ17" i="21" s="1"/>
  <c r="AI14" i="21" l="1"/>
  <c r="AI15" i="21" s="1"/>
  <c r="AJ7" i="16"/>
  <c r="AJ9" i="21" s="1"/>
  <c r="AJ8" i="16" l="1"/>
  <c r="AJ4" i="23"/>
  <c r="AJ10" i="21"/>
  <c r="AJ12" i="21" s="1"/>
  <c r="AJ18" i="21" s="1"/>
  <c r="AI3" i="23"/>
  <c r="AI16" i="22"/>
  <c r="AK6" i="16" l="1"/>
  <c r="AK7" i="16" s="1"/>
  <c r="AI14" i="23"/>
  <c r="AI20" i="22"/>
  <c r="AI16" i="20"/>
  <c r="AJ13" i="21"/>
  <c r="AJ19" i="21"/>
  <c r="AK17" i="21" s="1"/>
  <c r="AI4" i="22" l="1"/>
  <c r="AI19" i="22" s="1"/>
  <c r="AI21" i="22" s="1"/>
  <c r="AJ14" i="21"/>
  <c r="AJ15" i="21" s="1"/>
  <c r="AJ3" i="23" s="1"/>
  <c r="AK9" i="21"/>
  <c r="AL7" i="16"/>
  <c r="AM7" i="16"/>
  <c r="AN7" i="16"/>
  <c r="AK8" i="16"/>
  <c r="AI14" i="20" l="1"/>
  <c r="AI15" i="20"/>
  <c r="AJ14" i="23"/>
  <c r="AJ4" i="22" s="1"/>
  <c r="AJ16" i="22"/>
  <c r="AJ16" i="20" s="1"/>
  <c r="AN8" i="16"/>
  <c r="AK4" i="23"/>
  <c r="AL9" i="21"/>
  <c r="AK10" i="21"/>
  <c r="AM9" i="21"/>
  <c r="AN9" i="21"/>
  <c r="AJ14" i="20" l="1"/>
  <c r="AJ19" i="22"/>
  <c r="AJ15" i="20"/>
  <c r="AJ20" i="22"/>
  <c r="AK12" i="21"/>
  <c r="AK18" i="21" s="1"/>
  <c r="AL10" i="21"/>
  <c r="B59" i="19" s="1"/>
  <c r="AM10" i="21"/>
  <c r="C59" i="19" s="1"/>
  <c r="AN10" i="21"/>
  <c r="D59" i="19" s="1"/>
  <c r="AL4" i="23"/>
  <c r="AM4" i="23"/>
  <c r="AN4" i="23"/>
  <c r="AJ21" i="22" l="1"/>
  <c r="AL18" i="21"/>
  <c r="AM18" i="21"/>
  <c r="AN18" i="21"/>
  <c r="AK13" i="21"/>
  <c r="AN13" i="21" s="1"/>
  <c r="AK19" i="21"/>
  <c r="AN19" i="21" s="1"/>
  <c r="AL12" i="21"/>
  <c r="AM12" i="21"/>
  <c r="AN12" i="21"/>
  <c r="AK14" i="21" l="1"/>
  <c r="AL14" i="21" l="1"/>
  <c r="AM14" i="21"/>
  <c r="AN14" i="21"/>
  <c r="AK15" i="21"/>
  <c r="AL15" i="21" s="1"/>
  <c r="AK3" i="23" l="1"/>
  <c r="AK14" i="23" s="1"/>
  <c r="AK4" i="22" s="1"/>
  <c r="E17" i="26" s="1" a="1"/>
  <c r="E17" i="26" s="1"/>
  <c r="AM15" i="21"/>
  <c r="AN15" i="21"/>
  <c r="AK16" i="22"/>
  <c r="AN4" i="22" l="1"/>
  <c r="E9" i="26"/>
  <c r="AK16" i="20"/>
  <c r="AN16" i="22"/>
  <c r="AK20" i="22"/>
  <c r="AL3" i="23"/>
  <c r="B61" i="19" s="1"/>
  <c r="AM3" i="23"/>
  <c r="C61" i="19" s="1"/>
  <c r="AN3" i="23"/>
  <c r="D61" i="19" s="1"/>
  <c r="AN16" i="20" l="1"/>
  <c r="AN20" i="22"/>
  <c r="AL14" i="23"/>
  <c r="AM14" i="23"/>
  <c r="AN14" i="23"/>
  <c r="AK14" i="20" l="1"/>
  <c r="C80" i="2" s="1"/>
  <c r="AK15" i="20"/>
  <c r="AK19" i="22"/>
  <c r="AN15" i="20" l="1"/>
  <c r="E21" i="26" s="1"/>
  <c r="AN19" i="22"/>
  <c r="AN21" i="22" s="1"/>
  <c r="AN14" i="20"/>
  <c r="AK21" i="22"/>
  <c r="F61" i="19"/>
  <c r="E61" i="19"/>
  <c r="B64" i="19"/>
  <c r="B65" i="19" s="1"/>
  <c r="B63" i="19" l="1"/>
  <c r="B66" i="19" s="1"/>
  <c r="B68" i="19"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Balachandar Vasan</author>
  </authors>
  <commentList>
    <comment ref="B20" authorId="0" shapeId="0" xr:uid="{00EE4452-372B-4D72-9061-693BF018B6F0}">
      <text>
        <r>
          <rPr>
            <b/>
            <sz val="9"/>
            <color indexed="81"/>
            <rFont val="Tahoma"/>
            <charset val="1"/>
          </rPr>
          <t>Pre-money = ARR-multiple EV + net cash at M12 (=B18+B19), formula-driven (no manual override). At 15x run-rate ARR this gives ~$38.4M pre-money. With the $10M Series A this is a 20.7% dilution round (new cash only), consistent with the 20-25% global Series A norm. Founders retain ~67% post-bridge-conversion.</t>
        </r>
      </text>
    </comment>
    <comment ref="B34" authorId="0" shapeId="0" xr:uid="{69075BE4-17FE-478C-BD75-F41F6052415F}">
      <text>
        <r>
          <rPr>
            <b/>
            <sz val="9"/>
            <color indexed="81"/>
            <rFont val="Tahoma"/>
            <charset val="1"/>
          </rPr>
          <t>Balachandar Vasan:</t>
        </r>
        <r>
          <rPr>
            <sz val="9"/>
            <color indexed="81"/>
            <rFont val="Tahoma"/>
            <charset val="1"/>
          </rPr>
          <t xml:space="preserve">
20% discount to the Series A price applied to the Mudarabah bridge on conversion to equity at M12 (Shariah-compliant convertible terms).</t>
        </r>
      </text>
    </comment>
    <comment ref="A59" authorId="0" shapeId="0" xr:uid="{32C39387-ACE2-4B03-927C-11AC11D0628A}">
      <text>
        <r>
          <rPr>
            <b/>
            <sz val="9"/>
            <color indexed="81"/>
            <rFont val="Tahoma"/>
            <charset val="1"/>
          </rPr>
          <t>Balachandar Vasan:</t>
        </r>
        <r>
          <rPr>
            <sz val="9"/>
            <color indexed="81"/>
            <rFont val="Tahoma"/>
            <charset val="1"/>
          </rPr>
          <t xml:space="preserve">
NOPAT uses an unlevered tax rate, EBIT * (1 – t). The actual P&amp;L tax reflects the NOL carry-forward shelter. This is intentional and the two figures will not reconcile.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Balachandar Vasan</author>
  </authors>
  <commentList>
    <comment ref="B13" authorId="0" shapeId="0" xr:uid="{360CCE29-4967-4C53-B51E-E52498D6D3A0}">
      <text>
        <r>
          <rPr>
            <b/>
            <sz val="9"/>
            <color indexed="81"/>
            <rFont val="Tahoma"/>
            <charset val="1"/>
          </rPr>
          <t>Balachandar Vasan:</t>
        </r>
        <r>
          <rPr>
            <sz val="9"/>
            <color indexed="81"/>
            <rFont val="Tahoma"/>
            <charset val="1"/>
          </rPr>
          <t xml:space="preserve">
M1 has no prior month, so net new ARR is undefined and the burn multiple starts at M2.</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Balachandar Vasan</author>
  </authors>
  <commentList>
    <comment ref="A9" authorId="0" shapeId="0" xr:uid="{4BE07F72-321A-4225-94B7-FCE1ED2BE6DB}">
      <text>
        <r>
          <rPr>
            <sz val="9"/>
            <color indexed="81"/>
            <rFont val="Tahoma"/>
            <family val="2"/>
          </rPr>
          <t>Positive change in loan balance is cash inflow (loan repayment received)
Negative change in loan balance is cash outflow (capital deployed to borrowers). 
The loan balance is beginning minus ending, so as the balance grows from lending out, this term goes negative which correctly reduces cash.</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Balachandar Vasan</author>
  </authors>
  <commentList>
    <comment ref="A13" authorId="0" shapeId="0" xr:uid="{D48FC7D9-540F-4B3F-A96F-1BBBBEE15808}">
      <text>
        <r>
          <rPr>
            <sz val="9"/>
            <color indexed="81"/>
            <rFont val="Tahoma"/>
            <family val="2"/>
          </rPr>
          <t>Mudarabah financing carried as a liability from injection (M7) until conversion to equity at Series A (M12). Shariah-compliant, non-interest-bearing. Converts at a 20% discount to the Series A price; on conversion the liability is removed and Share Capital is increased.</t>
        </r>
      </text>
    </comment>
    <comment ref="A15" authorId="0" shapeId="0" xr:uid="{846E20E6-A826-43E9-918A-E96AED7E4E35}">
      <text>
        <r>
          <rPr>
            <sz val="9"/>
            <color indexed="81"/>
            <rFont val="Tahoma"/>
            <family val="2"/>
          </rPr>
          <t>Cumulative paid-in equity. Starting balance is 5 million USD. The final balance at M36 is 70 million USD which equals 5 million seed plus 25 million Series A plus 40 million Series B.</t>
        </r>
      </text>
    </comment>
    <comment ref="B15" authorId="0" shapeId="0" xr:uid="{1FD84561-1651-4078-8BE0-7110B37EAFBD}">
      <text>
        <r>
          <rPr>
            <sz val="9"/>
            <color indexed="81"/>
            <rFont val="Tahoma"/>
            <family val="2"/>
          </rPr>
          <t>Cumulative paid-in equity. Starting 6.5M seed; adds Series A/B raises plus the 8M Mudarabah bridge conversion to equity at the Series A month (M12). Book value added on conversion equals cash received (8M); the 20% conversion discount affects share count/ownership %, not book value.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Balachandar Vasan</author>
  </authors>
  <commentList>
    <comment ref="A2" authorId="0" shapeId="0" xr:uid="{F1EF126B-E404-44B8-8F91-71C984C18B90}">
      <text>
        <r>
          <rPr>
            <sz val="9"/>
            <color indexed="81"/>
            <rFont val="Tahoma"/>
            <family val="2"/>
          </rPr>
          <t xml:space="preserve">Flexes the marketing budget. Downside reflects management cutting marketing to preserve cash, and Upside reflects leaning in. </t>
        </r>
      </text>
    </comment>
    <comment ref="A3" authorId="0" shapeId="0" xr:uid="{5C36DD4B-9BF2-4741-B90E-3FDE6592AFF5}">
      <text>
        <r>
          <rPr>
            <sz val="9"/>
            <color indexed="81"/>
            <rFont val="Tahoma"/>
            <family val="2"/>
          </rPr>
          <t>Flexes monthly churn rate. Downside reflects competitive pressure and weaker engagement, while Upside reflects category leadership and brand stickiness.</t>
        </r>
      </text>
    </comment>
    <comment ref="A4" authorId="0" shapeId="0" xr:uid="{F2CEABCF-18BA-47F4-82A5-34036C7C2B90}">
      <text>
        <r>
          <rPr>
            <sz val="9"/>
            <color indexed="81"/>
            <rFont val="Tahoma"/>
            <family val="2"/>
          </rPr>
          <t>Flexes Month 1 CAC. Downside reflects auction inflation in performance channels, while Upside reflects channel diversification and organic compounding.</t>
        </r>
      </text>
    </comment>
    <comment ref="A5" authorId="0" shapeId="0" xr:uid="{CA095650-1DDF-45E6-B1DD-246F0F029642}">
      <text>
        <r>
          <rPr>
            <sz val="9"/>
            <color indexed="81"/>
            <rFont val="Tahoma"/>
            <family val="2"/>
          </rPr>
          <t>Flexes payment take rate. Downside reflects pricing pressure from competitors or interchange caps, while Upside reflects mix shift to higher-margin products.</t>
        </r>
      </text>
    </comment>
    <comment ref="A6" authorId="0" shapeId="0" xr:uid="{B4FE21BC-6916-4999-9416-2BDFB524D658}">
      <text>
        <r>
          <rPr>
            <sz val="9"/>
            <color indexed="81"/>
            <rFont val="Tahoma"/>
            <family val="2"/>
          </rPr>
          <t>Stresses collection terms. Downside means customers stretch payments and AR balance grows, while Upside means faster collection.</t>
        </r>
      </text>
    </comment>
    <comment ref="A7" authorId="0" shapeId="0" xr:uid="{FF71A7DB-2216-48E7-BB66-591C7540AD6E}">
      <text>
        <r>
          <rPr>
            <sz val="9"/>
            <color indexed="81"/>
            <rFont val="Tahoma"/>
            <family val="2"/>
          </rPr>
          <t>Stresses supplier credit terms. Downside means suppliers tighten so AP balance shrinks and cash goes out faster, while Upside means better terms negotiated.</t>
        </r>
      </text>
    </comment>
    <comment ref="A9" authorId="0" shapeId="0" xr:uid="{99F0739F-1FB7-4152-960E-6736B0FDABD7}">
      <text>
        <r>
          <rPr>
            <sz val="9"/>
            <color indexed="81"/>
            <rFont val="Tahoma"/>
            <family val="2"/>
          </rPr>
          <t>Flexes GMV per active customer. Downside reflects consumer spend contracting, while Upside reflects stronger discretionary spend.</t>
        </r>
      </text>
    </comment>
    <comment ref="A10" authorId="0" shapeId="0" xr:uid="{A5BE5E72-8AD3-4C4A-AE6A-514B04B18142}">
      <text>
        <r>
          <rPr>
            <sz val="9"/>
            <color indexed="81"/>
            <rFont val="Tahoma"/>
            <family val="2"/>
          </rPr>
          <t>Flexes chargeback rate as a percent of GMV. Downside reflects fraud rising in a stressed macro, while Upside reflects improved fraud controls.</t>
        </r>
      </text>
    </comment>
    <comment ref="A11" authorId="0" shapeId="0" xr:uid="{573912BB-8272-4B7D-8387-10EDFE26FECE}">
      <text>
        <r>
          <rPr>
            <sz val="9"/>
            <color indexed="81"/>
            <rFont val="Tahoma"/>
            <family val="2"/>
          </rPr>
          <t>Flexes annual lending penetration of the active base. Downside reflects credit appetite contracting, while Upside reflects expansion of credit access.</t>
        </r>
      </text>
    </comment>
    <comment ref="A12" authorId="0" shapeId="0" xr:uid="{4A4AFDCE-C05F-4E54-9D45-CEC85C9A9877}">
      <text>
        <r>
          <rPr>
            <sz val="9"/>
            <color indexed="81"/>
            <rFont val="Tahoma"/>
            <family val="2"/>
          </rPr>
          <t>Flexes monthly yield on outstanding loan balance. Downside reflects credit-loss channel dominating and yield compressing, while Upside reflects a wider spread environment.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Balachandar Vasan</author>
  </authors>
  <commentList>
    <comment ref="B2" authorId="0" shapeId="0" xr:uid="{3FDC5543-0A45-415C-B595-E63F0C80CBB3}">
      <text>
        <r>
          <rPr>
            <sz val="9"/>
            <color indexed="81"/>
            <rFont val="Tahoma"/>
            <family val="2"/>
          </rPr>
          <t>900 USD GMV per Active Customer per year which is about 75 USD per month of platform spend. This sits in the consumer fintech mid-range with Cash App at around 70 per month and MoneyLion around 80. The scenario multiplier applies through D3.</t>
        </r>
      </text>
    </comment>
    <comment ref="B3" authorId="0" shapeId="0" xr:uid="{E8299780-6648-4724-A023-66DEF65FD521}">
      <text>
        <r>
          <rPr>
            <sz val="9"/>
            <color indexed="81"/>
            <rFont val="Tahoma"/>
            <family val="2"/>
          </rPr>
          <t>1.2 percent payment take rate which is the net margin retained by the platform after card scheme fees. Stripe runs around 2.9 percent gross and 1 to 1.5 percent net, so this is typical for consumer payments.</t>
        </r>
      </text>
    </comment>
    <comment ref="B4" authorId="0" shapeId="0" xr:uid="{F1D03F75-18F0-4DB8-980A-A6F10213FCD8}">
      <text>
        <r>
          <rPr>
            <sz val="9"/>
            <color indexed="81"/>
            <rFont val="Tahoma"/>
            <family val="2"/>
          </rPr>
          <t>0.35 percent processing cost which covers card scheme and acquirer fees paid out. The industry standard is 25 to 50 basis points depending on volume tier and card mix.</t>
        </r>
      </text>
    </comment>
    <comment ref="B5" authorId="0" shapeId="0" xr:uid="{2838858F-8A83-4255-8BD2-9ECF7405511B}">
      <text>
        <r>
          <rPr>
            <sz val="9"/>
            <color indexed="81"/>
            <rFont val="Tahoma"/>
            <family val="2"/>
          </rPr>
          <t>0.15 percent chargebacks and fraud which sits on the conservative end of the Visa benchmark for consumer fintech (10 to 20 basis points), given new-product risk.</t>
        </r>
      </text>
    </comment>
    <comment ref="B7" authorId="0" shapeId="0" xr:uid="{CBADAF90-5DC1-44D2-8E24-B87CD8CE4965}">
      <text>
        <r>
          <rPr>
            <sz val="9"/>
            <color indexed="81"/>
            <rFont val="Tahoma"/>
            <family val="2"/>
          </rPr>
          <t>8 USD per month of card interchange revenue per active customer. This comes from roughly 400 USD of monthly card volume at around 2 percent interchange.</t>
        </r>
      </text>
    </comment>
    <comment ref="B8" authorId="0" shapeId="0" xr:uid="{A00E8911-5E7A-4802-B324-E05A124B2ED3}">
      <text>
        <r>
          <rPr>
            <sz val="9"/>
            <color indexed="81"/>
            <rFont val="Tahoma"/>
            <family val="2"/>
          </rPr>
          <t>18 percent subscription attach rate which is the share of Active Customers on a paid plan. This is a mid-range assumption sitting between Cash App+ at around 12 percent and Chime Credit Builder at around 25 percent.</t>
        </r>
      </text>
    </comment>
    <comment ref="B9" authorId="0" shapeId="0" xr:uid="{056F8AAC-8717-4AA5-A5E0-6526B1E9F44D}">
      <text>
        <r>
          <rPr>
            <sz val="9"/>
            <color indexed="81"/>
            <rFont val="Tahoma"/>
            <family val="2"/>
          </rPr>
          <t>25 USD per month subscription price for the premium tier. This positions between Cash App+ at 5 USD and Revolut Ultra at 55 USD and bundles card benefits, savings yield, and lending pre-approvals.</t>
        </r>
      </text>
    </comment>
    <comment ref="B11" authorId="0" shapeId="0" xr:uid="{C328A08A-E543-4139-98C0-1741C16036A1}">
      <text>
        <r>
          <rPr>
            <sz val="9"/>
            <color indexed="81"/>
            <rFont val="Tahoma"/>
            <family val="2"/>
          </rPr>
          <t>6 percent annual lending penetration which is the share of Active Customers taking a loan in a 12-month window. This is lower than Klarna or Affirm BNPL (40 percent and up) because this is installment lending rather than point-of-sale BNPL.</t>
        </r>
      </text>
    </comment>
    <comment ref="B12" authorId="0" shapeId="0" xr:uid="{4A0BF6F7-0341-4E7C-AB60-367B659AA544}">
      <text>
        <r>
          <rPr>
            <sz val="9"/>
            <color indexed="81"/>
            <rFont val="Tahoma"/>
            <family val="2"/>
          </rPr>
          <t>1,800 USD average loan principal which sits between small-ticket BNPL (200 to 500) and traditional personal loans (5,000 and up). The target is the near-prime consumer segment.</t>
        </r>
      </text>
    </comment>
    <comment ref="B13" authorId="0" shapeId="0" xr:uid="{D91739C5-7336-4524-8EA8-24FE722F0424}">
      <text>
        <r>
          <rPr>
            <sz val="9"/>
            <color indexed="81"/>
            <rFont val="Tahoma"/>
            <family val="2"/>
          </rPr>
          <t>3 percent origination fee which is the mid-range for non-bank lenders, with SoFi at 0 to 6 percent and LendingClub at 1 to 6 percent.</t>
        </r>
      </text>
    </comment>
    <comment ref="B14" authorId="0" shapeId="0" xr:uid="{F56739B3-8CF2-411F-A4B1-8777D5D6F572}">
      <text>
        <r>
          <rPr>
            <sz val="9"/>
            <color indexed="81"/>
            <rFont val="Tahoma"/>
            <family val="2"/>
          </rPr>
          <t>1.1 percent monthly yield on outstanding balance which implies about 13.2 percent APR. This is net of charge-offs and funding cost and conservative versus unsecured consumer norms of 15 to 30 percent APR.</t>
        </r>
      </text>
    </comment>
    <comment ref="B15" authorId="0" shapeId="0" xr:uid="{C4F0E1E9-236B-4D9A-BB6A-6A717CB864AD}">
      <text>
        <r>
          <rPr>
            <sz val="9"/>
            <color indexed="81"/>
            <rFont val="Tahoma"/>
            <family val="2"/>
          </rPr>
          <t>Lending product activates in Month 9 which reflects the typical 9-month timeline to secure a lender-of-record partnership, build collections, and integrate credit bureau reporting.</t>
        </r>
      </text>
    </comment>
    <comment ref="B18" authorId="0" shapeId="0" xr:uid="{87FCE1A5-5E0E-4F4B-9043-D906325A7F05}">
      <text>
        <r>
          <rPr>
            <sz val="9"/>
            <color indexed="81"/>
            <rFont val="Tahoma"/>
            <family val="2"/>
          </rPr>
          <t>1.20 USD per month variable support cost per active customer which is fully-loaded CX (chat tickets, fraud reviews, KYC retries). This works out to roughly 4 minutes per customer per month at an 18 USD per hour loaded rate.</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Balachandar Vasan</author>
  </authors>
  <commentList>
    <comment ref="B2" authorId="0" shapeId="0" xr:uid="{7856AB14-5A68-45D1-B0AA-05B840A9A10E}">
      <text>
        <r>
          <rPr>
            <sz val="9"/>
            <color indexed="81"/>
            <rFont val="Tahoma"/>
            <family val="2"/>
          </rPr>
          <t>Starting Customer Base at Month 0 is zero because the model assumes a greenfield launch. Replace with current MAU if forking this for a live business.</t>
        </r>
      </text>
    </comment>
    <comment ref="B4" authorId="0" shapeId="0" xr:uid="{AE9C1639-E048-4BFE-86C1-8C054250AEEC}">
      <text>
        <r>
          <rPr>
            <sz val="9"/>
            <color indexed="81"/>
            <rFont val="Tahoma"/>
            <family val="2"/>
          </rPr>
          <t>3.5 percent monthly churn which implies 34.8 percent annual churn. Consumer fintech benchmarks have Chime at around 2 percent per month (mature), Revolut at 3 to 4 percent early, and Cash App at around 2.5 percent. This is realistic for a new entrant before brand loyalty compounds.</t>
        </r>
      </text>
    </comment>
    <comment ref="B5" authorId="0" shapeId="0" xr:uid="{FB634BC5-E5D3-4865-8E01-E77565D92C27}">
      <text>
        <r>
          <rPr>
            <sz val="9"/>
            <color indexed="81"/>
            <rFont val="Tahoma"/>
            <family val="2"/>
          </rPr>
          <t>Annual churn derived from monthly churn using the standard one minus (one minus monthly) to the twelfth formula.</t>
        </r>
      </text>
    </comment>
    <comment ref="B6" authorId="0" shapeId="0" xr:uid="{070A91EF-52A1-49EC-84F4-5FB50A0FFED0}">
      <text>
        <r>
          <rPr>
            <sz val="9"/>
            <color indexed="81"/>
            <rFont val="Tahoma"/>
            <family val="2"/>
          </rPr>
          <t>0.3 percent monthly reactivation rate which is win-back from dormant cohorts through re-engagement campaigns. This is conservative and most fintechs assume 0 to 2 percent based on email and push CRM strength.</t>
        </r>
      </text>
    </comment>
    <comment ref="B7" authorId="0" shapeId="0" xr:uid="{54521AAB-0EE7-4622-950D-1CDD0772F35E}">
      <text>
        <r>
          <rPr>
            <sz val="9"/>
            <color indexed="81"/>
            <rFont val="Tahoma"/>
            <family val="2"/>
          </rPr>
          <t>85 percent active rate which is the share of ending customer base that transacts monthly. Industry benchmarks have Cash App at around 70 percent, Venmo at around 80 percent, and Chime at around 85 percent, so this assumes an engaged userbase given the subscription tilt.</t>
        </r>
      </text>
    </comment>
    <comment ref="B9" authorId="0" shapeId="0" xr:uid="{D8598059-693B-4CF9-8A32-17A4919047DA}">
      <text>
        <r>
          <rPr>
            <sz val="9"/>
            <color indexed="81"/>
            <rFont val="Tahoma"/>
            <family val="2"/>
          </rPr>
          <t>110 USD blended CAC in Month 1 across paid and organic. Benchmarks have Chime at around 120, Revolut at around 80, and Cash App at around 25 (viral), so this reflects a performance-marketing-led launch.</t>
        </r>
      </text>
    </comment>
    <comment ref="B10" authorId="0" shapeId="0" xr:uid="{7DAD4AAC-23B6-4E2F-889D-92164C4DE02A}">
      <text>
        <r>
          <rPr>
            <sz val="9"/>
            <color indexed="81"/>
            <rFont val="Tahoma"/>
            <family val="2"/>
          </rPr>
          <t>Negative 0.5 percent monthly change in CAC which means acquisition cost trends down as the brand compounds and channel mix shifts to organic. It floors at C15 and implies CAC drops from 110 to 80 over 60 months.</t>
        </r>
      </text>
    </comment>
    <comment ref="B11" authorId="0" shapeId="0" xr:uid="{E009090A-634C-413D-A3FC-A7E5B90A84C0}">
      <text>
        <r>
          <rPr>
            <sz val="9"/>
            <color indexed="81"/>
            <rFont val="Tahoma"/>
            <family val="2"/>
          </rPr>
          <t>80 USD CAC floor which is the long-run minimum even after brand compounds. This reflects irreducible variable cost from KYC, onboarding incentives, and paid retargeting.</t>
        </r>
      </text>
    </comment>
    <comment ref="B12" authorId="0" shapeId="0" xr:uid="{6C7379D2-0080-4111-A0D5-8E8081F141D8}">
      <text>
        <r>
          <rPr>
            <sz val="9"/>
            <color indexed="81"/>
            <rFont val="Tahoma"/>
            <family val="2"/>
          </rPr>
          <t>120,000 USD per month fixed brand marketing which is always-on brand spend (sponsorships, OOH, content) separate from the performance budget. This is right-sized for a pre-Series A launch.</t>
        </r>
      </text>
    </comment>
    <comment ref="B14" authorId="0" shapeId="0" xr:uid="{F05F94B3-1ADA-438B-8765-961397AAF93B}">
      <text>
        <r>
          <rPr>
            <sz val="9"/>
            <color indexed="81"/>
            <rFont val="Tahoma"/>
            <family val="2"/>
          </rPr>
          <t>250,000 USD per month base marketing budget pre-Series A which is total marketing during the seed phase. This implies roughly 130,000 performance plus 120,000 brand.</t>
        </r>
      </text>
    </comment>
    <comment ref="B15" authorId="0" shapeId="0" xr:uid="{D417A345-3875-4D87-89D7-8073C0E8D810}">
      <text>
        <r>
          <rPr>
            <sz val="9"/>
            <color indexed="81"/>
            <rFont val="Tahoma"/>
            <family val="2"/>
          </rPr>
          <t>700,000 USD per month base marketing budget post-Series A which kicks in after Series A closes at M6. The 2.8x step-up reflects deployment of growth capital into performance channels.</t>
        </r>
      </text>
    </comment>
    <comment ref="B16" authorId="0" shapeId="0" xr:uid="{B331EC7C-8930-40FA-850B-C310B75069ED}">
      <text>
        <r>
          <rPr>
            <sz val="9"/>
            <color indexed="81"/>
            <rFont val="Tahoma"/>
            <family val="2"/>
          </rPr>
          <t>1.5 million USD per month base marketing budget post-Series B which kicks in after Series B at M19. This funds geographic expansion and brand investment for category leadership.</t>
        </r>
      </text>
    </comment>
    <comment ref="B17" authorId="0" shapeId="0" xr:uid="{327E25CD-361B-4AB0-9DE0-2F07302068F3}">
      <text>
        <r>
          <rPr>
            <sz val="9"/>
            <color indexed="81"/>
            <rFont val="Tahoma"/>
            <family val="2"/>
          </rPr>
          <t>2 percent monthly intra-tier growth which is how the budget compounds within each funding tier to reflect gradual scale-up as channels prove ROI. It resets at each round.</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Balachandar Vasan</author>
  </authors>
  <commentList>
    <comment ref="C3" authorId="0" shapeId="0" xr:uid="{1EABC405-ACA7-4D88-A506-C9DCE009E79E}">
      <text>
        <r>
          <rPr>
            <b/>
            <sz val="9"/>
            <color indexed="81"/>
            <rFont val="Tahoma"/>
            <family val="2"/>
          </rPr>
          <t>12 engineers at launch which covers backend (5), mobile (4), infra and SRE (2), and an engineering lead (1). A typical pre-seed fintech launches with 8 to 15 engineers.</t>
        </r>
      </text>
    </comment>
    <comment ref="D3" authorId="0" shapeId="0" xr:uid="{F3FA43B3-FCFC-4754-81CC-C9C5AFB69F8C}">
      <text>
        <r>
          <rPr>
            <b/>
            <sz val="9"/>
            <color indexed="81"/>
            <rFont val="Tahoma"/>
            <family val="2"/>
          </rPr>
          <t>26,000 USD per month engineering salary fully-loaded which works out to about 312,000 per year (base, bonus, and equity-adjusted). This is the senior engineering market rate in major fintech hubs.</t>
        </r>
      </text>
    </comment>
    <comment ref="C4" authorId="0" shapeId="0" xr:uid="{676612D4-0709-4A70-A9E9-52B111656AB5}">
      <text>
        <r>
          <rPr>
            <b/>
            <sz val="9"/>
            <color indexed="81"/>
            <rFont val="Tahoma"/>
            <family val="2"/>
          </rPr>
          <t>3 data hires at launch which covers an analytics engineer, an ML and risk modeler, and a BI and ops analyst. This is lean because most insight work runs through the engineering team initially.</t>
        </r>
      </text>
    </comment>
    <comment ref="D4" authorId="0" shapeId="0" xr:uid="{B9A51DF3-D79D-4323-A552-8223909C9B0F}">
      <text>
        <r>
          <rPr>
            <b/>
            <sz val="9"/>
            <color indexed="81"/>
            <rFont val="Tahoma"/>
            <family val="2"/>
          </rPr>
          <t>22,000 USD per month data salary fully-loaded which is about 264,000 per year. This is a slight discount to engineering given an earlier-career analyst mix.</t>
        </r>
      </text>
    </comment>
    <comment ref="C5" authorId="0" shapeId="0" xr:uid="{0F143A76-C388-4AC3-8598-1BE3C0D7C6A5}">
      <text>
        <r>
          <rPr>
            <b/>
            <sz val="9"/>
            <color indexed="81"/>
            <rFont val="Tahoma"/>
            <family val="2"/>
          </rPr>
          <t>5 sales hires at launch which covers 1 lead, 2 BizDev for partnerships, and 2 inside sales for B2B2C deals. This is low for a consumer fintech because acquisition is performance-marketing-led.</t>
        </r>
      </text>
    </comment>
    <comment ref="D5" authorId="0" shapeId="0" xr:uid="{5C1E09C3-E84C-4101-AD4C-61A8016C06D7}">
      <text>
        <r>
          <rPr>
            <b/>
            <sz val="9"/>
            <color indexed="81"/>
            <rFont val="Tahoma"/>
            <family val="2"/>
          </rPr>
          <t>18,000 USD per month sales salary fully-loaded which is about 216,000 per year (base plus commission). This is the mid-market sales rep loaded cost.</t>
        </r>
      </text>
    </comment>
    <comment ref="C6" authorId="0" shapeId="0" xr:uid="{2F566BF9-F4F1-40BB-805E-1A07BDF01890}">
      <text>
        <r>
          <rPr>
            <b/>
            <sz val="9"/>
            <color indexed="81"/>
            <rFont val="Tahoma"/>
            <family val="2"/>
          </rPr>
          <t>4 CX agents at launch which handles roughly 1,000 active customers per agent at projected ticket volume. This scales with the active base.</t>
        </r>
      </text>
    </comment>
    <comment ref="D6" authorId="0" shapeId="0" xr:uid="{CA85041C-F3F7-49B9-A349-6C8B85B16230}">
      <text>
        <r>
          <rPr>
            <b/>
            <sz val="9"/>
            <color indexed="81"/>
            <rFont val="Tahoma"/>
            <family val="2"/>
          </rPr>
          <t>12,000 USD per month CX salary fully-loaded which is about 144,000 per year. This is a tier-2 support specialist with fintech compliance training.</t>
        </r>
      </text>
    </comment>
    <comment ref="C7" authorId="0" shapeId="0" xr:uid="{4DB66B79-161F-46CB-9AF8-3FA1153D21EB}">
      <text>
        <r>
          <rPr>
            <b/>
            <sz val="9"/>
            <color indexed="81"/>
            <rFont val="Tahoma"/>
            <family val="2"/>
          </rPr>
          <t>4 G&amp;A roles at launch which covers CEO, CFO and finance lead, people and ops, and legal and compliance. The compliance role is critical for fintech (BSA, AML, licensing).</t>
        </r>
      </text>
    </comment>
    <comment ref="D7" authorId="0" shapeId="0" xr:uid="{D25341A9-9D3D-4E11-9B5C-E98ED5611E72}">
      <text>
        <r>
          <rPr>
            <b/>
            <sz val="9"/>
            <color indexed="81"/>
            <rFont val="Tahoma"/>
            <family val="2"/>
          </rPr>
          <t>20,000 USD per month G&amp;A salary fully-loaded which is about 240,000 per year. This is blended across executive and senior individual contributors.</t>
        </r>
      </text>
    </comment>
    <comment ref="G8" authorId="0" shapeId="0" xr:uid="{019BA936-0E0C-47BD-95F0-AB89201A6E28}">
      <text>
        <r>
          <rPr>
            <b/>
            <sz val="9"/>
            <color indexed="81"/>
            <rFont val="Tahoma"/>
            <family val="2"/>
          </rPr>
          <t>15 percent benefits load on base payroll which covers healthcare, retirement match, payroll taxes, and perks. The US benchmark is 25 to 35 percent all-in, so 15 percent reflects a leaner stack or partial offshore mix.</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Balachandar Vasan</author>
  </authors>
  <commentList>
    <comment ref="H2" authorId="0" shapeId="0" xr:uid="{EEF5C9FF-7426-4811-AA9F-FCEF99656ACB}">
      <text>
        <r>
          <rPr>
            <sz val="9"/>
            <color indexed="81"/>
            <rFont val="Tahoma"/>
            <family val="2"/>
          </rPr>
          <t>150,000 USD per month cloud and SaaS blended across AWS or GCP compute and storage (90,000), data warehouse and Snowflake (25,000), dev tooling (15,000), and comms and productivity SaaS (20,000). This is right-sized for a pre-scale fintech.</t>
        </r>
      </text>
    </comment>
    <comment ref="H3" authorId="0" shapeId="0" xr:uid="{479A2041-7324-400C-87E7-FC23EFC3E897}">
      <text>
        <r>
          <rPr>
            <sz val="9"/>
            <color indexed="81"/>
            <rFont val="Tahoma"/>
            <family val="2"/>
          </rPr>
          <t>60,000 USD per month rent for roughly 6,000 square feet of Class-A office in a major fintech hub. This assumes a hybrid model with hot-desking, so a full-office cost would be 2 to 3 times higher.</t>
        </r>
      </text>
    </comment>
    <comment ref="H4" authorId="0" shapeId="0" xr:uid="{B10DFA0C-C6FF-40EF-9941-0858438EDB5A}">
      <text>
        <r>
          <rPr>
            <sz val="9"/>
            <color indexed="81"/>
            <rFont val="Tahoma"/>
            <family val="2"/>
          </rPr>
          <t>25,000 USD per month legal and audit run-rate which covers outside counsel (fintech regulatory, employment, contracts) plus quarterly audit fees amortized. This is fintech-elevated versus typical SaaS at around 10,000.</t>
        </r>
      </text>
    </comment>
    <comment ref="H5" authorId="0" shapeId="0" xr:uid="{9A665AE1-1BC9-40B4-A53B-1905E8347910}">
      <text>
        <r>
          <rPr>
            <sz val="9"/>
            <color indexed="81"/>
            <rFont val="Tahoma"/>
            <family val="2"/>
          </rPr>
          <t>35,000 USD per month G&amp;A misc which covers insurance (D&amp;O, cyber, E&amp;O), accounting platforms, board expenses, travel, recruiting fees, and T&amp;E.</t>
        </r>
      </text>
    </comment>
    <comment ref="H6" authorId="0" shapeId="0" xr:uid="{E2153B94-0A06-4F7B-8363-0B0AC07707AD}">
      <text>
        <r>
          <rPr>
            <sz val="9"/>
            <color indexed="81"/>
            <rFont val="Tahoma"/>
            <family val="2"/>
          </rPr>
          <t>40,000 USD per month R&amp;D non-people which covers third-party APIs (KYC, fraud, credit bureau pulls), beta testing programs, and ML and data licenses. This scales with the active customer base in practice but is modeled as fixed.</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Balachandar Vasan</author>
  </authors>
  <commentList>
    <comment ref="B2" authorId="0" shapeId="0" xr:uid="{12875FCA-3FC2-4BA5-A4F8-1A8498B35DEE}">
      <text>
        <r>
          <rPr>
            <sz val="9"/>
            <color indexed="81"/>
            <rFont val="Tahoma"/>
            <family val="2"/>
          </rPr>
          <t>8 percent capitalized software as a share of Eng and Data payroll. This is the engineering effort meeting cap-software criteria under ASC 350-40 (post-design, technical feasibility, completion likely). This is conservative because many SaaS firms capitalize 15 to 25 percent.</t>
        </r>
      </text>
    </comment>
    <comment ref="B3" authorId="0" shapeId="0" xr:uid="{F0584204-30ED-483E-B91D-E46997A81C79}">
      <text>
        <r>
          <rPr>
            <sz val="9"/>
            <color indexed="81"/>
            <rFont val="Tahoma"/>
            <family val="2"/>
          </rPr>
          <t>25,000 USD per month other capex for hardware, office buildout amortization, and furniture and fixtures. This is modest and assumes a lean hybrid setup.</t>
        </r>
      </text>
    </comment>
    <comment ref="B4" authorId="0" shapeId="0" xr:uid="{98DE0C82-72FE-4D7B-8F7C-87EC5284A224}">
      <text>
        <r>
          <rPr>
            <sz val="9"/>
            <color indexed="81"/>
            <rFont val="Tahoma"/>
            <family val="2"/>
          </rPr>
          <t>3-year straight-line depreciation life for capitalized software and IT hardware. This is the standard for tech assets per IFRS practice.</t>
        </r>
      </text>
    </comment>
    <comment ref="B6" authorId="0" shapeId="0" xr:uid="{BCF0DBAB-070A-439A-9F96-D1B317362FD3}">
      <text>
        <r>
          <rPr>
            <sz val="9"/>
            <color indexed="81"/>
            <rFont val="Tahoma"/>
            <family val="2"/>
          </rPr>
          <t>12 AR days outstanding on receivable revenue (card interchange settlement and subscription bill cycle). This is faster than B2B SaaS at 45 to 60 days because payments revenue settles through card networks within days.</t>
        </r>
      </text>
    </comment>
    <comment ref="C6" authorId="0" shapeId="0" xr:uid="{7D5564DA-676C-4EFB-A8DE-4A9C17D82DF9}">
      <text>
        <r>
          <rPr>
            <sz val="9"/>
            <color indexed="81"/>
            <rFont val="Tahoma"/>
            <family val="2"/>
          </rPr>
          <t>Effective AR days after applying the scenario multiplier from 21_Scenarios row 6.</t>
        </r>
      </text>
    </comment>
    <comment ref="B7" authorId="0" shapeId="0" xr:uid="{3108C4AF-DBE9-433B-8873-0098651171CF}">
      <text>
        <r>
          <rPr>
            <sz val="9"/>
            <color indexed="81"/>
            <rFont val="Tahoma"/>
            <family val="2"/>
          </rPr>
          <t>25 AP days to pay vendors which is standard Net-30 terms with roughly a 5-day processing lag. This is common across mid-stage fintechs.</t>
        </r>
      </text>
    </comment>
    <comment ref="C7" authorId="0" shapeId="0" xr:uid="{3972D4A5-75C1-439E-8F16-FCE7C50DCD2E}">
      <text>
        <r>
          <rPr>
            <sz val="9"/>
            <color indexed="81"/>
            <rFont val="Tahoma"/>
            <family val="2"/>
          </rPr>
          <t>Effective AP days after applying the scenario multiplier from 21_Scenarios row 7.</t>
        </r>
      </text>
    </comment>
    <comment ref="A8" authorId="0" shapeId="0" xr:uid="{5190FC3D-B2D9-4708-ACD5-C620DD765E70}">
      <text>
        <r>
          <rPr>
            <b/>
            <sz val="9"/>
            <color indexed="81"/>
            <rFont val="Tahoma"/>
            <charset val="1"/>
          </rPr>
          <t>Number of months of service paid upfront. 1 means monthly billing with no deferral. 3 means quarterly prepay. 12 means annual prepay. The deferred revenue balance approximates average prepayment outstanding across the subscriber base.</t>
        </r>
      </text>
    </comment>
    <comment ref="B8" authorId="0" shapeId="0" xr:uid="{A65CB2A5-150B-4D89-B63C-5F7030BC8BCC}">
      <text>
        <r>
          <rPr>
            <sz val="9"/>
            <color indexed="81"/>
            <rFont val="Tahoma"/>
            <family val="2"/>
          </rPr>
          <t>1 subscription prepay month which means monthly billing with no deferral. Change to 3 for quarterly prepay or 12 for annual. This drives the deferred revenue balance on the BS.</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Balachandar Vasan</author>
  </authors>
  <commentList>
    <comment ref="B2" authorId="0" shapeId="0" xr:uid="{D82B497F-0152-492E-BE6D-035AA08BDA49}">
      <text>
        <r>
          <rPr>
            <sz val="9"/>
            <color indexed="81"/>
            <rFont val="Tahoma"/>
            <family val="2"/>
          </rPr>
          <t>6.5 million USD starting cash (increased from 5M, +1.5M) from founder equity and pre-seed at M0. Funds runway to the Series A close, now moved to M12.</t>
        </r>
      </text>
    </comment>
    <comment ref="B3" authorId="0" shapeId="0" xr:uid="{FE416343-2C4A-466A-9AC7-E346264AB574}">
      <text>
        <r>
          <rPr>
            <sz val="9"/>
            <color indexed="81"/>
            <rFont val="Tahoma"/>
            <charset val="1"/>
          </rPr>
          <t>Extra venture debt tranche drawn at M7 (the remaining 1M of the 4M facility), to extend runway toward the M12 Series A.</t>
        </r>
      </text>
    </comment>
    <comment ref="C3" authorId="0" shapeId="0" xr:uid="{06ABD2B8-8D30-48B3-AD2D-8C194F71383F}">
      <text>
        <r>
          <rPr>
            <sz val="9"/>
            <color indexed="81"/>
            <rFont val="Tahoma"/>
            <charset val="1"/>
          </rPr>
          <t>1 million USD final VD tranche at M7, bringing total drawn to the full 4M facility.</t>
        </r>
      </text>
    </comment>
    <comment ref="B4" authorId="0" shapeId="0" xr:uid="{4382843D-437D-405C-A4E7-974CE962CCED}">
      <text>
        <r>
          <rPr>
            <sz val="9"/>
            <color indexed="81"/>
            <rFont val="Tahoma"/>
            <charset val="1"/>
          </rPr>
          <t>Mudarabah (Shariah-compliant profit-sharing) bridge injected at M7, when natural cash first turns negative.</t>
        </r>
      </text>
    </comment>
    <comment ref="C4" authorId="0" shapeId="0" xr:uid="{B8500430-EE81-4D45-A6C9-D4E40363870A}">
      <text>
        <r>
          <rPr>
            <sz val="9"/>
            <color indexed="81"/>
            <rFont val="Tahoma"/>
            <charset val="1"/>
          </rPr>
          <t>8 million USD Mudarabah bridge financing. Equity-like, no interest (Shariah-compliant). Carried as 'Mudarabah financing - bridge' liability M7-M11, converts to equity at Series A (M12) at a 20% discount to the Series A price. Expands the investor pool to Islamic VCs and Gulf family offices for this UAE consumer fintech.</t>
        </r>
      </text>
    </comment>
    <comment ref="B5" authorId="0" shapeId="0" xr:uid="{3CE73273-9558-4350-B3E3-BBEB96FEAA66}">
      <text>
        <r>
          <rPr>
            <sz val="9"/>
            <color indexed="81"/>
            <rFont val="Tahoma"/>
            <family val="2"/>
          </rPr>
          <t>4 million USD committed venture debt facility (typically from Silicon Valley Bank, Hercules, or Brex Capital). This is drawable in tranches against ARR milestones.</t>
        </r>
      </text>
    </comment>
    <comment ref="B6" authorId="0" shapeId="0" xr:uid="{1CF70765-C349-4EFE-A1C0-B2DA04732B07}">
      <text>
        <r>
          <rPr>
            <sz val="9"/>
            <color indexed="81"/>
            <rFont val="Tahoma"/>
            <family val="2"/>
          </rPr>
          <t>Debt draw Month 1 is M4 which is the first 1 million tranche to bridge burn before Series A closes at M6.</t>
        </r>
      </text>
    </comment>
    <comment ref="B7" authorId="0" shapeId="0" xr:uid="{C9BB7DA1-57EE-4CEB-91D0-B802E84F91BF}">
      <text>
        <r>
          <rPr>
            <sz val="9"/>
            <color indexed="81"/>
            <rFont val="Tahoma"/>
            <family val="2"/>
          </rPr>
          <t>1 million USD first debt tranche drawn at M4.</t>
        </r>
      </text>
    </comment>
    <comment ref="B8" authorId="0" shapeId="0" xr:uid="{DA98BA72-7832-4F91-B49B-1793AF42DE60}">
      <text>
        <r>
          <rPr>
            <sz val="9"/>
            <color indexed="81"/>
            <rFont val="Tahoma"/>
            <family val="2"/>
          </rPr>
          <t>Debt draw Month 2 is M5 which is the second 2 million tranche.</t>
        </r>
      </text>
    </comment>
    <comment ref="B9" authorId="0" shapeId="0" xr:uid="{B900F9DE-7328-4FE0-937B-2F203D75C324}">
      <text>
        <r>
          <rPr>
            <sz val="9"/>
            <color indexed="81"/>
            <rFont val="Tahoma"/>
            <family val="2"/>
          </rPr>
          <t>2 million USD second debt tranche drawn at M5, bringing the total drawn to 3 million out of the 4 million facility.</t>
        </r>
      </text>
    </comment>
    <comment ref="B10" authorId="0" shapeId="0" xr:uid="{FF760F16-B151-4CC3-AD80-CD9D9837E0FF}">
      <text>
        <r>
          <rPr>
            <sz val="9"/>
            <color indexed="81"/>
            <rFont val="Tahoma"/>
            <family val="2"/>
          </rPr>
          <t>10 percent annual interest rate. The venture debt market is typically Prime plus 2 to 4 percent with warrants, so 10 percent is mid-range for an early-stage borrower.</t>
        </r>
      </text>
    </comment>
    <comment ref="B11" authorId="0" shapeId="0" xr:uid="{12969B50-4EC1-4FAB-8091-1AA866DE71B1}">
      <text>
        <r>
          <rPr>
            <b/>
            <sz val="9"/>
            <color indexed="81"/>
            <rFont val="Tahoma"/>
            <charset val="1"/>
          </rPr>
          <t>Mudarabah conversion month. Must equal the Series A month, currently M12. If you change it, the 02_Valuation waterfall has to be re-linked to this cell, otherwise the ownership percentages will silently stop matching the balance sheet.</t>
        </r>
      </text>
    </comment>
    <comment ref="B13" authorId="0" shapeId="0" xr:uid="{00A3359F-A0F3-407C-B0DF-D110D89609CC}">
      <text>
        <r>
          <rPr>
            <sz val="9"/>
            <color indexed="81"/>
            <rFont val="Tahoma"/>
            <family val="2"/>
          </rPr>
          <t>Series A raise moved to Month 12 (from M6), where run-rate ARR is ~$5M and an 8x ARR multiple is defensible on trailing ARR. The Mudarabah bridge + extended VD fund the M7-M11 gap.</t>
        </r>
      </text>
    </comment>
    <comment ref="C13" authorId="0" shapeId="0" xr:uid="{18E4E360-CF9B-4859-85D3-550E12539648}">
      <text>
        <r>
          <rPr>
            <sz val="9"/>
            <color indexed="81"/>
            <rFont val="Tahoma"/>
            <family val="2"/>
          </rPr>
          <t>10 million USD Series A (reduced from 25M) to target ~20% dilution on the M12 pre-money. Combined with the converting Mudarabah bridge, founders retain ~67%.</t>
        </r>
      </text>
    </comment>
    <comment ref="B14" authorId="0" shapeId="0" xr:uid="{411AB990-F4BC-4A95-81CD-F2D93E8CD150}">
      <text>
        <r>
          <rPr>
            <sz val="9"/>
            <color indexed="81"/>
            <rFont val="Tahoma"/>
            <family val="2"/>
          </rPr>
          <t>Series B raise at Month 19, which is 13 months after Series A. This gives the team time to hit 20 million USD plus ARR run rate and prove growth before raising at a step-up valuation.</t>
        </r>
      </text>
    </comment>
    <comment ref="C14" authorId="0" shapeId="0" xr:uid="{7E8C7E20-5C4B-40D9-B578-4CC3AC7FA08F}">
      <text>
        <r>
          <rPr>
            <sz val="9"/>
            <color indexed="81"/>
            <rFont val="Tahoma"/>
            <family val="2"/>
          </rPr>
          <t>40 million USD Series B at 1.6x the Series A. This funds geographic expansion and reach to around 60 million USD ARR by M36.</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Balachandar Vasan</author>
  </authors>
  <commentList>
    <comment ref="B2" authorId="0" shapeId="0" xr:uid="{F347E43F-D1F8-4818-8725-7124A7DD3414}">
      <text>
        <r>
          <rPr>
            <sz val="9"/>
            <color indexed="81"/>
            <rFont val="Tahoma"/>
            <family val="2"/>
          </rPr>
          <t>9 percent UAE corporate tax rate which applies to taxable income above 375,000 AED. Source is UAE Federal Decree-Law No. 47 of 2022, effective for financial years starting on or after 1 June 2023.</t>
        </r>
      </text>
    </comment>
    <comment ref="B3" authorId="0" shapeId="0" xr:uid="{6A9A0B47-7E98-4170-A2C7-4135551C30A9}">
      <text>
        <r>
          <rPr>
            <sz val="9"/>
            <color indexed="81"/>
            <rFont val="Tahoma"/>
            <family val="2"/>
          </rPr>
          <t>75 percent NOL utilization cap which is the share of taxable income that tax losses can offset in any future tax period. Source is UAE Federal Decree-Law No. 47 of 2022, Article 37.</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Balachandar Vasan</author>
  </authors>
  <commentList>
    <comment ref="B10" authorId="0" shapeId="0" xr:uid="{3BEED961-4E48-4450-9329-6DF0B87E6824}">
      <text>
        <r>
          <rPr>
            <b/>
            <sz val="9"/>
            <color indexed="81"/>
            <rFont val="Tahoma"/>
            <charset val="1"/>
          </rPr>
          <t>Balachandar Vasan:</t>
        </r>
        <r>
          <rPr>
            <sz val="9"/>
            <color indexed="81"/>
            <rFont val="Tahoma"/>
            <charset val="1"/>
          </rPr>
          <t xml:space="preserve">
Row 10 builds the total marketing budget then nets out Fixed Brand Marketing, and row 11 adds Fixed Brand Marketing back as its own line. The two cancel, so total marketing in row 12 is correct. Split this way to show performance spend separately from brand spend.</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Balachandar Vasan</author>
  </authors>
  <commentList>
    <comment ref="B7" authorId="0" shapeId="0" xr:uid="{99DF27B1-D32E-464B-B9E2-906B41240905}">
      <text>
        <r>
          <rPr>
            <sz val="9"/>
            <color indexed="81"/>
            <rFont val="Tahoma"/>
            <family val="2"/>
          </rPr>
          <t>AR equals Card plus Sub revenue (row 11) times Effective AR Days divided by 30. This excludes instant-settle payments and lending revenue.</t>
        </r>
      </text>
    </comment>
    <comment ref="B8" authorId="0" shapeId="0" xr:uid="{3D7B2353-A4BD-4760-8650-63E63F391113}">
      <text>
        <r>
          <rPr>
            <sz val="9"/>
            <color indexed="81"/>
            <rFont val="Tahoma"/>
            <family val="2"/>
          </rPr>
          <t>AP equals trade-credit OPEX (Fixed OPEX plus Total Marketing plus Variable Support) times Effective AP Days divided by 30. This excludes payroll (which has its own accrual) and processing costs (which settle within the network window).</t>
        </r>
      </text>
    </comment>
    <comment ref="A9" authorId="0" shapeId="0" xr:uid="{69998B4F-699E-49D2-B329-D638139473E7}">
      <text>
        <r>
          <rPr>
            <sz val="9"/>
            <color indexed="81"/>
            <rFont val="Tahoma"/>
            <family val="2"/>
          </rPr>
          <t>Approximates average prepayment outstanding across the subscriber base. The formula is Sub Revenue times (Prepay Months minus 1) divided by 2. This returns 0 when monthly billing is used, and ramps up for quarterly or annual plans.</t>
        </r>
      </text>
    </comment>
    <comment ref="A10" authorId="0" shapeId="0" xr:uid="{F9E17B1C-31B5-495B-95B4-FE73EA859867}">
      <text>
        <r>
          <rPr>
            <sz val="9"/>
            <color indexed="81"/>
            <rFont val="Tahoma"/>
            <family val="2"/>
          </rPr>
          <t>Approximates half a month of payroll outstanding at month-end because people are paid in arrears. The formula is Payroll times 15 divided by 30. The 15 over 30 is a timing constant for the pay-cycle midpoint rather than a business assumption.</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Balachandar Vasan</author>
  </authors>
  <commentList>
    <comment ref="A6" authorId="0" shapeId="0" xr:uid="{C2BBD1E9-1B91-4F05-B4EA-5FFFB6D95F00}">
      <text>
        <r>
          <rPr>
            <sz val="9"/>
            <color indexed="81"/>
            <rFont val="Tahoma"/>
            <family val="2"/>
          </rPr>
          <t>Monthly interest equals (beginning plus ending debt balance) times annual rate divided by 24. The 24 averages opening and ending balance (times 2) and then converts annual rate to monthly (divided by 12). This is equivalent to average balance times rate divided by 12.</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<sst xmlns="http://schemas.openxmlformats.org/spreadsheetml/2006/main" count="998" uniqueCount="810">
  <si>
    <t>Month Index</t>
  </si>
  <si>
    <t>Month Label</t>
  </si>
  <si>
    <t>Year</t>
  </si>
  <si>
    <t>Quarter</t>
  </si>
  <si>
    <t>M1</t>
  </si>
  <si>
    <t>M2</t>
  </si>
  <si>
    <t>M3</t>
  </si>
  <si>
    <t>M4</t>
  </si>
  <si>
    <t>M5</t>
  </si>
  <si>
    <t>M6</t>
  </si>
  <si>
    <t>M7</t>
  </si>
  <si>
    <t>M8</t>
  </si>
  <si>
    <t>M9</t>
  </si>
  <si>
    <t>M10</t>
  </si>
  <si>
    <t>M11</t>
  </si>
  <si>
    <t>M12</t>
  </si>
  <si>
    <t>M13</t>
  </si>
  <si>
    <t>M14</t>
  </si>
  <si>
    <t>M15</t>
  </si>
  <si>
    <t>M16</t>
  </si>
  <si>
    <t>M17</t>
  </si>
  <si>
    <t>M18</t>
  </si>
  <si>
    <t>M19</t>
  </si>
  <si>
    <t>M20</t>
  </si>
  <si>
    <t>M21</t>
  </si>
  <si>
    <t>M22</t>
  </si>
  <si>
    <t>M23</t>
  </si>
  <si>
    <t>M24</t>
  </si>
  <si>
    <t>M25</t>
  </si>
  <si>
    <t>M26</t>
  </si>
  <si>
    <t>M27</t>
  </si>
  <si>
    <t>M28</t>
  </si>
  <si>
    <t>M29</t>
  </si>
  <si>
    <t>M30</t>
  </si>
  <si>
    <t>M31</t>
  </si>
  <si>
    <t>M32</t>
  </si>
  <si>
    <t>M33</t>
  </si>
  <si>
    <t>M34</t>
  </si>
  <si>
    <t>M35</t>
  </si>
  <si>
    <t>M36</t>
  </si>
  <si>
    <t>Q1</t>
  </si>
  <si>
    <t>Q2</t>
  </si>
  <si>
    <t>Q3</t>
  </si>
  <si>
    <t>Q4</t>
  </si>
  <si>
    <t>Q5</t>
  </si>
  <si>
    <t>Q6</t>
  </si>
  <si>
    <t>Q7</t>
  </si>
  <si>
    <t>Q8</t>
  </si>
  <si>
    <t>Q9</t>
  </si>
  <si>
    <t>Q10</t>
  </si>
  <si>
    <t>Q11</t>
  </si>
  <si>
    <t>Q12</t>
  </si>
  <si>
    <t>Variable</t>
  </si>
  <si>
    <t>Base</t>
  </si>
  <si>
    <t>Downside</t>
  </si>
  <si>
    <t>Upside</t>
  </si>
  <si>
    <t>Tax</t>
  </si>
  <si>
    <t>Gross Profit</t>
  </si>
  <si>
    <t>EBITDA</t>
  </si>
  <si>
    <t>EBIT</t>
  </si>
  <si>
    <t>EBT</t>
  </si>
  <si>
    <t>Net Income</t>
  </si>
  <si>
    <t>Assets:</t>
  </si>
  <si>
    <t>Cash</t>
  </si>
  <si>
    <t>Liabilities:</t>
  </si>
  <si>
    <t>Deferred Revenue</t>
  </si>
  <si>
    <t>Debt</t>
  </si>
  <si>
    <t>Equity:</t>
  </si>
  <si>
    <t>Share Capital</t>
  </si>
  <si>
    <t>Retained Earnings</t>
  </si>
  <si>
    <t>Capex</t>
  </si>
  <si>
    <t>Net Change in Cash</t>
  </si>
  <si>
    <t>Y1 Total</t>
  </si>
  <si>
    <t>Y2 Total</t>
  </si>
  <si>
    <t>Y3 Total</t>
  </si>
  <si>
    <t>Acquisition</t>
  </si>
  <si>
    <t>Starting Customers</t>
  </si>
  <si>
    <t>Monthly Churn</t>
  </si>
  <si>
    <t>Reactivation Rate</t>
  </si>
  <si>
    <t>Active Rate</t>
  </si>
  <si>
    <t>Retention</t>
  </si>
  <si>
    <t>Payments</t>
  </si>
  <si>
    <t>GMV per Active Customer</t>
  </si>
  <si>
    <t>Take Rate</t>
  </si>
  <si>
    <t>Processing Cost</t>
  </si>
  <si>
    <t>Chargebacks</t>
  </si>
  <si>
    <t>Card</t>
  </si>
  <si>
    <t>Interchange Revenue / Active</t>
  </si>
  <si>
    <t>Subscription Attach Rate</t>
  </si>
  <si>
    <t>Subscription Price</t>
  </si>
  <si>
    <t>Lending</t>
  </si>
  <si>
    <t>Lending Penetration (annual %)</t>
  </si>
  <si>
    <t>Avg Principal</t>
  </si>
  <si>
    <t>Origination Fee</t>
  </si>
  <si>
    <t>Monthly Yield on Outstanding</t>
  </si>
  <si>
    <t>CAC &amp; Marketing</t>
  </si>
  <si>
    <t>CAC Month 1</t>
  </si>
  <si>
    <t>CAC MoM Change</t>
  </si>
  <si>
    <t>CAC Floor</t>
  </si>
  <si>
    <t>Fixed Brand Marketing</t>
  </si>
  <si>
    <t>Function</t>
  </si>
  <si>
    <t>Month 1 HC</t>
  </si>
  <si>
    <t>Engineering</t>
  </si>
  <si>
    <t>Data</t>
  </si>
  <si>
    <t>Sales</t>
  </si>
  <si>
    <t>CX</t>
  </si>
  <si>
    <t>G&amp;A</t>
  </si>
  <si>
    <t>Headcount &amp; Payroll</t>
  </si>
  <si>
    <t>Salary</t>
  </si>
  <si>
    <t>Benefits Load</t>
  </si>
  <si>
    <t>Cloud &amp; SaaS</t>
  </si>
  <si>
    <t>Rent</t>
  </si>
  <si>
    <t>Legal/Audit</t>
  </si>
  <si>
    <t>G&amp;A Misc</t>
  </si>
  <si>
    <t>R&amp;D Non-People</t>
  </si>
  <si>
    <t>Capitalized Software % of Eng+Data Payroll</t>
  </si>
  <si>
    <t>Other Capex Monthly</t>
  </si>
  <si>
    <t>Depreciation Life (Years)</t>
  </si>
  <si>
    <t>AR Days</t>
  </si>
  <si>
    <t>AP Days</t>
  </si>
  <si>
    <t>Starting Cash</t>
  </si>
  <si>
    <t>Debt Facility</t>
  </si>
  <si>
    <t>Debt Draw Month 1</t>
  </si>
  <si>
    <t>Debt Draw Amount 1</t>
  </si>
  <si>
    <t>Debt Draw Month 2</t>
  </si>
  <si>
    <t>Debt Draw Amount 2</t>
  </si>
  <si>
    <t>Interest Rate</t>
  </si>
  <si>
    <t>Corporate Tax Rate</t>
  </si>
  <si>
    <t>Churn Mult</t>
  </si>
  <si>
    <t>CAC Mult</t>
  </si>
  <si>
    <t>Take Rate Mult</t>
  </si>
  <si>
    <t>Core Assumptions &amp; Strategic Rationale</t>
  </si>
  <si>
    <t>Effective</t>
  </si>
  <si>
    <t>Beginning Customers</t>
  </si>
  <si>
    <t>New Customers</t>
  </si>
  <si>
    <t>Churned Customers</t>
  </si>
  <si>
    <t>Reactivated Customers</t>
  </si>
  <si>
    <t>Ending Customers</t>
  </si>
  <si>
    <t>Active Customers</t>
  </si>
  <si>
    <t>Net Customer Growth</t>
  </si>
  <si>
    <t>Payments Revenue</t>
  </si>
  <si>
    <t>Payments Gross Profit</t>
  </si>
  <si>
    <t>Card Interchange Revenue</t>
  </si>
  <si>
    <t>Subscribed Users</t>
  </si>
  <si>
    <t>Subscription Revenue</t>
  </si>
  <si>
    <t>Card Total Revenue</t>
  </si>
  <si>
    <t>Lending Active Flag</t>
  </si>
  <si>
    <t>Raise Month</t>
  </si>
  <si>
    <t>New Loans Issued</t>
  </si>
  <si>
    <t>Loan Principal Issued</t>
  </si>
  <si>
    <t>Origination Fee Revenue</t>
  </si>
  <si>
    <t>Interest Revenue</t>
  </si>
  <si>
    <t>Total Revenue</t>
  </si>
  <si>
    <t>Variable Support Cost</t>
  </si>
  <si>
    <t>Beginning HC</t>
  </si>
  <si>
    <t>New Hires</t>
  </si>
  <si>
    <t>Ending HC</t>
  </si>
  <si>
    <t>Weighted Salary</t>
  </si>
  <si>
    <t>Payroll Cost</t>
  </si>
  <si>
    <t>Platform Serving Costs</t>
  </si>
  <si>
    <t>Variable Support Cost per Active Customer (monthly)</t>
  </si>
  <si>
    <t>Fixed OPEX Cost</t>
  </si>
  <si>
    <t>Total</t>
  </si>
  <si>
    <t>Total OPEX</t>
  </si>
  <si>
    <t>Beginning Loan Balance</t>
  </si>
  <si>
    <t>Principal Repayment</t>
  </si>
  <si>
    <t>Repayment Rate</t>
  </si>
  <si>
    <t>Ending Loan Balance</t>
  </si>
  <si>
    <t>Capitalized Software</t>
  </si>
  <si>
    <t>Other CAPEX</t>
  </si>
  <si>
    <t>Total CAPEX</t>
  </si>
  <si>
    <t>Beginning Net PPE</t>
  </si>
  <si>
    <t>Depreciation</t>
  </si>
  <si>
    <t>Ending Net PPE</t>
  </si>
  <si>
    <t>Monthly Depreciation</t>
  </si>
  <si>
    <t>Accounts Payable</t>
  </si>
  <si>
    <t>Accounts Receivable</t>
  </si>
  <si>
    <t>Total Opex</t>
  </si>
  <si>
    <t>Interest Expense</t>
  </si>
  <si>
    <t>Beginning Debt</t>
  </si>
  <si>
    <t>Debt Draw</t>
  </si>
  <si>
    <t>Ending Debt</t>
  </si>
  <si>
    <t>Equity Injection</t>
  </si>
  <si>
    <t>Accounts Payables</t>
  </si>
  <si>
    <t>Loan Balance</t>
  </si>
  <si>
    <t>Net PP&amp;E</t>
  </si>
  <si>
    <t>Change in AR</t>
  </si>
  <si>
    <t>Change in AP</t>
  </si>
  <si>
    <t>Change in Deferred Revenue</t>
  </si>
  <si>
    <t>Change in Loan Balance</t>
  </si>
  <si>
    <t>Equity Raise</t>
  </si>
  <si>
    <t>Net Assets</t>
  </si>
  <si>
    <t>Net Liabilities + equity</t>
  </si>
  <si>
    <t>Balance Check</t>
  </si>
  <si>
    <t>Cumulative EBT</t>
  </si>
  <si>
    <t>Monthly Revenue Growth</t>
  </si>
  <si>
    <t>Lifetime Value</t>
  </si>
  <si>
    <t>CAC Payback Period</t>
  </si>
  <si>
    <t>LTV / CAC Ratio</t>
  </si>
  <si>
    <t>Gross Profit Margin</t>
  </si>
  <si>
    <t>EBITDA Margin</t>
  </si>
  <si>
    <t>Burn</t>
  </si>
  <si>
    <t>Burn Multiple</t>
  </si>
  <si>
    <t>Runway</t>
  </si>
  <si>
    <t>Net Debt</t>
  </si>
  <si>
    <t>D / E Ratio</t>
  </si>
  <si>
    <t>Loan Book</t>
  </si>
  <si>
    <t>GP per Active</t>
  </si>
  <si>
    <t>Annual Churn</t>
  </si>
  <si>
    <t>ARR Multiple (Base)</t>
  </si>
  <si>
    <t>Dilution %</t>
  </si>
  <si>
    <t>Metric</t>
  </si>
  <si>
    <t>Growth</t>
  </si>
  <si>
    <t>Profitability</t>
  </si>
  <si>
    <t>Liquidity</t>
  </si>
  <si>
    <t>Dilution</t>
  </si>
  <si>
    <t>Revenue (Y3)</t>
  </si>
  <si>
    <t>ARR (M36)</t>
  </si>
  <si>
    <t>Active Customers (M36)</t>
  </si>
  <si>
    <t>Capital Efficiency</t>
  </si>
  <si>
    <t>Capital Strategy</t>
  </si>
  <si>
    <t>Gross Margin % (Y3)</t>
  </si>
  <si>
    <t>EBITDA Margin % (Y3)</t>
  </si>
  <si>
    <t>Net Income (Y3)</t>
  </si>
  <si>
    <t>Burn Multiple (M12)</t>
  </si>
  <si>
    <t>LTV/CAC (M12)</t>
  </si>
  <si>
    <t>CAC Payback (M12)</t>
  </si>
  <si>
    <t>First Negative Cash Month</t>
  </si>
  <si>
    <t>Net Debt (M36)</t>
  </si>
  <si>
    <t>Runway Post Raise</t>
  </si>
  <si>
    <t>Min Cash Pre Raise</t>
  </si>
  <si>
    <t>Cash (M12)</t>
  </si>
  <si>
    <t>Raise Size</t>
  </si>
  <si>
    <t>CAC MoM</t>
  </si>
  <si>
    <t>Performance Marketing Spend</t>
  </si>
  <si>
    <t>Total Marketing Spend</t>
  </si>
  <si>
    <t>Version</t>
  </si>
  <si>
    <t>Date</t>
  </si>
  <si>
    <t>Change</t>
  </si>
  <si>
    <t>v1.0</t>
  </si>
  <si>
    <t>Initial 3-statement build</t>
  </si>
  <si>
    <t>Added lending module</t>
  </si>
  <si>
    <t>v1.1</t>
  </si>
  <si>
    <t>Added capital sensitivity tables</t>
  </si>
  <si>
    <t>v1.2</t>
  </si>
  <si>
    <t>v1.3</t>
  </si>
  <si>
    <t>Final dashboard + scenario compare</t>
  </si>
  <si>
    <t>v1.4</t>
  </si>
  <si>
    <t>v1.5</t>
  </si>
  <si>
    <t>Integrated CAC MoM &amp; floor into engine</t>
  </si>
  <si>
    <t>Refined capex capitalization (Eng+Data only)</t>
  </si>
  <si>
    <t>v1.6</t>
  </si>
  <si>
    <t>Finalized Assumptions and Executive Summary</t>
  </si>
  <si>
    <t>A.</t>
  </si>
  <si>
    <t>B.</t>
  </si>
  <si>
    <t>C.</t>
  </si>
  <si>
    <t>D.</t>
  </si>
  <si>
    <t>E.</t>
  </si>
  <si>
    <t>F.</t>
  </si>
  <si>
    <t>Y1 End</t>
  </si>
  <si>
    <t>Y2 End</t>
  </si>
  <si>
    <t>Y3 End</t>
  </si>
  <si>
    <t>Equity Rounds</t>
  </si>
  <si>
    <t>Month</t>
  </si>
  <si>
    <t>Amount</t>
  </si>
  <si>
    <t>Series A</t>
  </si>
  <si>
    <t>Series B</t>
  </si>
  <si>
    <t>Note: Funding (round month + amount) is held constant across scenarios. The funding plan is a management commitment, not a market variable. See '36_Inputs_Funding' rows 12-14 for the rounds schedule.</t>
  </si>
  <si>
    <t>NOL Opening Balance</t>
  </si>
  <si>
    <t>NOL Used (75% cap)</t>
  </si>
  <si>
    <t>NOL Ending Balance</t>
  </si>
  <si>
    <t>Marketing Budget</t>
  </si>
  <si>
    <t>Base Budget Pre-Series A</t>
  </si>
  <si>
    <t>Base Budget Post-Series A</t>
  </si>
  <si>
    <t>Base Budget Post-Series B</t>
  </si>
  <si>
    <t>Intra-Tier MoM Growth</t>
  </si>
  <si>
    <t>Marketing Budget Multiplier</t>
  </si>
  <si>
    <t>Hiring Plan (Net Hires per Function per Month)</t>
  </si>
  <si>
    <t>Total Hires</t>
  </si>
  <si>
    <t>Cumulative Headcount</t>
  </si>
  <si>
    <t>Total HC</t>
  </si>
  <si>
    <t>Dynamic Payroll Mix</t>
  </si>
  <si>
    <t>Eng+Data Payroll (pre-benefits)</t>
  </si>
  <si>
    <t>Total Payroll (pre-benefits)</t>
  </si>
  <si>
    <t>Eng+Data Payroll %</t>
  </si>
  <si>
    <t>Subscription Prepay Months (months paid upfront)</t>
  </si>
  <si>
    <t>AR Days Mult</t>
  </si>
  <si>
    <t>AP Days Mult</t>
  </si>
  <si>
    <t>Payroll Accrual</t>
  </si>
  <si>
    <t>Change in Payroll Accrual</t>
  </si>
  <si>
    <t>GMV / Active Mult</t>
  </si>
  <si>
    <t>Chargeback Mult</t>
  </si>
  <si>
    <t>Lending Penetration Mult</t>
  </si>
  <si>
    <t>Monthly Yield Mult</t>
  </si>
  <si>
    <t>Subscription ARR</t>
  </si>
  <si>
    <t>Run-Rate Revenue</t>
  </si>
  <si>
    <t>All values formula-linked to source input cells. Edit source cells to update this sheet.</t>
  </si>
  <si>
    <t>Live Value</t>
  </si>
  <si>
    <t>Rationale</t>
  </si>
  <si>
    <t>Source Cell</t>
  </si>
  <si>
    <t>Business Model &amp; Methodology</t>
  </si>
  <si>
    <t>Business model</t>
  </si>
  <si>
    <t>Payments + Sub + Lending</t>
  </si>
  <si>
    <t>Lending activation month</t>
  </si>
  <si>
    <t>Lending intentionally lags Series A close (M6) to align credit deployment with funded balance sheet capacity. Scenario-dependent via Lending Penetration multiplier.</t>
  </si>
  <si>
    <t>Customer acquisition mechanic</t>
  </si>
  <si>
    <t>Marketing budget tiering</t>
  </si>
  <si>
    <t>3 tiers (Pre-A / Post-A / Post-B)</t>
  </si>
  <si>
    <t>Scenario application</t>
  </si>
  <si>
    <t>Multiplicative</t>
  </si>
  <si>
    <t>Customer Growth &amp; Retention</t>
  </si>
  <si>
    <t>Starting customers</t>
  </si>
  <si>
    <t>Initial GTM seed cohort assumed as start-of-M1 base for retention math.</t>
  </si>
  <si>
    <t>Pre-Series A marketing budget</t>
  </si>
  <si>
    <t>Post-Series A marketing budget</t>
  </si>
  <si>
    <t>Step-up at M6 reflects deployment of Series A capital into acquisition.</t>
  </si>
  <si>
    <t>Post-Series B marketing budget</t>
  </si>
  <si>
    <t>Intra-tier MoM budget growth</t>
  </si>
  <si>
    <t>Fixed brand marketing</t>
  </si>
  <si>
    <t>Always-on brand spend separate from performance budget. Modeled as a fixed monthly cost (not tied to CAC math).</t>
  </si>
  <si>
    <t>Monthly churn</t>
  </si>
  <si>
    <t>Annualized churn (derived)</t>
  </si>
  <si>
    <t>Reactivation rate</t>
  </si>
  <si>
    <t>Active rate (engagement)</t>
  </si>
  <si>
    <t>Customer Acquisition Cost (CAC)</t>
  </si>
  <si>
    <t>Starting CAC (M1)</t>
  </si>
  <si>
    <t>MoM CAC change</t>
  </si>
  <si>
    <t>CAC floor</t>
  </si>
  <si>
    <t>Payments Economics</t>
  </si>
  <si>
    <t>GMV per active customer (monthly)</t>
  </si>
  <si>
    <t>Take rate</t>
  </si>
  <si>
    <t>Processing cost</t>
  </si>
  <si>
    <t>Chargeback rate</t>
  </si>
  <si>
    <t>Loss rate on GMV from fraud/disputes. Flexed by Chargeback Mult under stressed scenarios where fraud rises.</t>
  </si>
  <si>
    <t>Card Interchange &amp; Subscription</t>
  </si>
  <si>
    <t>Interchange revenue / active / month</t>
  </si>
  <si>
    <t>Subscription attach rate</t>
  </si>
  <si>
    <t>Subscription price (monthly)</t>
  </si>
  <si>
    <t>Monthly fee per subscribed customer. Single-tier pricing assumed for simplicity.</t>
  </si>
  <si>
    <t>Lending Economics</t>
  </si>
  <si>
    <t>Annual lending penetration</t>
  </si>
  <si>
    <t>Average principal per loan</t>
  </si>
  <si>
    <t>Origination fee</t>
  </si>
  <si>
    <t>Monthly yield on outstanding</t>
  </si>
  <si>
    <t>Repayment rate</t>
  </si>
  <si>
    <t>G.</t>
  </si>
  <si>
    <t>People &amp; Operating Expenses</t>
  </si>
  <si>
    <t>Starting headcount</t>
  </si>
  <si>
    <t>Benefits load</t>
  </si>
  <si>
    <t>Software capitalization rule</t>
  </si>
  <si>
    <t>Eng + Data only</t>
  </si>
  <si>
    <t>Only Engineering and Data payroll capitalized to software CAPEX (per Eng+Data Payroll % on row 33 of HC tab). G&amp;A/Sales/CX expensed directly. Aligns with IFRS/GAAP development-vs-research distinction.</t>
  </si>
  <si>
    <t>Non-people opex (monthly)</t>
  </si>
  <si>
    <t>Variable support cost per active</t>
  </si>
  <si>
    <t>Per-active-customer monthly platform serving cost (hosting, support tooling). Scales with active base.</t>
  </si>
  <si>
    <t>H.</t>
  </si>
  <si>
    <t>Capital Structure &amp; Tax</t>
  </si>
  <si>
    <t>Starting cash (founder seed equity)</t>
  </si>
  <si>
    <t>Series A: month</t>
  </si>
  <si>
    <t>Target close month. Pre-money/post-money valuation calculated at this month using ARR multiple.</t>
  </si>
  <si>
    <t>Series A: amount</t>
  </si>
  <si>
    <t>Sized to deliver ≥12 months runway post-close at base scenario burn. Sensitivity-tested at $10–25M raise sizes.</t>
  </si>
  <si>
    <t>Series B: month</t>
  </si>
  <si>
    <t>Series B: amount</t>
  </si>
  <si>
    <t>Scaled to support post-Series B marketing budget tier and lending book growth.</t>
  </si>
  <si>
    <t>Venture debt facility size</t>
  </si>
  <si>
    <t>Venture debt interest rate (annual)</t>
  </si>
  <si>
    <t>Corporate tax rate</t>
  </si>
  <si>
    <t>I.</t>
  </si>
  <si>
    <t>Valuation &amp; Scenario Methodology</t>
  </si>
  <si>
    <t>ARR multiple (Base)</t>
  </si>
  <si>
    <t>Revenue multiple (alternate)</t>
  </si>
  <si>
    <t>Scenario flex — GMV/Active (Down/Up)</t>
  </si>
  <si>
    <t>Scenario flex — Chargeback (Down/Up)</t>
  </si>
  <si>
    <t>Scenario flex — Lending Penetration (Down/Up)</t>
  </si>
  <si>
    <t>Scenario flex — Monthly Yield (Down/Up)</t>
  </si>
  <si>
    <t>J.</t>
  </si>
  <si>
    <t>KPI Definitions</t>
  </si>
  <si>
    <t>Runway (months)</t>
  </si>
  <si>
    <t>LTV / CAC</t>
  </si>
  <si>
    <t>CAC Payback</t>
  </si>
  <si>
    <t>Document architecture</t>
  </si>
  <si>
    <t>How this works</t>
  </si>
  <si>
    <t>To add a new metric: insert a row, type the label in column A and the live formula in column E with its desired number format, then capture the snapshot the same way.</t>
  </si>
  <si>
    <t>K.</t>
  </si>
  <si>
    <t>Working Capital &amp; CapEx</t>
  </si>
  <si>
    <t>AR Days (base)</t>
  </si>
  <si>
    <t>Days of revenue carried as Accounts Receivable. 12 days reflects monthly billing cycle plus short collection lag for subscription/interchange flows. Flexed by AR Days Mult under scenarios.</t>
  </si>
  <si>
    <t>AP Days (base)</t>
  </si>
  <si>
    <t>Days of non-people opex carried as Accounts Payable. 25 days reflects standard supplier net-30 terms negotiated slightly tighter. Flexed by AP Days Mult under scenarios.</t>
  </si>
  <si>
    <t>Subscription prepay months</t>
  </si>
  <si>
    <t>Capitalized software % of Eng+Data payroll</t>
  </si>
  <si>
    <t>Portion of Eng+Data payroll capitalized as software CapEx each month. 8% reflects a conservative IFRS/GAAP estimate of development effort meeting the recognition threshold (vs. research, which stays in opex). Combined with the Eng+Data Payroll % on row 33 of the HC tab, this drives the monthly capex addition flowing into D&amp;A.</t>
  </si>
  <si>
    <t>Other CapEx (monthly)</t>
  </si>
  <si>
    <t>Depreciation life (years)</t>
  </si>
  <si>
    <t>Straight-line depreciation period applied to all capitalized assets. 3 years is the standard estimate for capitalized software + IT equipment. Monthly depreciation = 1 / (life × 12), driving D&amp;A on the IS and accumulated depreciation on the BS.</t>
  </si>
  <si>
    <t>L.</t>
  </si>
  <si>
    <t>Original Scenario Multipliers (operational levers)</t>
  </si>
  <si>
    <t>Scenario flex — Marketing Budget (Down/Up)</t>
  </si>
  <si>
    <t>Flexes marketing spend across all three tiers. Downside = management cuts acquisition spend to preserve cash; Upside = lean in with surplus deployment. Compounds with CAC Mult to drive new-customer math.</t>
  </si>
  <si>
    <t>Scenario flex — Churn (Down/Up)</t>
  </si>
  <si>
    <t>Flexes monthly churn. Downside = retention deteriorates under macro stress / product friction; Upside = product/engagement improvements stick. Drives the biggest delta in long-run LTV.</t>
  </si>
  <si>
    <t>Scenario flex — CAC (Down/Up)</t>
  </si>
  <si>
    <t>Flexes blended CAC. Downside = channels saturate, auctions inflate; Upside = brand compounding + channel efficiency. Combined with Marketing Budget Mult to flex acquired customer volume.</t>
  </si>
  <si>
    <t>Scenario flex — Take Rate (Down/Up)</t>
  </si>
  <si>
    <t>Flexes payments take rate. Downside = merchant repricing pressure / regulatory caps; Upside = mix shift to higher-margin verticals or premium tiers.</t>
  </si>
  <si>
    <t>Scenario flex — AR Days (Down/Up)</t>
  </si>
  <si>
    <t>Flexes collection terms. Downside = customers stretch payment, AR balance grows, cash conversion slows; Upside = faster collection releases working capital. Note: Downside = HIGHER multiplier (slower collection).</t>
  </si>
  <si>
    <t>Scenario flex — AP Days (Down/Up)</t>
  </si>
  <si>
    <t>Flexes supplier credit terms. Downside = suppliers tighten (AP shrinks, cash out faster); Upside = better negotiated terms preserve cash. Note: Downside = LOWER multiplier (suppliers tighten).</t>
  </si>
  <si>
    <t>M.</t>
  </si>
  <si>
    <t>Venture Debt Schedule</t>
  </si>
  <si>
    <t>Tranche 1 — Month / Amount</t>
  </si>
  <si>
    <t>Tranche 2 — Month / Amount</t>
  </si>
  <si>
    <t>Staged-draw rationale</t>
  </si>
  <si>
    <t>Rule of 40</t>
  </si>
  <si>
    <t>NRR Proxy (gross retention)</t>
  </si>
  <si>
    <t>Take Rate (blended)</t>
  </si>
  <si>
    <t>Contribution Margin / Active</t>
  </si>
  <si>
    <t>Magic Number</t>
  </si>
  <si>
    <t>Operating Leverage (ΔEBITDA/ΔRev)</t>
  </si>
  <si>
    <t>N.</t>
  </si>
  <si>
    <t>Additional KPI Definitions</t>
  </si>
  <si>
    <t>= YoY Revenue Growth % + EBITDA Margin %. SaaS/fintech benchmark: &gt;40% = best-in-class. For months &lt;13, falls back to current annualized growth + current EBITDA margin. Most meaningful at scale (M13+); early-period values dominated by negative EBITDA margins.</t>
  </si>
  <si>
    <t>= ΔRun-Rate Revenue (MoM) / Total Marketing Spend. Sales/acquisition efficiency. Standard convention is quarterly; monthly used here as a higher-frequency proxy. &gt;0.75 = efficient, &gt;1.5 = step on the gas, &lt;0.5 = burn cash for limited new revenue.</t>
  </si>
  <si>
    <t>Operating Leverage</t>
  </si>
  <si>
    <t>= ΔEBITDA / ΔRevenue (MoM). Incremental EBITDA per incremental dollar of revenue. Shows whether the model genuinely scales. &gt;0.4 = healthy operating leverage; &lt;0.2 = revenue growth not flowing to profit.</t>
  </si>
  <si>
    <t>Valuation</t>
  </si>
  <si>
    <t>Multiple methods cross-checked. All values formula-linked to model.</t>
  </si>
  <si>
    <t>Valuation Assumptions</t>
  </si>
  <si>
    <t>Revenue Multiple (cross-check)</t>
  </si>
  <si>
    <t>WACC (for DCF)</t>
  </si>
  <si>
    <t>Terminal Growth Rate</t>
  </si>
  <si>
    <t>Raise month</t>
  </si>
  <si>
    <t>Raise amount</t>
  </si>
  <si>
    <t>Method 1 — ARR Multiple</t>
  </si>
  <si>
    <t>Pre-Money Equity Value (Method 1)</t>
  </si>
  <si>
    <t>Method 2 — Revenue Multiple (cross-check)</t>
  </si>
  <si>
    <t>Pre-Money Equity Value (Method 2)</t>
  </si>
  <si>
    <t>Series A Summary (Method 1 — ARR multiple is primary)</t>
  </si>
  <si>
    <t>Pre-Money Valuation</t>
  </si>
  <si>
    <t>(+) Series A Raise</t>
  </si>
  <si>
    <t>Post-Money Valuation</t>
  </si>
  <si>
    <t>Series A dilution %</t>
  </si>
  <si>
    <t>Series B Valuation (at M19 close)</t>
  </si>
  <si>
    <t>Run-Rate Revenue at M19</t>
  </si>
  <si>
    <t>(+) Net Cash at M19 (before raise)</t>
  </si>
  <si>
    <t>(+) Series B Raise</t>
  </si>
  <si>
    <t>Series B dilution % (round)</t>
  </si>
  <si>
    <t>Pre-Series A</t>
  </si>
  <si>
    <t>Post-Series A</t>
  </si>
  <si>
    <t>Post-Series B</t>
  </si>
  <si>
    <t>Founder / existing shareholders</t>
  </si>
  <si>
    <t>Series A investors</t>
  </si>
  <si>
    <t>Series B investors</t>
  </si>
  <si>
    <t>ARR Multiple Sensitivity Band (Pre-Money at Series A)</t>
  </si>
  <si>
    <t>ARR Multiple</t>
  </si>
  <si>
    <t>DCF Cross-check (5-year)</t>
  </si>
  <si>
    <t>Y1</t>
  </si>
  <si>
    <t>Y2</t>
  </si>
  <si>
    <t>Y3</t>
  </si>
  <si>
    <t>Y4</t>
  </si>
  <si>
    <t>Y5</t>
  </si>
  <si>
    <t>Discount factor</t>
  </si>
  <si>
    <t>PV of FCF</t>
  </si>
  <si>
    <t>Sum of PV(FCF) Y1–Y5</t>
  </si>
  <si>
    <t>Terminal Value (Gordon Growth)</t>
  </si>
  <si>
    <t>PV of Terminal Value</t>
  </si>
  <si>
    <t>Enterprise Value (DCF)</t>
  </si>
  <si>
    <t>(+) Net Cash at M0</t>
  </si>
  <si>
    <t>Equity Value (DCF) at M0</t>
  </si>
  <si>
    <t>Y5 FCF margin assumption (% of Y5 revenue)</t>
  </si>
  <si>
    <t>DCF interpretation:</t>
  </si>
  <si>
    <t>Rule of 40 (Y3)</t>
  </si>
  <si>
    <t>LTV / CAC (M36)</t>
  </si>
  <si>
    <t>EBITDA Margin (Y3)</t>
  </si>
  <si>
    <t>Pre-Money</t>
  </si>
  <si>
    <t>Post-Money</t>
  </si>
  <si>
    <t>Founder</t>
  </si>
  <si>
    <t>LTV / CAC (M12)</t>
  </si>
  <si>
    <t>Scenario Toggle</t>
  </si>
  <si>
    <t>Notes:</t>
  </si>
  <si>
    <t>FINTECH MODEL — INVESTOR DASHBOARD</t>
  </si>
  <si>
    <t>Runway @ M12 (months)</t>
  </si>
  <si>
    <t>Revenue &amp; ARR Trajectory</t>
  </si>
  <si>
    <t>Cash Balance &amp; Funding Events</t>
  </si>
  <si>
    <t>LTV / CAC Evolution</t>
  </si>
  <si>
    <t>Final Ownership (post Series B)</t>
  </si>
  <si>
    <t>Series A Investors</t>
  </si>
  <si>
    <t>Series B Investors</t>
  </si>
  <si>
    <t>Scenario Sensitivity</t>
  </si>
  <si>
    <t>Runway Post-Raise (mo)</t>
  </si>
  <si>
    <t>Change to Downside / Base / Upside</t>
  </si>
  <si>
    <t>• See 02_Valuation for multi-method valuation and ARR-multiple sensitivity band.</t>
  </si>
  <si>
    <t>Valuation Summary</t>
  </si>
  <si>
    <t>Series B (M19)</t>
  </si>
  <si>
    <t>—</t>
  </si>
  <si>
    <t>Customer &amp; Revenue Mix</t>
  </si>
  <si>
    <t>Monthly Revenue</t>
  </si>
  <si>
    <t>• Scenario Sensitivity shows fixed Downside / Base / Upside snapshots.</t>
  </si>
  <si>
    <t>• Hero tiles and Capital Strategy live-update with the active scenario (B29).</t>
  </si>
  <si>
    <t>EXECUTIVE SUMMARY</t>
  </si>
  <si>
    <t>THE BUSINESS</t>
  </si>
  <si>
    <t>A 36-month integrated operating model for a consumer fintech building payments, subscription, and lending products on a single platform. Revenue is driven by GMV throughput, subscription attach, and lending yield; the model links acquisition (CAC, marketing budget), retention (monthly churn), and product mix to a full 3-statement output with scenario-driven funding strategy and ownership dilution.</t>
  </si>
  <si>
    <t>HEADLINE METRICS (BASE CASE, M36)</t>
  </si>
  <si>
    <t>ARR</t>
  </si>
  <si>
    <t>THE ASK</t>
  </si>
  <si>
    <t>Raise</t>
  </si>
  <si>
    <t>Pre-money</t>
  </si>
  <si>
    <t>Post-money</t>
  </si>
  <si>
    <t>Series B (Month 19)</t>
  </si>
  <si>
    <t>SCENARIO STRESS (Y3)</t>
  </si>
  <si>
    <t>Series A Dilution</t>
  </si>
  <si>
    <t>WHAT THE MODEL SHOWS</t>
  </si>
  <si>
    <t>•</t>
  </si>
  <si>
    <t>Lending is the third leg, activating M9. It scales asset-light and provides margin uplift without diluting unit economics.</t>
  </si>
  <si>
    <t>NOL Utilization Cap</t>
  </si>
  <si>
    <t>Unit economics are healthy and improve with scale. LTV/CAC progresses from 5.3x (M12) to 6.1x (M36) and gross margin lands at 81%
The model carries its own weight once the acquisition flywheel is funded.</t>
  </si>
  <si>
    <t>Early-stage burn dominates Y1–Y3, so PV of in-period FCF is deeply negative. Valuation is almost entirely a function of terminal value. DCF is illustrative only at this stage, use ARR multiple (Method 1) as primary.</t>
  </si>
  <si>
    <t>Last updated on:</t>
  </si>
  <si>
    <t>Snapshot in B/C/D is intentionally static so all three scenarios can be viewed side-by-side without the global toggle constraint. The trade-off is that the snapshot ages manually refresh after any change to inputs or model logic.</t>
  </si>
  <si>
    <t>Multi-product fintech. Payments and subscription generate immediate revenue and lending activates only after equity raise to absorb credit risk with adequate capital buffer.</t>
  </si>
  <si>
    <t>New customers = Marketing Budget / effective CAC, NOT a fixed MoM % growth. Marketing budget is the binding economic constraint and demand is assumed to absorb any spend at the prevailing CAC. This avoids the common modeling error of assuming customer growth is independent of acquisition spend.</t>
  </si>
  <si>
    <t>Budget steps up at each funding milestone, reflecting real-world capital allocation: pre-raise constrained, post-raise expanded and post-Series B scale-up. Within each tier, budget grows at intra-tier MoM rate.</t>
  </si>
  <si>
    <t>Conservative pre-raise spend preserves runway while validating unit economics.</t>
  </si>
  <si>
    <t>Step-up at M19 supports lending scale-up and category expansion.</t>
  </si>
  <si>
    <t>Modest within-tier compounding reflects channel optimization, not exuberant scaling.</t>
  </si>
  <si>
    <t>Mid-market fintech benchmark. Implies annual churn of 35% (see C21).</t>
  </si>
  <si>
    <t>Annual Churn = 1 - (1 - monthly churn)^12. Derived for benchmarking against annual retention curves.</t>
  </si>
  <si>
    <t>Modest win-back from dormant cohort each month. This is a conservative approach as most fintech win-back programs deliver 0.5–1%.</t>
  </si>
  <si>
    <t>% of total customers that actually transact in a given month. Active customers drive revenue and inactive accounts don't generate GMV/interchange.</t>
  </si>
  <si>
    <t>Initial blended CAC across all channels.</t>
  </si>
  <si>
    <t>Slight improvement each month reflecting channel optimization, lookalike audience compounding, and brand-driven organic lift.</t>
  </si>
  <si>
    <t>Asymptote below which CAC cannot fall. Reflects market-efficiency limit since at scale, you cannot acquire customers below a certain blended bid in any paid channel.</t>
  </si>
  <si>
    <t>Net card interchange per active customer per month. Treated as recurring (not subscription) which belongs in Run-Rate Revenue but NOT Subscription ARR.</t>
  </si>
  <si>
    <t>% of active customers on a paid subscription plan. Drives true SaaS-grade recurring revenue which is the only stream that flows into Subscription ARR.</t>
  </si>
  <si>
    <t>% of active base that takes a loan in a given year. Modeled monthly as penetration / 12 which is a conservative steady-state assumption rather than seasonality.</t>
  </si>
  <si>
    <t>One-time fee charged at origination. Booked as revenue at funding, NOT amortized, distinguishing lending acquisition revenue from interest income.</t>
  </si>
  <si>
    <t>Interest yield on outstanding loan balance per month (13.2% annualized). Net of credit losses, raw APR is higher. Flexed by Monthly Yield Mult under scenarios.</t>
  </si>
  <si>
    <t>Repayment Rate = 1/12, implying 12-month average loan duration. Drives loan book runoff which is outstanding * (1 - repayment rate) per month.</t>
  </si>
  <si>
    <t>M1 total HC across Eng (12), Data (3), Sales (5), CX (4), G&amp;A (4). Lean core team, hiring plan layered on top.</t>
  </si>
  <si>
    <t>Cloud/SaaS, rent, legal/audit, G&amp;A misc, R&amp;D non-people. Held flat by default, step-changes go in source cells if needed.</t>
  </si>
  <si>
    <t>Growth round timing for funds lending scale-up and category expansion.</t>
  </si>
  <si>
    <t>UAE corporate tax effective from FY2024 (9% on profits above 375K AED). NOL carryforward modeled on IS rows 17–19, tax only applies when cumulative EBT turns positive net of carried losses.</t>
  </si>
  <si>
    <t>Downside = consumer spend contracts, Upside = stronger discretionary spend.</t>
  </si>
  <si>
    <t>Downside = fraud rises in stress, Upside = controls improve.</t>
  </si>
  <si>
    <t>Downside = credit appetite contracts, Upside = expansion of credit access.</t>
  </si>
  <si>
    <t>Downside = credit-loss channel dominates yield, Upside = wider spread environment.</t>
  </si>
  <si>
    <t>Gross Profit Margin = Gross Profit / Revenue at each month. Reflects revenue net of variable COGS (processing costs, chargebacks, support).</t>
  </si>
  <si>
    <t>EBITDA Margin = EBITDA / Revenue. Excludes D&amp;A, interest, tax. Most relevant operating profitability metric for fintech.</t>
  </si>
  <si>
    <t>Burn Multiple = Net Burn / ΔRun-Rate Revenue per month. &lt;1 = efficient growth, 1–2 = healthy, &gt;2 = capital-inefficient. Returns 999 sentinel when revenue is flat/declining with active burn.</t>
  </si>
  <si>
    <t>Runway = Current cash / Monthly burn. Caps at 999 when burn is zero or negative.</t>
  </si>
  <si>
    <t>Lifetime Value / Customer Acquisition Cost. &gt;3x = healthy unit economics by VC convention.</t>
  </si>
  <si>
    <t>CAC Payback = CAC / Gross Profit per Active. Months to recover acquisition cost. Sub-12 months is the fintech benchmark.</t>
  </si>
  <si>
    <t>Number of months of subscription service paid upfront. 1 = pure monthly billing (no deferral). Drives Deferred Revenue on the BS. Toggle to 3 (quarterly) or 12 (annual) to model prepay-heavy pricing, each unit increase shifts cash forward and grows the deferred revenue liability.</t>
  </si>
  <si>
    <t>Fixed monthly hardware/office/equipment capex outside of capitalized software. Held flat, bump the source cell if a major office build-out or hardware refresh is planned.</t>
  </si>
  <si>
    <t>Payments GMV</t>
  </si>
  <si>
    <t>Monthly Lending Penetration</t>
  </si>
  <si>
    <t>Average gross merchandise value transacted per active customer per month. Combines transaction frequency by average basket. Benchmarked to mid-market consumer fintech wallets.</t>
  </si>
  <si>
    <t>Net merchant fee retained after acquirer and scheme fees. Tighter than US benchmarks (2.5 to 2.9 percent) reflecting regional payments competitive dynamics.</t>
  </si>
  <si>
    <t>Mid-ticket consumer credit sized to underwriting risk appetite. Benchmarked to BNPL and installment mid-market peers.</t>
  </si>
  <si>
    <t>Multiplier on base payroll for social charges and benefits.</t>
  </si>
  <si>
    <t>Day-1 cash from founder equity, seeded directly into Share Capital on the BS.</t>
  </si>
  <si>
    <t>Backup heuristic for revenue-multiple-based valuation. ARR multiple is the primary methodology.</t>
  </si>
  <si>
    <t>Absolute outstanding loan balance from BS.</t>
  </si>
  <si>
    <t>v1.7</t>
  </si>
  <si>
    <t>Fixed D/E ratio to display n/m when equity is non-positive</t>
  </si>
  <si>
    <t>v1.8</t>
  </si>
  <si>
    <t>Refactored funding, NOL, CAC, hiring/capex, rev-rec, and WC dynamics</t>
  </si>
  <si>
    <t>v2.0</t>
  </si>
  <si>
    <t>v2.1</t>
  </si>
  <si>
    <t>Expanded KPIs, rebuilt valuation with Series A/B and waterfall, redesigned dashboard</t>
  </si>
  <si>
    <t>v2.2</t>
  </si>
  <si>
    <t>Expanded scenario engine, rebuilt rationale/compare/sensitivity, fixed minor errors</t>
  </si>
  <si>
    <t>Currency and cosmetic standardization, fixed errors</t>
  </si>
  <si>
    <t>Multi-product consumer fintech: payments, subscription, lending</t>
  </si>
  <si>
    <t>All Live Values on this sheet are formula-linked to source cells. To update any assumption, edit the source cell (column E). This sheet refreshes automatically.</t>
  </si>
  <si>
    <t>Variable cost paid to acquirers and scheme rails on each GMV dollar. Sits in COGS. Net take = take rate minus processing cost.</t>
  </si>
  <si>
    <t>= (1 - monthly churn)^12. Gross retention proxy. The model has no explicit expansion driver, so this is the floor and NOT a true NRR. True NRR would add expansion revenue from existing cohorts. Flag this in conversations: "gross retention proxy, not NRR."</t>
  </si>
  <si>
    <t>= Payments Revenue / GMV. Net merchant fee retained per dollar of volume. Mirrors the take rate input but surfaces it as a result, which is a useful sanity check across scenarios.</t>
  </si>
  <si>
    <t>= (Gross Profit - variable support - total marketing spend) / Active customers. Per-active contribution after deducting the cost to acquire and serve. Tighter than GP/Active because it captures the true unit economics investors scrutinize.</t>
  </si>
  <si>
    <t>• Strategic narrative (why this business, why now): see 00_Executive_Summary</t>
  </si>
  <si>
    <t>• Methodology rationale (how each driver is modeled, why that choice): see this sheet</t>
  </si>
  <si>
    <t>• Per-cell source notes (where each number came from, when it changed): see cell notes on source inputs (30-37 tabs)</t>
  </si>
  <si>
    <t>Budget / CAC</t>
  </si>
  <si>
    <t>Effective Assumption = Base * Scenario Multiplier (10 levers on 21_Scenarios). Funding plan held constant across scenarios as funding is a management commitment, not a market variable.</t>
  </si>
  <si>
    <t>Applied as (begin balance + end balance)/2 * rate/24 monthly, average-balance convention reduces month-of-draw distortion versus point-in-time approaches.</t>
  </si>
  <si>
    <t>Subscription ARR = Subscription Revenue * 12. Pure SaaS-grade recurring revenue, only the subscription line. Investor-comparable to SaaS multiples.</t>
  </si>
  <si>
    <t>Run-Rate Revenue = (Subscription + Interchange + Interest) * 12. Total annualized recurring streams for broader fintech recurring base. NOT the same as subscription ARR, don't apply SaaS multiples to this.</t>
  </si>
  <si>
    <t>Enterprise Value (= Run-Rate Rev * ARR mult)</t>
  </si>
  <si>
    <t>Enterprise Value (= Rev * Rev mult)</t>
  </si>
  <si>
    <t>See 01_Dashboard for live KPIs, 02_Valuation for methodology, and 22_Scenario_Compare for scenario detail.</t>
  </si>
  <si>
    <t>Valuation Inputs</t>
  </si>
  <si>
    <t>Inputs for ARR/Revenue multiple methods and DCF cross-check. Edit values in column B; all downstream cells on 02_Valuation refresh automatically.</t>
  </si>
  <si>
    <t>Y5 FCF margin (% of Y5 revenue)</t>
  </si>
  <si>
    <t>DCF Y4/Y5 revenue growth</t>
  </si>
  <si>
    <t>Y4 revenue growth</t>
  </si>
  <si>
    <t>Y5 revenue growth</t>
  </si>
  <si>
    <t>5x revenue for cross-check only. Lower than the ARR multiple since revenue is messier, deals usually price on ARR or forward.</t>
  </si>
  <si>
    <t>25% WACC which is venture-adjusted for early-stage failure risk. Mature public fintech sits closer to 8-12%.</t>
  </si>
  <si>
    <t>3% terminal growth which represents long-run GDP plus a small premium. This is the standard convention for DCF terminal value.</t>
  </si>
  <si>
    <t>15% Y5 FCF margin for the terminal value seed. This is what mature fintech operating leverage looks like, with Nu running 20% plus and Cash App around 25%, so 15% is the conservative pick.</t>
  </si>
  <si>
    <t>Y4 revenue growth applied to Y3 actuals to project Y4 revenue. Used in DCF terminal-year path. 60% reflects deceleration from Y3 growth as the business approaches scale.</t>
  </si>
  <si>
    <t>Y5 revenue growth applied to Y4 to project Y5 revenue. Y5 revenue is multiplied by Y5 FCF margin (B8) to seed terminal value. 35% reflects continued deceleration toward the Gordon Growth steady-state.</t>
  </si>
  <si>
    <t>Unlevered FCF (= EBIT*(1-t) + D&amp;A + Change in WC + Change in Loan Book - Capex)</t>
  </si>
  <si>
    <t>Input</t>
  </si>
  <si>
    <t>Value</t>
  </si>
  <si>
    <t>Debt Draw Month 3 (extra VD)</t>
  </si>
  <si>
    <t>Mudarabah Bridge</t>
  </si>
  <si>
    <t>Mudarabah Bridge (Shariah-compliant)</t>
  </si>
  <si>
    <t>Mudarabah financing — bridge</t>
  </si>
  <si>
    <t>Series A Valuation (at M12 close)</t>
  </si>
  <si>
    <t>Run-Rate Revenue at M12</t>
  </si>
  <si>
    <t>Subscription ARR at M12</t>
  </si>
  <si>
    <t>(+) Net Cash at M12 (before raise)</t>
  </si>
  <si>
    <t>(+) Net Cash at M12</t>
  </si>
  <si>
    <t>Annualized Revenue at M12 (M12 rev * 12)</t>
  </si>
  <si>
    <t>Series A dilution % (new cash only)</t>
  </si>
  <si>
    <t>Founder/existing ownership (pre-bridge conversion)</t>
  </si>
  <si>
    <t>Ownership Waterfall (value-based; Mudarabah converts at 20% discount)</t>
  </si>
  <si>
    <t>Mudarabah bridge (converted at M12)</t>
  </si>
  <si>
    <t>Mudarabah conversion discount</t>
  </si>
  <si>
    <t>15x ARR for the Series A pre-money. At the M12 raise the company has ~$2.0M run-rate ARR; a 15x forward-looking multiple reflects the high-growth UAE consumer-fintech trajectory and brings founder retention to ~66% post-Series A. Private fintech band is ~6-12x trailing but early high-growth rounds price richer on forward ARR.</t>
  </si>
  <si>
    <t>Raising a $10M Series A at Month 12 to scale acquisition, complete the platform build-out, and reach $34M ARR with positive operating leverage by M36. An $8M Shariah-compliant Mudarabah bridge funds the gap from Month 7 and converts into the Series A at a 20% discount. A follow-on $40M Series B at Month 19 funds geographic expansion.</t>
  </si>
  <si>
    <t>Series A (Month 12)</t>
  </si>
  <si>
    <t>Raise timing matters. Moving the Series A from Month 6 to Month 12 lets the round price on real ARR rather than early traction, which lifts founder ownership. The Mudarabah bridge carries the business through the gap and converts into the round.</t>
  </si>
  <si>
    <t>Capital intensity is structural, not behavioral. The business needs the Mudarabah bridge, the Series A, and the Series B to reach scale. Cash stays positive through the M6 to M19 window, with the low point around $1.5M in Month 18.</t>
  </si>
  <si>
    <t>Final ownership post Series B (Founder / Series A / Mudarabah / Series B):</t>
  </si>
  <si>
    <t>Base = 15x (yellow). Range spans 11x to 19x. Early high-growth rounds price on forward ARR, so the band sits above the 6x to 12x trailing fintech norm.</t>
  </si>
  <si>
    <t>Series A (M12)</t>
  </si>
  <si>
    <t>Mudarabah (converted)</t>
  </si>
  <si>
    <t>Capital Strategy (Series A: M12, $10m)</t>
  </si>
  <si>
    <t>ARR multiple applied to M12 run-rate ARR to set the Series A pre-money. Set at 15x to reflect forward-looking pricing for a high-growth UAE consumer fintech. Trailing private fintech sits around 6x to 12x, but early rounds price on forward ARR, so the base case sits above that band. Sensitivity runs from 11x to 19x.</t>
  </si>
  <si>
    <t>M4, M5, then M7</t>
  </si>
  <si>
    <t>First tranche of $1M drawn at M4 to bridge early burn.</t>
  </si>
  <si>
    <t>Second tranche of $2M drawn at M5, taking drawn debt to $3M.</t>
  </si>
  <si>
    <t>Final $1M tranche drawn at M7, taking the full $4M facility down. The staged draw matches cash need as the business runs to the Series A close at M12, now bridged by the Mudarabah financing.</t>
  </si>
  <si>
    <t>Lending switched on this month onward. It starts ahead of the Series A and is funded by the venture debt draw and the Mudarabah bridge. Flexed by Lending Penetration Mult under scenarios.</t>
  </si>
  <si>
    <t>Total facility. Drawn in full across three tranches (M4 $1M, M5 $2M, M7 $1M) as part of the bridge to the Series A close at M12.</t>
  </si>
  <si>
    <t>02_Valuation!B5</t>
  </si>
  <si>
    <t>02_Valuation!B6</t>
  </si>
  <si>
    <t>Bridge amount / injection month</t>
  </si>
  <si>
    <t>Mudarabah is an Islamic profit-sharing structure. The $8M is injected at M7 when natural cash first turns negative. It carries no interest, which keeps the structure Shariah-compliant and widens the investor pool to Islamic VCs and Gulf family offices.</t>
  </si>
  <si>
    <t>Conversion terms</t>
  </si>
  <si>
    <t>Carried as a liability (Mudarabah financing - bridge) on the balance sheet from M7 to M11. Converts to equity at the Series A close in M12 at a 20% discount to the Series A price. No interest line hits the P&amp;L. On conversion the liability is removed and Share Capital is increased.</t>
  </si>
  <si>
    <t>Founder dilution at Series A (incl. Mudarabah conversion)</t>
  </si>
  <si>
    <t>Founder dilution at Series A</t>
  </si>
  <si>
    <t>Inputs</t>
  </si>
  <si>
    <t>Compression step-down month</t>
  </si>
  <si>
    <t>Monthly Calculation</t>
  </si>
  <si>
    <t>Month label</t>
  </si>
  <si>
    <t>Compression take rate</t>
  </si>
  <si>
    <t>Base payments revenue ($, live)</t>
  </si>
  <si>
    <t>Compression payments revenue ($)</t>
  </si>
  <si>
    <t>Payments revenue delta ($)</t>
  </si>
  <si>
    <t>EBITDA delta ($)</t>
  </si>
  <si>
    <t>Impact Summary (Compression vs Base)</t>
  </si>
  <si>
    <t>Year 3 EBITDA margin delta (ppts)</t>
  </si>
  <si>
    <t>O.</t>
  </si>
  <si>
    <t>Take Rate Compression Scenario (Regulatory)</t>
  </si>
  <si>
    <t>Base case take rate</t>
  </si>
  <si>
    <t>Take rate held at 1.2% in base case = CBUAE Notice 1998/2024 regulatory ceiling for consumer debit/prepaid interchange. Compression scenario (21_Scenarios) models step-down to 1.0% at M18 reflecting UAE digital payments cost trajectory (Aani, Jaywan). A 20bps compression on Year 3 GMV reduces annual payments revenue by approximately $5.4M.</t>
  </si>
  <si>
    <t>Modeled Year 3 revenue impact (M25–M36)</t>
  </si>
  <si>
    <t>21_Scenarios!B35</t>
  </si>
  <si>
    <t>Live figure from the 21_Scenarios stress block: cumulative payments revenue reduction across Year 3 (M25-M36) at the 1.0% compressed rate vs the 1.2% base. The ~$5.4M in the note above is the rough full-period number; the Year 3 impact computed here is ~$3.5M, and the M18-M36 total is ~$4.3M.</t>
  </si>
  <si>
    <t>Take Rate Compression (Regulatory). Stress Scenario, Not Linked to Base Case</t>
  </si>
  <si>
    <t>Logic: take rate is 1.2% for M1 to M17 (the base case rate, which equals the CBUAE Notice 1998/2024 ceiling), then steps down to 1.0% for M18 to M36 (a 20bps compression reflecting the UAE digital payments cost trajectory through Aani and Jaywan). This block recomputes payments revenue at the stepped rate and is a standalone stress calculation. It does not feed the live P&amp;L, KPIs, or cash flow, and the base case is unchanged.</t>
  </si>
  <si>
    <t>Take rate, M1 to M17 (base ceiling)</t>
  </si>
  <si>
    <t>Take rate, M18 to M36 (compressed)</t>
  </si>
  <si>
    <t>Payments revenue delta, M18 to M36 (cumulative)</t>
  </si>
  <si>
    <t>EBITDA delta, M18 to M36 (cumulative)</t>
  </si>
  <si>
    <t>Year 3 payments revenue delta, M25 to M36 (cumulative)</t>
  </si>
  <si>
    <t>Year 3 base payments revenue (M25 to M36)</t>
  </si>
  <si>
    <t>Year 3 compression payments revenue (M25 to M36)</t>
  </si>
  <si>
    <t>Year 3 total revenue, base (all streams)</t>
  </si>
  <si>
    <t>Year 3 total revenue, compression</t>
  </si>
  <si>
    <t>Year 3 EBITDA, base</t>
  </si>
  <si>
    <t>Year 3 EBITDA, compression</t>
  </si>
  <si>
    <t>Year 3 EBITDA margin, base</t>
  </si>
  <si>
    <t>Year 3 EBITDA margin, compression</t>
  </si>
  <si>
    <t>Lending Yield: Regulatory Convergence</t>
  </si>
  <si>
    <t>Stress Scenario, Self-contained. NOT linked to base case. Base case outputs unaffected. Lending yield is 1.1% per month for M1 to M17 (base), then steps to 0.917% per month for M18 to M36 (11% annualized, the Liv Digital upper range and a digital fintech regulatory floor). Trigger: Finance Companies Regulation enacted Jan 2025, with a typical CBUAE enforcement runway of 18 months, so M18 is roughly mid-2027. Monthly lending interest income is computed as active customers times monthly lending penetration times average principal times the stepped yield. This is a standalone calculation and does not feed the live P&amp;L, KPIs, or cash flow.</t>
  </si>
  <si>
    <t>Monthly yield, M1 to M17 (base)</t>
  </si>
  <si>
    <t>Monthly yield, M18 to M36 (converged, 11% p.a.)</t>
  </si>
  <si>
    <t>Avg principal (from 31_Inputs C13)</t>
  </si>
  <si>
    <t>Monthly lending penetration (annual / 12)</t>
  </si>
  <si>
    <t>Scenario monthly yield (stepped)</t>
  </si>
  <si>
    <t>Lending active flag (live)</t>
  </si>
  <si>
    <t>Base lending interest income ($)</t>
  </si>
  <si>
    <t>Scenario lending interest income ($)</t>
  </si>
  <si>
    <t>Lending revenue delta ($)</t>
  </si>
  <si>
    <t>Impact Summary (Convergence vs Base)</t>
  </si>
  <si>
    <t>Lending revenue delta, M18 to M36 (cumulative)</t>
  </si>
  <si>
    <t>Year 3 lending revenue delta, M25 to M36 (cumulative)</t>
  </si>
  <si>
    <t>Year 3 base lending revenue (M25 to M36)</t>
  </si>
  <si>
    <t>Year 3 scenario lending revenue (M25 to M36)</t>
  </si>
  <si>
    <t>Lending Yield: Full Rate Cap (Bear Case)</t>
  </si>
  <si>
    <t>Stress Scenario, Self-contained. NOT linked to base case. Base case outputs unaffected. Lending yield is 1.1% per month for M1 to M23 (base), then steps to 0.75% per month for M24 to M36 (9% annualized, bank personal loan floor parity). Trigger: an explicit regulatory cap imposed at bank rate parity by M24. Monthly lending interest income is computed as active customers times monthly lending penetration times average principal times the stepped yield. This is a standalone calculation and does not feed the live P&amp;L, KPIs, or cash flow.</t>
  </si>
  <si>
    <t>Monthly yield, M1 to M23 (base)</t>
  </si>
  <si>
    <t>Monthly yield, M24 to M36 (capped, 9% p.a.)</t>
  </si>
  <si>
    <t>Impact Summary (Bear Case vs Base)</t>
  </si>
  <si>
    <t>Lending revenue delta, M24 to M36 (cumulative)</t>
  </si>
  <si>
    <t>P.</t>
  </si>
  <si>
    <t>Lending Yield Compression Scenarios</t>
  </si>
  <si>
    <t>Base case monthly lending yield</t>
  </si>
  <si>
    <t>Lending yield held at 1.1% per month (14.1% p.a.) in base case. Sits above the UAE regulated bank personal loan ceiling (7.5% to 13% p.a.) but below emerging market fintech norms (15% to 30% and up). The CBUAE Finance Companies Regulation (Jan 2025) subjects BNPL and micro-lending to consumer finance rules without an explicit rate cap at enactment. Two compression scenarios in 21_Scenarios model the regulatory direction: (1) regulatory convergence to 11% p.a. at M18; (2) full bank rate parity at 9% p.a. at M24.</t>
  </si>
  <si>
    <t>Year 3 lending revenue impact (M25 to M36)</t>
  </si>
  <si>
    <t>Live figures from the 21_Scenarios stress blocks. The convergence scenario reduces Year 3 lending revenue by the amount shown here, and the bear case reduces it by the figure in 21_Scenarios B92. Both blocks are self-contained and do not feed the live P&amp;L, so the base case is unchanged.</t>
  </si>
  <si>
    <t>21_Scenarios!B67, B92</t>
  </si>
  <si>
    <t>Q.</t>
  </si>
  <si>
    <t>CAC Risk Narrative (see Section C)</t>
  </si>
  <si>
    <t>Starting CAC (AED 110 / ~$30)</t>
  </si>
  <si>
    <t>Starting CAC of AED 110 (~$30 USD) represents best-in-class performance for a referral and PLG-driven acquisition channel mix. Global consumer neobanks report CAC ranges of $50 to $100, and true loaded CAC (including KYC of $5 to $15, activation bonuses, and a dormancy adjustment) runs $85 to $350. Best-in-class referral-driven CAC is $15 to $30 USD. The AED 110 assumption is achievable only if the channel mix is predominantly organic and referral from launch. A paid-heavy mix in the UAE digital market would likely produce AED 150 to 250 in practice.</t>
  </si>
  <si>
    <t>32_Inputs_GrowthRetention!C10</t>
  </si>
  <si>
    <t>CAC floor (AED 80 / ~$22)</t>
  </si>
  <si>
    <t>CAC floor of AED 80 (~$22 USD) implies UAE performance marketing costs converge to best-in-class US referral levels by late Year 2. This is aggressive given UAE digital audience size and global CAC inflation of 40% to 60% since the 2023 baseline. Sensitivity: if the floor is AED 130 instead of AED 80, customer acquisition volume at equivalent budget decreases roughly 38%, extending the timeline to 228K active customers.</t>
  </si>
  <si>
    <t>32_Inputs_GrowthRetention!C12</t>
  </si>
  <si>
    <t>Risk flag</t>
  </si>
  <si>
    <t>Risk: the model should be stress-tested against a paid-heavy CAC scenario (AED 180 starting, AED 130 floor) if organic growth levers are not locked in at launch.</t>
  </si>
  <si>
    <t>R.</t>
  </si>
  <si>
    <t>Subscription Attach Rate Risk Narrative (see Section E)</t>
  </si>
  <si>
    <t>Subscription attach rate (18%)</t>
  </si>
  <si>
    <t>Subscription attach rate of 18% is benchmarked between Monzo (~15%) and Revolut (~25%), two of the most successful consumer fintech subscription programs globally. This rate is achievable at scale, but both comparables took 3 to 5 years of platform maturity and strong brand loyalty to reach these levels.</t>
  </si>
  <si>
    <t>31_Inputs_UnitEconomics!C9</t>
  </si>
  <si>
    <t>Cohort mix risk</t>
  </si>
  <si>
    <t>Risk: performance-marketing-acquired cohorts (likely dominant in Y1 to Y2) show materially lower attach rates than organic and referral cohorts. Industry data suggests 6% to 10% attach for paid-acquired users versus 20% to 30% for organic. If Y1 to Y2 cohorts are predominantly paid-acquired and attach at 8% rather than 18%, Year 2 subscription revenue is approximately 55% lower than base case.</t>
  </si>
  <si>
    <t>Maturity view</t>
  </si>
  <si>
    <t>The 18% assumption becomes defensible from M18 onward as organic cohorts accumulate and platform stickiness builds. It is optimistic as a starting rate from M1.</t>
  </si>
  <si>
    <t>Mudarabah Conversion Month</t>
  </si>
  <si>
    <t>Y4 and Y5 both use the top-down method. Y4 is Y3 revenue grown by the Y4 growth rate, then multiplied by the Y5 FCF margin. Y5 grows that one more year by the Y5 growth rate. Both terminal-path years sit on the same revenue * margin basis.</t>
  </si>
  <si>
    <t>Terminal value is more than 100% of DCF enterprise value, which is expected for a burn-stage business. Use the ARR multiple as primary, DCF is a directional cross-check only.</t>
  </si>
  <si>
    <t>Column E shows each metric pulled live from the source cell for the currently-selected scenario (toggle on Dashboard B29). To populate the snapshot columns B/C/D, flip the scenario, copy column E values, and paste-as-values into the matching scenario column.</t>
  </si>
  <si>
    <t>31_Inputs_UnitEconomics!B15</t>
  </si>
  <si>
    <t>31_Inputs_UnitEconomics!B2</t>
  </si>
  <si>
    <t>31_Inputs_UnitEconomics!B3</t>
  </si>
  <si>
    <t>31_Inputs_UnitEconomics!B4</t>
  </si>
  <si>
    <t>31_Inputs_UnitEconomics!B5</t>
  </si>
  <si>
    <t>31_Inputs_UnitEconomics!B7</t>
  </si>
  <si>
    <t>31_Inputs_UnitEconomics!B8</t>
  </si>
  <si>
    <t>31_Inputs_UnitEconomics!B9</t>
  </si>
  <si>
    <t>31_Inputs_UnitEconomics!B11</t>
  </si>
  <si>
    <t>31_Inputs_UnitEconomics!B12</t>
  </si>
  <si>
    <t>31_Inputs_UnitEconomics!B13</t>
  </si>
  <si>
    <t>31_Inputs_UnitEconomics!B14</t>
  </si>
  <si>
    <t>31_Inputs_UnitEconomics!B16</t>
  </si>
  <si>
    <t>31_Inputs_UnitEconomics!B18</t>
  </si>
  <si>
    <t>S.</t>
  </si>
  <si>
    <t>Lending Licence Risk Narrative (see Section on lending activation, M9)</t>
  </si>
  <si>
    <t>Lending activation month (M9)</t>
  </si>
  <si>
    <t>Lending activates in M9. The finance company licence application with the CBUAE is assumed to start at M1, running in parallel with the product build, collections setup, and credit bureau integration. The M1 to M9 window is the realistic timeline to clear licensing and stand up the lending operation alongside the rest of the platform.</t>
  </si>
  <si>
    <t>Licensing slip risk</t>
  </si>
  <si>
    <t>Risk: if CBUAE licensing takes longer than the M1 to M9 window, lending slips. A 3-month slip scenario activates lending at M12 instead of M9, deferring origination fees and interest income by one quarter and trimming Year 1 lending revenue. The rest of the platform (payments, subscription) is unaffected, so the slip dents lending upside rather than threatening solvency.</t>
  </si>
  <si>
    <t>Mitigant</t>
  </si>
  <si>
    <t>Lending activation month is a single input (31_Inputs_UnitEconomics, Raise Month). Pushing it from 9 to 12 reflects the slip case directly without reworking the model, so the timeline assumption is easy to stress.</t>
  </si>
  <si>
    <t>T.</t>
  </si>
  <si>
    <t>Series A to Series B Timing Narrative (7-month interval)</t>
  </si>
  <si>
    <t>Raise interval (M12 to M19)</t>
  </si>
  <si>
    <t>Series A closes at M12 and Series B at M19, a 7-month interval. Over that window run-rate revenue grows from about 1.97 million to 6.65 million USD, roughly 3.4 times. The interval is short by MENA norms and there is no clean regional comparable, so investors will ask what drives the step-up. The answer is below.</t>
  </si>
  <si>
    <t>What drives the 3.4x</t>
  </si>
  <si>
    <t>The step-up is customer-driven, not pricing-driven. Active customers grow from about 12,800 at M12 to 42,900 at M19, roughly 3.3 times, as the Series A capital funds a step-change in performance marketing spend right after the round closes. Unit economics hold (take rate, attach rate, and yield are unchanged), so revenue scales with the customer base. Lending, live since M9, is also compounding into a full revenue leg across this window, adding origination and interest income on top of the payments and subscription base.</t>
  </si>
  <si>
    <t>Why M19</t>
  </si>
  <si>
    <t>M19 is the point where run-rate revenue clears the level that supports a step-up Series B valuation and the growth trend is established on real data rather than early traction. Raising earlier would price on thinner evidence; raising later would burn Series A runway without a proportional valuation gain. The 7-month gap reflects the acceleration the Series A capital buys, so the timing follows the growth rather than being set arbitrarily.</t>
  </si>
  <si>
    <t>Reworked the funding plan and timing of the funding rounds.</t>
  </si>
  <si>
    <t>Added scenarios for lower payment take rates and lending yields.</t>
  </si>
  <si>
    <t>v3.0</t>
  </si>
  <si>
    <t>v3.1</t>
  </si>
  <si>
    <t>Capital Sensitivity — Series A Cap Table Optimization</t>
  </si>
  <si>
    <t>Dilution is the primary output. Cash at raise month (Grid 4) is the solvency constraint. Pre-money = run-rate ARR * 15x multiple + pre-equity cash at the raise month.</t>
  </si>
  <si>
    <t>Current Model Configuration</t>
  </si>
  <si>
    <t>Series A month</t>
  </si>
  <si>
    <t>Series A amount (USD)</t>
  </si>
  <si>
    <t>ARR at Series A month</t>
  </si>
  <si>
    <t>Pre-equity cash at Series A month</t>
  </si>
  <si>
    <t>Pre-money (ARR*15x + cash)</t>
  </si>
  <si>
    <t>Series A dilution</t>
  </si>
  <si>
    <t>Mudarabah conversion dilution</t>
  </si>
  <si>
    <t>Pre-money (model waterfall, 02_Valuation)</t>
  </si>
  <si>
    <t>Founder % post-Series A (after both)</t>
  </si>
  <si>
    <t>Inputs by Raise Month (pre-equity basis)</t>
  </si>
  <si>
    <t>Month #</t>
  </si>
  <si>
    <t>Run-Rate ARR</t>
  </si>
  <si>
    <t>Pre-equity cash</t>
  </si>
  <si>
    <t>Grid 1 — Series A Dilution %</t>
  </si>
  <si>
    <t>raise / (pre-money + raise). Green &lt;20%, yellow 20-30%, red &gt;30%.</t>
  </si>
  <si>
    <t>Raise month \ amount</t>
  </si>
  <si>
    <t>Grid 2 — Founder % Post-Series A</t>
  </si>
  <si>
    <t>1 - Series A dilution. Assumes 100% founder pre-raise (seed non-dilutive). Green &gt;75%, yellow 65-75%, red &lt;65%.</t>
  </si>
  <si>
    <t>Bridge conversion adds approx 17% dilution at conversion. Subtract from founder % above to get post-conversion founder ownership.</t>
  </si>
  <si>
    <t>v3.2</t>
  </si>
  <si>
    <t>Grid shows Series A tranche only on a pre-equity basis. Model waterfall (config block above) shows 17.1% after grossing bridge into denominator. Combined dilution at M12 including Mudarabah conversion: 34.2%.</t>
  </si>
  <si>
    <t>Helper: pre-equity cash path (BS cash minus cumulative equity injections), M1 to M19</t>
  </si>
  <si>
    <t>Grid 4 — Min Cash Floor to Series B (M19)</t>
  </si>
  <si>
    <t>Lowest cash balance between the raise month and M18 (just before Series B at M19), with the raise added at the raise month. Green if positive throughout (survives to Series B), red if it hits zero or below (needs more capital first).</t>
  </si>
  <si>
    <t>The binding point is the M18 cash trough just before Series B. The floor is set by raise amount, not timing, since the trough falls inside every window. $5M and $8M go negative before Series B even though they look solvent at the raise date, so $10M is the minimum viable raise. Mudarabah bridge ($8M at M7) is already in the path.</t>
  </si>
  <si>
    <t>U.</t>
  </si>
  <si>
    <t>Rebuilt Capital Sensitivity to optimize dilution</t>
  </si>
  <si>
    <t>32_Inputs_GrowthRetention!B2</t>
  </si>
  <si>
    <t>32_Inputs_GrowthRetention!B14</t>
  </si>
  <si>
    <t>32_Inputs_GrowthRetention!B15</t>
  </si>
  <si>
    <t>32_Inputs_GrowthRetention!B16</t>
  </si>
  <si>
    <t>32_Inputs_GrowthRetention!B17</t>
  </si>
  <si>
    <t>32_Inputs_GrowthRetention!B12</t>
  </si>
  <si>
    <t>32_Inputs_GrowthRetention!B4</t>
  </si>
  <si>
    <t>32_Inputs_GrowthRetention!B5</t>
  </si>
  <si>
    <t>32_Inputs_GrowthRetention!B6</t>
  </si>
  <si>
    <t>32_Inputs_GrowthRetention!B7</t>
  </si>
  <si>
    <t>32_Inputs_GrowthRetention!B9</t>
  </si>
  <si>
    <t>32_Inputs_GrowthRetention!B10</t>
  </si>
  <si>
    <t>32_Inputs_GrowthRetention!B11</t>
  </si>
  <si>
    <t>Never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</si>
</sst>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6">
    <numFmt numFmtId="43" formatCode="_-* #,##0.00_-;\-* #,##0.00_-;_-* &quot;-&quot;??_-;_-@_-"/>
    <numFmt numFmtId="164" formatCode="_-* #,##0.0_-;\-* #,##0.0_-;_-* &quot;-&quot;??_-;_-@_-"/>
    <numFmt numFmtId="165" formatCode="_-* #,##0_-;\-* #,##0_-;_-* &quot;-&quot;??_-;_-@_-"/>
    <numFmt numFmtId="166" formatCode="0.0%"/>
    <numFmt numFmtId="167" formatCode="0.0&quot;x&quot;"/>
    <numFmt numFmtId="168" formatCode="0.0"/>
    <numFmt numFmtId="169" formatCode="0.0&quot; mo&quot;"/>
    <numFmt numFmtId="170" formatCode="0.00&quot;x&quot;"/>
    <numFmt numFmtId="171" formatCode="0&quot; days&quot;"/>
    <numFmt numFmtId="172" formatCode="0&quot; mo&quot;"/>
    <numFmt numFmtId="173" formatCode="0&quot; yrs&quot;"/>
    <numFmt numFmtId="174" formatCode="&quot;M&quot;0"/>
    <numFmt numFmtId="175" formatCode="0.0%;\(0.0%\);\-"/>
    <numFmt numFmtId="176" formatCode="_(* #,##0.00_);_(* \(#,##0.00\);_(* &quot;-&quot;??_);_(@_)"/>
    <numFmt numFmtId="177" formatCode="[$$-409]#,##0,&quot;K&quot;;\([$$-409]#,##0,&quot;K&quot;\);\-"/>
    <numFmt numFmtId="178" formatCode="[$$-409]#,##0,,&quot;M&quot;"/>
    <numFmt numFmtId="179" formatCode="[$$-409]#,##0,&quot;K&quot;"/>
    <numFmt numFmtId="180" formatCode="[$$-409]#,##0"/>
    <numFmt numFmtId="181" formatCode="[$$-409]#,##0.0"/>
    <numFmt numFmtId="182" formatCode="[$$-409]#,##0.00"/>
    <numFmt numFmtId="183" formatCode="mm/dd/yyyy\ hh:mm"/>
    <numFmt numFmtId="184" formatCode="0.0000"/>
    <numFmt numFmtId="185" formatCode="0.000%"/>
    <numFmt numFmtId="186" formatCode="mm/dd/yyyy"/>
    <numFmt numFmtId="187" formatCode="[$$-409]#,##0;\([$$-409]#,##0\)"/>
    <numFmt numFmtId="188" formatCode="[$$-409]#,##0,,&quot;M&quot;;\([$$-409]#,##0,,&quot;M&quot;\)"/>
  </numFmts>
  <fonts count="73" x14ac:knownFonts="1">
    <font>
      <sz val="11"/>
      <color theme="1"/>
      <name val="Aptos Narrow"/>
      <family val="2"/>
      <scheme val="minor"/>
    </font>
    <font>
      <sz val="11"/>
      <color theme="1"/>
      <name val="Aptos Narrow"/>
      <family val="2"/>
      <scheme val="minor"/>
    </font>
    <font>
      <sz val="8"/>
      <name val="Aptos Narrow"/>
      <family val="2"/>
      <scheme val="minor"/>
    </font>
    <font>
      <u/>
      <sz val="11"/>
      <color theme="10"/>
      <name val="Aptos Narrow"/>
      <family val="2"/>
      <scheme val="minor"/>
    </font>
    <font>
      <b/>
      <sz val="9"/>
      <color indexed="81"/>
      <name val="Tahoma"/>
      <charset val="1"/>
    </font>
    <font>
      <sz val="9"/>
      <color indexed="81"/>
      <name val="Tahoma"/>
      <family val="2"/>
    </font>
    <font>
      <b/>
      <sz val="9"/>
      <color indexed="81"/>
      <name val="Tahoma"/>
      <family val="2"/>
    </font>
    <font>
      <sz val="9"/>
      <color rgb="FF595959"/>
      <name val="Aptos Narrow"/>
      <family val="2"/>
      <scheme val="minor"/>
    </font>
    <font>
      <sz val="10"/>
      <color theme="1"/>
      <name val="Calibri"/>
    </font>
    <font>
      <b/>
      <sz val="10"/>
      <color theme="1"/>
      <name val="Calibri"/>
    </font>
    <font>
      <b/>
      <sz val="11"/>
      <color rgb="FFFFFFFF"/>
      <name val="Calibri"/>
    </font>
    <font>
      <i/>
      <sz val="10"/>
      <color rgb="FF808080"/>
      <name val="Calibri"/>
    </font>
    <font>
      <sz val="10"/>
      <name val="Calibri"/>
      <family val="2"/>
    </font>
    <font>
      <b/>
      <sz val="10"/>
      <name val="Calibri"/>
      <family val="2"/>
    </font>
    <font>
      <b/>
      <sz val="10"/>
      <color theme="1"/>
      <name val="Calibri"/>
      <family val="2"/>
    </font>
    <font>
      <i/>
      <sz val="10"/>
      <color theme="1"/>
      <name val="Calibri"/>
      <family val="2"/>
    </font>
    <font>
      <sz val="10"/>
      <color theme="1"/>
      <name val="Calibri"/>
      <family val="2"/>
    </font>
    <font>
      <sz val="10"/>
      <color rgb="FF606060"/>
      <name val="Calibri"/>
      <family val="2"/>
    </font>
    <font>
      <i/>
      <sz val="10"/>
      <color rgb="FF606060"/>
      <name val="Calibri"/>
      <family val="2"/>
    </font>
    <font>
      <i/>
      <sz val="10"/>
      <color rgb="FF595959"/>
      <name val="Calibri"/>
      <family val="2"/>
    </font>
    <font>
      <b/>
      <sz val="18"/>
      <color rgb="FF1F3864"/>
      <name val="Calibri"/>
      <family val="2"/>
    </font>
    <font>
      <b/>
      <sz val="10"/>
      <color rgb="FF1F3864"/>
      <name val="Calibri"/>
      <family val="2"/>
    </font>
    <font>
      <i/>
      <sz val="11"/>
      <color rgb="FF595959"/>
      <name val="Calibri"/>
      <family val="2"/>
    </font>
    <font>
      <sz val="11"/>
      <color theme="1"/>
      <name val="Calibri"/>
      <family val="2"/>
    </font>
    <font>
      <b/>
      <sz val="11"/>
      <color rgb="FF1F3864"/>
      <name val="Calibri"/>
      <family val="2"/>
    </font>
    <font>
      <sz val="10"/>
      <color rgb="FF000000"/>
      <name val="Calibri"/>
      <family val="2"/>
    </font>
    <font>
      <b/>
      <sz val="9"/>
      <color rgb="FF595959"/>
      <name val="Calibri"/>
      <family val="2"/>
    </font>
    <font>
      <b/>
      <sz val="9"/>
      <color rgb="FFFFFFFF"/>
      <name val="Calibri"/>
      <family val="2"/>
    </font>
    <font>
      <b/>
      <i/>
      <sz val="9"/>
      <color rgb="FF595959"/>
      <name val="Calibri"/>
      <family val="2"/>
    </font>
    <font>
      <b/>
      <sz val="10"/>
      <color rgb="FF595959"/>
      <name val="Calibri"/>
      <family val="2"/>
    </font>
    <font>
      <b/>
      <sz val="22"/>
      <color rgb="FF1F3864"/>
      <name val="Calibri"/>
      <family val="2"/>
    </font>
    <font>
      <b/>
      <sz val="9"/>
      <color rgb="FF1F3864"/>
      <name val="Calibri"/>
      <family val="2"/>
    </font>
    <font>
      <sz val="9"/>
      <color rgb="FF595959"/>
      <name val="Calibri"/>
      <family val="2"/>
    </font>
    <font>
      <b/>
      <sz val="14"/>
      <color rgb="FF1F3864"/>
      <name val="Calibri"/>
      <family val="2"/>
    </font>
    <font>
      <i/>
      <sz val="9"/>
      <color rgb="FF595959"/>
      <name val="Calibri"/>
      <family val="2"/>
    </font>
    <font>
      <b/>
      <sz val="11"/>
      <color rgb="FFFFFFFF"/>
      <name val="Calibri"/>
      <family val="2"/>
    </font>
    <font>
      <sz val="10"/>
      <color rgb="FF0000FF"/>
      <name val="Calibri"/>
      <family val="2"/>
    </font>
    <font>
      <b/>
      <sz val="10"/>
      <color rgb="FF404040"/>
      <name val="Calibri"/>
      <family val="2"/>
    </font>
    <font>
      <b/>
      <sz val="10"/>
      <color rgb="FFFFFFFF"/>
      <name val="Calibri"/>
      <family val="2"/>
    </font>
    <font>
      <b/>
      <sz val="10"/>
      <color rgb="FF000000"/>
      <name val="Calibri"/>
      <family val="2"/>
    </font>
    <font>
      <sz val="10"/>
      <color rgb="FF404040"/>
      <name val="Calibri"/>
      <family val="2"/>
    </font>
    <font>
      <i/>
      <u/>
      <sz val="10"/>
      <color rgb="FF0563C1"/>
      <name val="Calibri"/>
      <family val="2"/>
    </font>
    <font>
      <u/>
      <sz val="10"/>
      <color rgb="FF0563C1"/>
      <name val="Calibri"/>
      <family val="2"/>
    </font>
    <font>
      <b/>
      <sz val="10"/>
      <color rgb="FF595959"/>
      <name val="Calibri"/>
    </font>
    <font>
      <sz val="10"/>
      <color rgb="FF595959"/>
      <name val="Calibri"/>
    </font>
    <font>
      <i/>
      <sz val="9"/>
      <color rgb="FF595959"/>
      <name val="Calibri"/>
    </font>
    <font>
      <sz val="9"/>
      <color indexed="81"/>
      <name val="Tahoma"/>
      <charset val="1"/>
    </font>
    <font>
      <sz val="11"/>
      <color rgb="FF000000"/>
      <name val="Calibri"/>
      <family val="2"/>
    </font>
    <font>
      <b/>
      <sz val="11"/>
      <color rgb="FFFFFFFF"/>
      <name val="Aptos Narrow"/>
      <family val="2"/>
      <scheme val="minor"/>
    </font>
    <font>
      <i/>
      <sz val="10"/>
      <color rgb="FF606060"/>
      <name val="Aptos Narrow"/>
      <family val="2"/>
      <scheme val="minor"/>
    </font>
    <font>
      <b/>
      <sz val="10"/>
      <color rgb="FFFFFFFF"/>
      <name val="Aptos Narrow"/>
      <family val="2"/>
      <scheme val="minor"/>
    </font>
    <font>
      <sz val="10"/>
      <color theme="1"/>
      <name val="Aptos Narrow"/>
      <family val="2"/>
      <scheme val="minor"/>
    </font>
    <font>
      <sz val="10"/>
      <color rgb="FF008000"/>
      <name val="Aptos Narrow"/>
      <family val="2"/>
      <scheme val="minor"/>
    </font>
    <font>
      <b/>
      <sz val="10"/>
      <color theme="1"/>
      <name val="Aptos Narrow"/>
      <family val="2"/>
      <scheme val="minor"/>
    </font>
    <font>
      <sz val="11"/>
      <color rgb="FF008000"/>
      <name val="Aptos Narrow"/>
      <family val="2"/>
      <scheme val="minor"/>
    </font>
    <font>
      <b/>
      <sz val="10"/>
      <color rgb="FF008000"/>
      <name val="Aptos Narrow"/>
      <family val="2"/>
      <scheme val="minor"/>
    </font>
    <font>
      <sz val="10"/>
      <color rgb="FF000000"/>
      <name val="Aptos Narrow"/>
      <family val="2"/>
      <scheme val="minor"/>
    </font>
    <font>
      <sz val="10"/>
      <color rgb="FF000000"/>
      <name val="Calibri"/>
    </font>
    <font>
      <sz val="11"/>
      <color rgb="FFFFFFFF"/>
      <name val="Calibri"/>
      <family val="2"/>
    </font>
    <font>
      <sz val="10"/>
      <color rgb="FF008000"/>
      <name val="Calibri"/>
      <family val="2"/>
    </font>
    <font>
      <b/>
      <sz val="10"/>
      <color rgb="FF008000"/>
      <name val="Calibri"/>
      <family val="2"/>
    </font>
    <font>
      <i/>
      <sz val="10"/>
      <color rgb="FF000000"/>
      <name val="Calibri"/>
      <family val="2"/>
    </font>
    <font>
      <b/>
      <sz val="12"/>
      <color rgb="FF1F3864"/>
      <name val="Calibri"/>
      <family val="2"/>
    </font>
    <font>
      <i/>
      <sz val="9"/>
      <color rgb="FF606060"/>
      <name val="Calibri"/>
      <family val="2"/>
    </font>
    <font>
      <sz val="9"/>
      <color rgb="FF808080"/>
      <name val="Calibri"/>
      <family val="2"/>
    </font>
    <font>
      <i/>
      <sz val="9"/>
      <color rgb="FF808080"/>
      <name val="Calibri"/>
      <family val="2"/>
    </font>
    <font>
      <b/>
      <sz val="20"/>
      <color rgb="FF1F3864"/>
      <name val="Calibri"/>
      <family val="2"/>
    </font>
    <font>
      <sz val="10"/>
      <name val="Aptos Narrow"/>
      <family val="2"/>
      <scheme val="minor"/>
    </font>
    <font>
      <sz val="11"/>
      <name val="Aptos Narrow"/>
      <family val="2"/>
      <scheme val="minor"/>
    </font>
    <font>
      <u/>
      <sz val="11"/>
      <color theme="10"/>
      <name val="Calibri"/>
      <family val="2"/>
    </font>
    <font>
      <u/>
      <sz val="11"/>
      <color rgb="FF0563C1"/>
      <name val="Calibri"/>
      <family val="2"/>
    </font>
    <font>
      <sz val="10"/>
      <color rgb="FF0563C1"/>
      <name val="Calibri"/>
      <family val="2"/>
    </font>
    <font>
      <sz val="11"/>
      <name val="Calibri"/>
      <family val="2"/>
    </font>
  </fonts>
  <fills count="10">
    <fill>
      <patternFill patternType="none"/>
    </fill>
    <fill>
      <patternFill patternType="gray125"/>
    </fill>
    <fill>
      <patternFill patternType="solid">
        <fgColor rgb="FFFFFFFF"/>
        <bgColor indexed="64"/>
      </patternFill>
    </fill>
    <fill>
      <patternFill patternType="solid">
        <fgColor rgb="FF000000"/>
        <bgColor indexed="64"/>
      </patternFill>
    </fill>
    <fill>
      <patternFill patternType="solid">
        <fgColor rgb="FFD9E1F2"/>
        <bgColor indexed="64"/>
      </patternFill>
    </fill>
    <fill>
      <patternFill patternType="solid">
        <fgColor rgb="FFF2F2F2"/>
        <bgColor indexed="64"/>
      </patternFill>
    </fill>
    <fill>
      <patternFill patternType="solid">
        <fgColor rgb="FFFFF2CC"/>
        <bgColor indexed="64"/>
      </patternFill>
    </fill>
    <fill>
      <patternFill patternType="solid">
        <fgColor rgb="FFE2EFDA"/>
        <bgColor indexed="64"/>
      </patternFill>
    </fill>
    <fill>
      <patternFill patternType="solid">
        <fgColor rgb="FFFFFF00"/>
        <bgColor indexed="64"/>
      </patternFill>
    </fill>
    <fill>
      <patternFill patternType="solid">
        <fgColor rgb="FF1F3864"/>
        <bgColor indexed="64"/>
      </patternFill>
    </fill>
  </fills>
  <borders count="112">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indexed="64"/>
      </left>
      <right/>
      <top style="thin">
        <color indexed="64"/>
      </top>
      <bottom style="thin">
        <color indexed="64"/>
      </bottom>
      <diagonal/>
    </border>
    <border>
      <left/>
      <right/>
      <top style="thin">
        <color indexed="64"/>
      </top>
      <bottom/>
      <diagonal/>
    </border>
    <border>
      <left style="thin">
        <color indexed="64"/>
      </left>
      <right/>
      <top/>
      <bottom style="thin">
        <color indexed="64"/>
      </bottom>
      <diagonal/>
    </border>
    <border>
      <left/>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style="medium">
        <color indexed="64"/>
      </left>
      <right/>
      <top/>
      <bottom style="medium">
        <color indexed="64"/>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diagonal/>
    </border>
    <border>
      <left/>
      <right style="medium">
        <color indexed="64"/>
      </right>
      <top/>
      <bottom style="medium">
        <color indexed="64"/>
      </bottom>
      <diagonal/>
    </border>
    <border>
      <left/>
      <right style="medium">
        <color indexed="64"/>
      </right>
      <top/>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top/>
      <bottom style="thin">
        <color indexed="64"/>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style="medium">
        <color rgb="FF000000"/>
      </left>
      <right/>
      <top/>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style="medium">
        <color indexed="64"/>
      </left>
      <right/>
      <top style="thin">
        <color rgb="FF000000"/>
      </top>
      <bottom/>
      <diagonal/>
    </border>
    <border>
      <left style="medium">
        <color indexed="64"/>
      </left>
      <right/>
      <top style="thin">
        <color rgb="FF000000"/>
      </top>
      <bottom style="medium">
        <color indexed="64"/>
      </bottom>
      <diagonal/>
    </border>
    <border>
      <left style="medium">
        <color indexed="64"/>
      </left>
      <right style="medium">
        <color indexed="64"/>
      </right>
      <top style="thin">
        <color rgb="FF000000"/>
      </top>
      <bottom/>
      <diagonal/>
    </border>
    <border>
      <left style="medium">
        <color indexed="64"/>
      </left>
      <right style="medium">
        <color indexed="64"/>
      </right>
      <top style="thin">
        <color rgb="FF000000"/>
      </top>
      <bottom style="medium">
        <color indexed="64"/>
      </bottom>
      <diagonal/>
    </border>
    <border>
      <left style="medium">
        <color indexed="64"/>
      </left>
      <right/>
      <top/>
      <bottom style="thin">
        <color indexed="64"/>
      </bottom>
      <diagonal/>
    </border>
    <border>
      <left/>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top style="medium">
        <color indexed="64"/>
      </top>
      <bottom style="thin">
        <color indexed="64"/>
      </bottom>
      <diagonal/>
    </border>
    <border>
      <left style="thin">
        <color indexed="64"/>
      </left>
      <right/>
      <top style="thin">
        <color indexed="64"/>
      </top>
      <bottom style="medium">
        <color indexed="64"/>
      </bottom>
      <diagonal/>
    </border>
    <border>
      <left style="medium">
        <color indexed="64"/>
      </left>
      <right style="medium">
        <color indexed="64"/>
      </right>
      <top style="thin">
        <color indexed="64"/>
      </top>
      <bottom/>
      <diagonal/>
    </border>
    <border>
      <left/>
      <right style="medium">
        <color indexed="64"/>
      </right>
      <top/>
      <bottom style="thin">
        <color indexed="64"/>
      </bottom>
      <diagonal/>
    </border>
    <border>
      <left/>
      <right style="medium">
        <color indexed="64"/>
      </right>
      <top style="thin">
        <color indexed="64"/>
      </top>
      <bottom/>
      <diagonal/>
    </border>
    <border>
      <left style="medium">
        <color theme="3"/>
      </left>
      <right style="medium">
        <color theme="3"/>
      </right>
      <top style="medium">
        <color theme="3"/>
      </top>
      <bottom style="medium">
        <color theme="3"/>
      </bottom>
      <diagonal/>
    </border>
    <border>
      <left style="medium">
        <color theme="3"/>
      </left>
      <right style="medium">
        <color theme="3"/>
      </right>
      <top style="medium">
        <color theme="3"/>
      </top>
      <bottom/>
      <diagonal/>
    </border>
    <border>
      <left style="medium">
        <color theme="3"/>
      </left>
      <right style="medium">
        <color theme="3"/>
      </right>
      <top style="medium">
        <color rgb="FF1F3864"/>
      </top>
      <bottom/>
      <diagonal/>
    </border>
    <border>
      <left style="medium">
        <color theme="3"/>
      </left>
      <right style="medium">
        <color theme="3"/>
      </right>
      <top/>
      <bottom style="medium">
        <color theme="3"/>
      </bottom>
      <diagonal/>
    </border>
    <border>
      <left style="medium">
        <color theme="3"/>
      </left>
      <right/>
      <top style="medium">
        <color theme="3"/>
      </top>
      <bottom/>
      <diagonal/>
    </border>
    <border>
      <left/>
      <right style="medium">
        <color theme="3"/>
      </right>
      <top style="medium">
        <color theme="3"/>
      </top>
      <bottom/>
      <diagonal/>
    </border>
    <border>
      <left style="medium">
        <color theme="3"/>
      </left>
      <right/>
      <top/>
      <bottom/>
      <diagonal/>
    </border>
    <border>
      <left/>
      <right style="medium">
        <color theme="3"/>
      </right>
      <top/>
      <bottom/>
      <diagonal/>
    </border>
    <border>
      <left style="medium">
        <color theme="3"/>
      </left>
      <right/>
      <top/>
      <bottom style="medium">
        <color theme="3"/>
      </bottom>
      <diagonal/>
    </border>
    <border>
      <left/>
      <right style="medium">
        <color theme="3"/>
      </right>
      <top/>
      <bottom style="medium">
        <color theme="3"/>
      </bottom>
      <diagonal/>
    </border>
    <border>
      <left style="medium">
        <color theme="3"/>
      </left>
      <right style="medium">
        <color theme="3"/>
      </right>
      <top/>
      <bottom/>
      <diagonal/>
    </border>
    <border>
      <left/>
      <right style="medium">
        <color theme="3"/>
      </right>
      <top style="medium">
        <color theme="3"/>
      </top>
      <bottom style="medium">
        <color theme="3"/>
      </bottom>
      <diagonal/>
    </border>
    <border>
      <left/>
      <right/>
      <top style="medium">
        <color theme="3"/>
      </top>
      <bottom/>
      <diagonal/>
    </border>
    <border>
      <left/>
      <right/>
      <top/>
      <bottom style="medium">
        <color theme="3"/>
      </bottom>
      <diagonal/>
    </border>
    <border>
      <left/>
      <right/>
      <top style="medium">
        <color theme="3"/>
      </top>
      <bottom style="medium">
        <color theme="3"/>
      </bottom>
      <diagonal/>
    </border>
    <border>
      <left style="medium">
        <color theme="3"/>
      </left>
      <right/>
      <top style="medium">
        <color theme="3"/>
      </top>
      <bottom style="medium">
        <color theme="3"/>
      </bottom>
      <diagonal/>
    </border>
    <border>
      <left style="medium">
        <color theme="3"/>
      </left>
      <right style="medium">
        <color theme="3"/>
      </right>
      <top style="medium">
        <color indexed="64"/>
      </top>
      <bottom/>
      <diagonal/>
    </border>
    <border>
      <left style="medium">
        <color indexed="64"/>
      </left>
      <right/>
      <top style="medium">
        <color theme="3"/>
      </top>
      <bottom/>
      <diagonal/>
    </border>
    <border>
      <left style="medium">
        <color indexed="64"/>
      </left>
      <right/>
      <top/>
      <bottom style="medium">
        <color theme="3"/>
      </bottom>
      <diagonal/>
    </border>
    <border>
      <left style="medium">
        <color theme="3"/>
      </left>
      <right style="thin">
        <color indexed="64"/>
      </right>
      <top style="medium">
        <color theme="3"/>
      </top>
      <bottom style="medium">
        <color theme="3"/>
      </bottom>
      <diagonal/>
    </border>
    <border>
      <left style="thin">
        <color indexed="64"/>
      </left>
      <right style="thin">
        <color indexed="64"/>
      </right>
      <top style="medium">
        <color theme="3"/>
      </top>
      <bottom style="medium">
        <color theme="3"/>
      </bottom>
      <diagonal/>
    </border>
    <border>
      <left style="thin">
        <color indexed="64"/>
      </left>
      <right style="medium">
        <color theme="3"/>
      </right>
      <top style="medium">
        <color theme="3"/>
      </top>
      <bottom style="medium">
        <color theme="3"/>
      </bottom>
      <diagonal/>
    </border>
    <border>
      <left style="thin">
        <color theme="3"/>
      </left>
      <right style="thin">
        <color theme="3"/>
      </right>
      <top style="thin">
        <color theme="3"/>
      </top>
      <bottom style="thin">
        <color theme="3"/>
      </bottom>
      <diagonal/>
    </border>
    <border>
      <left style="medium">
        <color indexed="64"/>
      </left>
      <right/>
      <top style="medium">
        <color indexed="64"/>
      </top>
      <bottom style="medium">
        <color theme="3"/>
      </bottom>
      <diagonal/>
    </border>
    <border>
      <left/>
      <right/>
      <top style="medium">
        <color indexed="64"/>
      </top>
      <bottom style="medium">
        <color theme="3"/>
      </bottom>
      <diagonal/>
    </border>
    <border>
      <left/>
      <right style="medium">
        <color indexed="64"/>
      </right>
      <top style="medium">
        <color indexed="64"/>
      </top>
      <bottom style="medium">
        <color theme="3"/>
      </bottom>
      <diagonal/>
    </border>
    <border>
      <left/>
      <right style="medium">
        <color indexed="64"/>
      </right>
      <top style="medium">
        <color theme="3"/>
      </top>
      <bottom/>
      <diagonal/>
    </border>
    <border>
      <left/>
      <right style="medium">
        <color indexed="64"/>
      </right>
      <top/>
      <bottom style="medium">
        <color theme="3"/>
      </bottom>
      <diagonal/>
    </border>
    <border>
      <left/>
      <right style="medium">
        <color indexed="64"/>
      </right>
      <top style="medium">
        <color theme="3"/>
      </top>
      <bottom style="medium">
        <color theme="3"/>
      </bottom>
      <diagonal/>
    </border>
    <border>
      <left style="medium">
        <color indexed="64"/>
      </left>
      <right style="medium">
        <color theme="3"/>
      </right>
      <top style="medium">
        <color theme="3"/>
      </top>
      <bottom style="medium">
        <color theme="3"/>
      </bottom>
      <diagonal/>
    </border>
    <border>
      <left style="medium">
        <color indexed="64"/>
      </left>
      <right style="medium">
        <color theme="3"/>
      </right>
      <top/>
      <bottom/>
      <diagonal/>
    </border>
    <border>
      <left style="medium">
        <color indexed="64"/>
      </left>
      <right style="medium">
        <color theme="3"/>
      </right>
      <top/>
      <bottom style="medium">
        <color theme="3"/>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thin">
        <color indexed="64"/>
      </right>
      <top/>
      <bottom style="thin">
        <color auto="1"/>
      </bottom>
      <diagonal/>
    </border>
    <border>
      <left/>
      <right style="thin">
        <color indexed="64"/>
      </right>
      <top style="thin">
        <color indexed="64"/>
      </top>
      <bottom style="thin">
        <color indexed="64"/>
      </bottom>
      <diagonal/>
    </border>
    <border>
      <left/>
      <right style="thin">
        <color indexed="64"/>
      </right>
      <top/>
      <bottom/>
      <diagonal/>
    </border>
    <border>
      <left style="medium">
        <color indexed="64"/>
      </left>
      <right style="thin">
        <color indexed="64"/>
      </right>
      <top/>
      <bottom style="medium">
        <color indexed="64"/>
      </bottom>
      <diagonal/>
    </border>
    <border>
      <left style="medium">
        <color indexed="64"/>
      </left>
      <right style="thin">
        <color indexed="64"/>
      </right>
      <top/>
      <bottom style="thin">
        <color indexed="64"/>
      </bottom>
      <diagonal/>
    </border>
    <border>
      <left style="medium">
        <color indexed="64"/>
      </left>
      <right style="thin">
        <color theme="3"/>
      </right>
      <top style="medium">
        <color indexed="64"/>
      </top>
      <bottom style="medium">
        <color indexed="64"/>
      </bottom>
      <diagonal/>
    </border>
    <border>
      <left style="thin">
        <color theme="3"/>
      </left>
      <right style="thin">
        <color theme="3"/>
      </right>
      <top style="medium">
        <color indexed="64"/>
      </top>
      <bottom style="medium">
        <color indexed="64"/>
      </bottom>
      <diagonal/>
    </border>
    <border>
      <left style="thin">
        <color theme="3"/>
      </left>
      <right style="medium">
        <color indexed="64"/>
      </right>
      <top style="medium">
        <color indexed="64"/>
      </top>
      <bottom style="medium">
        <color indexed="64"/>
      </bottom>
      <diagonal/>
    </border>
    <border>
      <left style="medium">
        <color indexed="64"/>
      </left>
      <right style="medium">
        <color indexed="64"/>
      </right>
      <top/>
      <bottom style="thin">
        <color theme="3"/>
      </bottom>
      <diagonal/>
    </border>
    <border>
      <left style="medium">
        <color indexed="64"/>
      </left>
      <right style="medium">
        <color indexed="64"/>
      </right>
      <top style="thin">
        <color theme="3"/>
      </top>
      <bottom style="thin">
        <color theme="3"/>
      </bottom>
      <diagonal/>
    </border>
    <border>
      <left style="medium">
        <color indexed="64"/>
      </left>
      <right style="medium">
        <color indexed="64"/>
      </right>
      <top style="thin">
        <color theme="3"/>
      </top>
      <bottom style="medium">
        <color indexed="64"/>
      </bottom>
      <diagonal/>
    </border>
    <border>
      <left style="medium">
        <color indexed="64"/>
      </left>
      <right/>
      <top/>
      <bottom style="thin">
        <color theme="3"/>
      </bottom>
      <diagonal/>
    </border>
    <border>
      <left/>
      <right style="medium">
        <color indexed="64"/>
      </right>
      <top/>
      <bottom style="thin">
        <color theme="3"/>
      </bottom>
      <diagonal/>
    </border>
    <border>
      <left style="medium">
        <color indexed="64"/>
      </left>
      <right/>
      <top style="thin">
        <color theme="3"/>
      </top>
      <bottom style="thin">
        <color theme="3"/>
      </bottom>
      <diagonal/>
    </border>
    <border>
      <left/>
      <right style="medium">
        <color indexed="64"/>
      </right>
      <top style="thin">
        <color theme="3"/>
      </top>
      <bottom style="thin">
        <color theme="3"/>
      </bottom>
      <diagonal/>
    </border>
    <border>
      <left style="medium">
        <color indexed="64"/>
      </left>
      <right/>
      <top style="thin">
        <color theme="3"/>
      </top>
      <bottom style="medium">
        <color indexed="64"/>
      </bottom>
      <diagonal/>
    </border>
    <border>
      <left/>
      <right style="medium">
        <color indexed="64"/>
      </right>
      <top style="thin">
        <color theme="3"/>
      </top>
      <bottom style="medium">
        <color indexed="64"/>
      </bottom>
      <diagonal/>
    </border>
    <border>
      <left style="medium">
        <color indexed="64"/>
      </left>
      <right style="medium">
        <color indexed="64"/>
      </right>
      <top style="medium">
        <color indexed="64"/>
      </top>
      <bottom style="thin">
        <color theme="3"/>
      </bottom>
      <diagonal/>
    </border>
  </borders>
  <cellStyleXfs count="4">
    <xf numFmtId="0" fontId="0" fillId="0" borderId="0"/>
    <xf numFmtId="43"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744">
    <xf numFmtId="0" fontId="0" fillId="0" borderId="0" xfId="0"/>
    <xf numFmtId="165" fontId="0" fillId="0" borderId="0" xfId="1" applyNumberFormat="1" applyFont="1"/>
    <xf numFmtId="165" fontId="0" fillId="0" borderId="0" xfId="0" applyNumberFormat="1"/>
    <xf numFmtId="166" fontId="0" fillId="0" borderId="0" xfId="0" applyNumberFormat="1"/>
    <xf numFmtId="0" fontId="7" fillId="0" borderId="0" xfId="0" applyFont="1"/>
    <xf numFmtId="0" fontId="0" fillId="0" borderId="0" xfId="0" applyAlignment="1">
      <alignment horizontal="right"/>
    </xf>
    <xf numFmtId="0" fontId="8" fillId="0" borderId="0" xfId="0" applyFont="1"/>
    <xf numFmtId="0" fontId="11" fillId="0" borderId="0" xfId="0" applyFont="1" applyAlignment="1">
      <alignment vertical="center" wrapText="1"/>
    </xf>
    <xf numFmtId="0" fontId="10" fillId="9" borderId="0" xfId="0" applyFont="1" applyFill="1" applyAlignment="1">
      <alignment vertical="center"/>
    </xf>
    <xf numFmtId="165" fontId="0" fillId="0" borderId="0" xfId="1" applyNumberFormat="1" applyFont="1" applyAlignment="1">
      <alignment horizontal="right"/>
    </xf>
    <xf numFmtId="0" fontId="13" fillId="0" borderId="0" xfId="0" applyFont="1"/>
    <xf numFmtId="0" fontId="12" fillId="0" borderId="0" xfId="0" applyFont="1" applyAlignment="1">
      <alignment horizontal="right"/>
    </xf>
    <xf numFmtId="165" fontId="14" fillId="0" borderId="14" xfId="0" applyNumberFormat="1" applyFont="1" applyBorder="1" applyAlignment="1">
      <alignment horizontal="right"/>
    </xf>
    <xf numFmtId="165" fontId="14" fillId="0" borderId="19" xfId="0" applyNumberFormat="1" applyFont="1" applyBorder="1" applyAlignment="1">
      <alignment horizontal="right"/>
    </xf>
    <xf numFmtId="165" fontId="14" fillId="0" borderId="10" xfId="0" applyNumberFormat="1" applyFont="1" applyBorder="1" applyAlignment="1">
      <alignment horizontal="right"/>
    </xf>
    <xf numFmtId="165" fontId="14" fillId="0" borderId="11" xfId="0" applyNumberFormat="1" applyFont="1" applyBorder="1" applyAlignment="1">
      <alignment horizontal="right"/>
    </xf>
    <xf numFmtId="165" fontId="14" fillId="0" borderId="18" xfId="0" applyNumberFormat="1" applyFont="1" applyBorder="1" applyAlignment="1">
      <alignment horizontal="right"/>
    </xf>
    <xf numFmtId="165" fontId="14" fillId="0" borderId="12" xfId="0" applyNumberFormat="1" applyFont="1" applyBorder="1" applyAlignment="1">
      <alignment horizontal="right"/>
    </xf>
    <xf numFmtId="165" fontId="14" fillId="0" borderId="0" xfId="0" applyNumberFormat="1" applyFont="1" applyAlignment="1">
      <alignment horizontal="right"/>
    </xf>
    <xf numFmtId="165" fontId="14" fillId="0" borderId="20" xfId="0" applyNumberFormat="1" applyFont="1" applyBorder="1" applyAlignment="1">
      <alignment horizontal="right"/>
    </xf>
    <xf numFmtId="165" fontId="14" fillId="0" borderId="13" xfId="0" applyNumberFormat="1" applyFont="1" applyBorder="1" applyAlignment="1">
      <alignment horizontal="right"/>
    </xf>
    <xf numFmtId="167" fontId="12" fillId="0" borderId="20" xfId="0" applyNumberFormat="1" applyFont="1" applyBorder="1" applyAlignment="1">
      <alignment horizontal="right"/>
    </xf>
    <xf numFmtId="166" fontId="12" fillId="0" borderId="20" xfId="0" applyNumberFormat="1" applyFont="1" applyBorder="1" applyAlignment="1">
      <alignment horizontal="right"/>
    </xf>
    <xf numFmtId="166" fontId="12" fillId="0" borderId="19" xfId="0" applyNumberFormat="1" applyFont="1" applyBorder="1" applyAlignment="1">
      <alignment horizontal="right"/>
    </xf>
    <xf numFmtId="0" fontId="14" fillId="0" borderId="23" xfId="0" applyFont="1" applyBorder="1"/>
    <xf numFmtId="165" fontId="14" fillId="0" borderId="14" xfId="1" applyNumberFormat="1" applyFont="1" applyBorder="1" applyAlignment="1">
      <alignment horizontal="right"/>
    </xf>
    <xf numFmtId="165" fontId="14" fillId="0" borderId="13" xfId="1" applyNumberFormat="1" applyFont="1" applyBorder="1" applyAlignment="1">
      <alignment horizontal="right"/>
    </xf>
    <xf numFmtId="165" fontId="14" fillId="0" borderId="19" xfId="1" applyNumberFormat="1" applyFont="1" applyBorder="1" applyAlignment="1">
      <alignment horizontal="right"/>
    </xf>
    <xf numFmtId="176" fontId="14" fillId="0" borderId="14" xfId="1" applyNumberFormat="1" applyFont="1" applyBorder="1" applyAlignment="1">
      <alignment horizontal="right"/>
    </xf>
    <xf numFmtId="176" fontId="14" fillId="0" borderId="12" xfId="1" applyNumberFormat="1" applyFont="1" applyBorder="1" applyAlignment="1">
      <alignment horizontal="right"/>
    </xf>
    <xf numFmtId="176" fontId="14" fillId="0" borderId="0" xfId="1" applyNumberFormat="1" applyFont="1" applyBorder="1" applyAlignment="1">
      <alignment horizontal="right"/>
    </xf>
    <xf numFmtId="176" fontId="14" fillId="0" borderId="20" xfId="1" applyNumberFormat="1" applyFont="1" applyBorder="1" applyAlignment="1">
      <alignment horizontal="right"/>
    </xf>
    <xf numFmtId="0" fontId="14" fillId="0" borderId="22" xfId="0" applyFont="1" applyBorder="1"/>
    <xf numFmtId="166" fontId="14" fillId="0" borderId="11" xfId="2" applyNumberFormat="1" applyFont="1" applyBorder="1" applyAlignment="1">
      <alignment horizontal="right"/>
    </xf>
    <xf numFmtId="166" fontId="14" fillId="0" borderId="10" xfId="2" applyNumberFormat="1" applyFont="1" applyBorder="1" applyAlignment="1">
      <alignment horizontal="right"/>
    </xf>
    <xf numFmtId="166" fontId="14" fillId="0" borderId="18" xfId="2" applyNumberFormat="1" applyFont="1" applyBorder="1" applyAlignment="1">
      <alignment horizontal="right"/>
    </xf>
    <xf numFmtId="9" fontId="14" fillId="0" borderId="14" xfId="2" applyFont="1" applyBorder="1" applyAlignment="1">
      <alignment horizontal="right"/>
    </xf>
    <xf numFmtId="9" fontId="14" fillId="0" borderId="13" xfId="2" applyFont="1" applyBorder="1" applyAlignment="1">
      <alignment horizontal="right"/>
    </xf>
    <xf numFmtId="9" fontId="14" fillId="0" borderId="19" xfId="2" applyFont="1" applyBorder="1" applyAlignment="1">
      <alignment horizontal="right"/>
    </xf>
    <xf numFmtId="176" fontId="14" fillId="0" borderId="11" xfId="1" applyNumberFormat="1" applyFont="1" applyBorder="1" applyAlignment="1">
      <alignment horizontal="right"/>
    </xf>
    <xf numFmtId="176" fontId="14" fillId="0" borderId="10" xfId="1" applyNumberFormat="1" applyFont="1" applyBorder="1" applyAlignment="1">
      <alignment horizontal="right"/>
    </xf>
    <xf numFmtId="176" fontId="14" fillId="0" borderId="18" xfId="1" applyNumberFormat="1" applyFont="1" applyBorder="1" applyAlignment="1">
      <alignment horizontal="right"/>
    </xf>
    <xf numFmtId="0" fontId="14" fillId="0" borderId="24" xfId="0" applyFont="1" applyBorder="1"/>
    <xf numFmtId="166" fontId="14" fillId="0" borderId="0" xfId="0" applyNumberFormat="1" applyFont="1" applyAlignment="1">
      <alignment horizontal="right"/>
    </xf>
    <xf numFmtId="166" fontId="14" fillId="0" borderId="12" xfId="0" applyNumberFormat="1" applyFont="1" applyBorder="1" applyAlignment="1">
      <alignment horizontal="right"/>
    </xf>
    <xf numFmtId="166" fontId="14" fillId="0" borderId="20" xfId="0" applyNumberFormat="1" applyFont="1" applyBorder="1" applyAlignment="1">
      <alignment horizontal="right"/>
    </xf>
    <xf numFmtId="0" fontId="16" fillId="0" borderId="0" xfId="0" applyFont="1"/>
    <xf numFmtId="3" fontId="12" fillId="0" borderId="26" xfId="0" applyNumberFormat="1" applyFont="1" applyBorder="1" applyAlignment="1">
      <alignment horizontal="right" vertical="top" wrapText="1"/>
    </xf>
    <xf numFmtId="180" fontId="12" fillId="0" borderId="26" xfId="0" applyNumberFormat="1" applyFont="1" applyBorder="1" applyAlignment="1">
      <alignment horizontal="right" vertical="top" wrapText="1"/>
    </xf>
    <xf numFmtId="166" fontId="12" fillId="0" borderId="26" xfId="0" applyNumberFormat="1" applyFont="1" applyBorder="1" applyAlignment="1">
      <alignment horizontal="right" vertical="top" wrapText="1"/>
    </xf>
    <xf numFmtId="9" fontId="12" fillId="0" borderId="27" xfId="0" applyNumberFormat="1" applyFont="1" applyBorder="1" applyAlignment="1">
      <alignment horizontal="right" vertical="top" wrapText="1"/>
    </xf>
    <xf numFmtId="180" fontId="12" fillId="0" borderId="27" xfId="0" applyNumberFormat="1" applyFont="1" applyBorder="1" applyAlignment="1">
      <alignment horizontal="right" vertical="top" wrapText="1"/>
    </xf>
    <xf numFmtId="10" fontId="12" fillId="0" borderId="26" xfId="0" applyNumberFormat="1" applyFont="1" applyBorder="1" applyAlignment="1">
      <alignment horizontal="right" vertical="top" wrapText="1"/>
    </xf>
    <xf numFmtId="10" fontId="12" fillId="0" borderId="27" xfId="0" applyNumberFormat="1" applyFont="1" applyBorder="1" applyAlignment="1">
      <alignment horizontal="right" vertical="top" wrapText="1"/>
    </xf>
    <xf numFmtId="182" fontId="12" fillId="0" borderId="26" xfId="0" applyNumberFormat="1" applyFont="1" applyBorder="1" applyAlignment="1">
      <alignment horizontal="right" vertical="top" wrapText="1"/>
    </xf>
    <xf numFmtId="9" fontId="12" fillId="0" borderId="26" xfId="0" applyNumberFormat="1" applyFont="1" applyBorder="1" applyAlignment="1">
      <alignment horizontal="right" vertical="top" wrapText="1"/>
    </xf>
    <xf numFmtId="182" fontId="12" fillId="0" borderId="27" xfId="0" applyNumberFormat="1" applyFont="1" applyBorder="1" applyAlignment="1">
      <alignment horizontal="right" vertical="top" wrapText="1"/>
    </xf>
    <xf numFmtId="167" fontId="12" fillId="0" borderId="26" xfId="0" applyNumberFormat="1" applyFont="1" applyBorder="1" applyAlignment="1">
      <alignment horizontal="right" vertical="top" wrapText="1"/>
    </xf>
    <xf numFmtId="2" fontId="12" fillId="0" borderId="26" xfId="0" applyNumberFormat="1" applyFont="1" applyBorder="1" applyAlignment="1">
      <alignment horizontal="right" vertical="top" wrapText="1"/>
    </xf>
    <xf numFmtId="168" fontId="12" fillId="0" borderId="26" xfId="0" applyNumberFormat="1" applyFont="1" applyBorder="1" applyAlignment="1">
      <alignment horizontal="right" vertical="top" wrapText="1"/>
    </xf>
    <xf numFmtId="169" fontId="12" fillId="0" borderId="26" xfId="0" applyNumberFormat="1" applyFont="1" applyBorder="1" applyAlignment="1">
      <alignment horizontal="right" vertical="top" wrapText="1"/>
    </xf>
    <xf numFmtId="171" fontId="12" fillId="0" borderId="26" xfId="0" applyNumberFormat="1" applyFont="1" applyBorder="1" applyAlignment="1">
      <alignment horizontal="right"/>
    </xf>
    <xf numFmtId="172" fontId="12" fillId="0" borderId="26" xfId="0" applyNumberFormat="1" applyFont="1" applyBorder="1" applyAlignment="1">
      <alignment horizontal="right"/>
    </xf>
    <xf numFmtId="9" fontId="12" fillId="0" borderId="26" xfId="0" applyNumberFormat="1" applyFont="1" applyBorder="1" applyAlignment="1">
      <alignment horizontal="right"/>
    </xf>
    <xf numFmtId="180" fontId="12" fillId="0" borderId="26" xfId="0" applyNumberFormat="1" applyFont="1" applyBorder="1" applyAlignment="1">
      <alignment horizontal="right"/>
    </xf>
    <xf numFmtId="173" fontId="12" fillId="0" borderId="27" xfId="0" applyNumberFormat="1" applyFont="1" applyBorder="1" applyAlignment="1">
      <alignment horizontal="right"/>
    </xf>
    <xf numFmtId="0" fontId="12" fillId="0" borderId="63" xfId="0" applyFont="1" applyBorder="1" applyAlignment="1">
      <alignment horizontal="right"/>
    </xf>
    <xf numFmtId="0" fontId="13" fillId="0" borderId="75" xfId="0" applyFont="1" applyBorder="1"/>
    <xf numFmtId="0" fontId="12" fillId="0" borderId="76" xfId="0" applyFont="1" applyBorder="1" applyAlignment="1">
      <alignment horizontal="right"/>
    </xf>
    <xf numFmtId="0" fontId="12" fillId="0" borderId="77" xfId="0" applyFont="1" applyBorder="1" applyAlignment="1">
      <alignment horizontal="right"/>
    </xf>
    <xf numFmtId="0" fontId="13" fillId="0" borderId="71" xfId="0" applyFont="1" applyBorder="1"/>
    <xf numFmtId="0" fontId="13" fillId="0" borderId="70" xfId="0" applyFont="1" applyBorder="1" applyAlignment="1">
      <alignment horizontal="right"/>
    </xf>
    <xf numFmtId="0" fontId="13" fillId="0" borderId="67" xfId="0" applyFont="1" applyBorder="1" applyAlignment="1">
      <alignment horizontal="right"/>
    </xf>
    <xf numFmtId="0" fontId="12" fillId="0" borderId="57" xfId="0" applyFont="1" applyBorder="1"/>
    <xf numFmtId="0" fontId="12" fillId="0" borderId="66" xfId="0" applyFont="1" applyBorder="1"/>
    <xf numFmtId="0" fontId="12" fillId="0" borderId="59" xfId="0" applyFont="1" applyBorder="1"/>
    <xf numFmtId="0" fontId="21" fillId="0" borderId="0" xfId="0" applyFont="1" applyAlignment="1">
      <alignment horizontal="right"/>
    </xf>
    <xf numFmtId="0" fontId="23" fillId="0" borderId="0" xfId="0" applyFont="1"/>
    <xf numFmtId="0" fontId="24" fillId="0" borderId="0" xfId="0" applyFont="1"/>
    <xf numFmtId="0" fontId="24" fillId="0" borderId="57" xfId="0" applyFont="1" applyBorder="1"/>
    <xf numFmtId="0" fontId="26" fillId="0" borderId="58" xfId="0" applyFont="1" applyBorder="1" applyAlignment="1">
      <alignment horizontal="center"/>
    </xf>
    <xf numFmtId="0" fontId="26" fillId="0" borderId="57" xfId="0" applyFont="1" applyBorder="1" applyAlignment="1">
      <alignment horizontal="center"/>
    </xf>
    <xf numFmtId="178" fontId="20" fillId="0" borderId="59" xfId="0" applyNumberFormat="1" applyFont="1" applyBorder="1" applyAlignment="1">
      <alignment horizontal="center"/>
    </xf>
    <xf numFmtId="9" fontId="20" fillId="0" borderId="59" xfId="0" applyNumberFormat="1" applyFont="1" applyBorder="1" applyAlignment="1">
      <alignment horizontal="center"/>
    </xf>
    <xf numFmtId="167" fontId="20" fillId="0" borderId="59" xfId="0" applyNumberFormat="1" applyFont="1" applyBorder="1" applyAlignment="1">
      <alignment horizontal="center"/>
    </xf>
    <xf numFmtId="3" fontId="20" fillId="0" borderId="59" xfId="0" applyNumberFormat="1" applyFont="1" applyBorder="1" applyAlignment="1">
      <alignment horizontal="center"/>
    </xf>
    <xf numFmtId="0" fontId="21" fillId="0" borderId="56" xfId="0" applyFont="1" applyBorder="1"/>
    <xf numFmtId="0" fontId="21" fillId="0" borderId="67" xfId="0" applyFont="1" applyBorder="1"/>
    <xf numFmtId="0" fontId="23" fillId="0" borderId="57" xfId="0" applyFont="1" applyBorder="1"/>
    <xf numFmtId="178" fontId="23" fillId="0" borderId="66" xfId="0" applyNumberFormat="1" applyFont="1" applyBorder="1" applyAlignment="1">
      <alignment horizontal="right"/>
    </xf>
    <xf numFmtId="178" fontId="23" fillId="0" borderId="63" xfId="0" applyNumberFormat="1" applyFont="1" applyBorder="1" applyAlignment="1">
      <alignment horizontal="right"/>
    </xf>
    <xf numFmtId="0" fontId="23" fillId="0" borderId="66" xfId="0" applyFont="1" applyBorder="1"/>
    <xf numFmtId="0" fontId="23" fillId="0" borderId="59" xfId="0" applyFont="1" applyBorder="1"/>
    <xf numFmtId="166" fontId="23" fillId="0" borderId="59" xfId="0" applyNumberFormat="1" applyFont="1" applyBorder="1" applyAlignment="1">
      <alignment horizontal="right"/>
    </xf>
    <xf numFmtId="166" fontId="23" fillId="0" borderId="65" xfId="0" applyNumberFormat="1" applyFont="1" applyBorder="1" applyAlignment="1">
      <alignment horizontal="right"/>
    </xf>
    <xf numFmtId="0" fontId="19" fillId="0" borderId="0" xfId="0" applyFont="1"/>
    <xf numFmtId="166" fontId="24" fillId="0" borderId="0" xfId="0" applyNumberFormat="1" applyFont="1"/>
    <xf numFmtId="0" fontId="23" fillId="9" borderId="56" xfId="0" applyFont="1" applyFill="1" applyBorder="1"/>
    <xf numFmtId="0" fontId="27" fillId="9" borderId="70" xfId="0" applyFont="1" applyFill="1" applyBorder="1" applyAlignment="1">
      <alignment horizontal="right"/>
    </xf>
    <xf numFmtId="0" fontId="27" fillId="9" borderId="56" xfId="0" applyFont="1" applyFill="1" applyBorder="1" applyAlignment="1">
      <alignment horizontal="right"/>
    </xf>
    <xf numFmtId="0" fontId="27" fillId="9" borderId="67" xfId="0" applyFont="1" applyFill="1" applyBorder="1" applyAlignment="1">
      <alignment horizontal="right"/>
    </xf>
    <xf numFmtId="0" fontId="16" fillId="0" borderId="66" xfId="0" applyFont="1" applyBorder="1"/>
    <xf numFmtId="178" fontId="16" fillId="0" borderId="0" xfId="0" applyNumberFormat="1" applyFont="1" applyAlignment="1">
      <alignment horizontal="right"/>
    </xf>
    <xf numFmtId="178" fontId="16" fillId="0" borderId="66" xfId="0" applyNumberFormat="1" applyFont="1" applyBorder="1" applyAlignment="1">
      <alignment horizontal="right"/>
    </xf>
    <xf numFmtId="178" fontId="16" fillId="0" borderId="63" xfId="0" applyNumberFormat="1" applyFont="1" applyBorder="1" applyAlignment="1">
      <alignment horizontal="right"/>
    </xf>
    <xf numFmtId="175" fontId="16" fillId="0" borderId="0" xfId="0" applyNumberFormat="1" applyFont="1" applyAlignment="1">
      <alignment horizontal="right"/>
    </xf>
    <xf numFmtId="175" fontId="16" fillId="0" borderId="66" xfId="0" applyNumberFormat="1" applyFont="1" applyBorder="1" applyAlignment="1">
      <alignment horizontal="right"/>
    </xf>
    <xf numFmtId="175" fontId="16" fillId="0" borderId="63" xfId="0" applyNumberFormat="1" applyFont="1" applyBorder="1" applyAlignment="1">
      <alignment horizontal="right"/>
    </xf>
    <xf numFmtId="167" fontId="16" fillId="0" borderId="0" xfId="0" applyNumberFormat="1" applyFont="1" applyAlignment="1">
      <alignment horizontal="right"/>
    </xf>
    <xf numFmtId="167" fontId="16" fillId="0" borderId="66" xfId="0" applyNumberFormat="1" applyFont="1" applyBorder="1" applyAlignment="1">
      <alignment horizontal="right"/>
    </xf>
    <xf numFmtId="167" fontId="16" fillId="0" borderId="63" xfId="0" applyNumberFormat="1" applyFont="1" applyBorder="1" applyAlignment="1">
      <alignment horizontal="right"/>
    </xf>
    <xf numFmtId="0" fontId="16" fillId="0" borderId="59" xfId="0" applyFont="1" applyBorder="1"/>
    <xf numFmtId="166" fontId="16" fillId="0" borderId="69" xfId="0" applyNumberFormat="1" applyFont="1" applyBorder="1" applyAlignment="1">
      <alignment horizontal="right"/>
    </xf>
    <xf numFmtId="166" fontId="16" fillId="0" borderId="59" xfId="0" applyNumberFormat="1" applyFont="1" applyBorder="1" applyAlignment="1">
      <alignment horizontal="right"/>
    </xf>
    <xf numFmtId="166" fontId="16" fillId="0" borderId="65" xfId="0" applyNumberFormat="1" applyFont="1" applyBorder="1" applyAlignment="1">
      <alignment horizontal="right"/>
    </xf>
    <xf numFmtId="0" fontId="21" fillId="0" borderId="0" xfId="0" applyFont="1" applyAlignment="1">
      <alignment horizontal="right" vertical="center"/>
    </xf>
    <xf numFmtId="0" fontId="27" fillId="9" borderId="71" xfId="0" applyFont="1" applyFill="1" applyBorder="1"/>
    <xf numFmtId="0" fontId="16" fillId="0" borderId="62" xfId="0" applyFont="1" applyBorder="1"/>
    <xf numFmtId="174" fontId="16" fillId="0" borderId="66" xfId="0" applyNumberFormat="1" applyFont="1" applyBorder="1" applyAlignment="1">
      <alignment horizontal="right"/>
    </xf>
    <xf numFmtId="174" fontId="16" fillId="0" borderId="63" xfId="0" applyNumberFormat="1" applyFont="1" applyBorder="1" applyAlignment="1">
      <alignment horizontal="right"/>
    </xf>
    <xf numFmtId="168" fontId="16" fillId="0" borderId="66" xfId="0" applyNumberFormat="1" applyFont="1" applyBorder="1" applyAlignment="1">
      <alignment horizontal="right"/>
    </xf>
    <xf numFmtId="0" fontId="16" fillId="0" borderId="64" xfId="0" applyFont="1" applyBorder="1"/>
    <xf numFmtId="166" fontId="16" fillId="0" borderId="0" xfId="0" applyNumberFormat="1" applyFont="1" applyAlignment="1">
      <alignment horizontal="right"/>
    </xf>
    <xf numFmtId="178" fontId="15" fillId="0" borderId="59" xfId="0" applyNumberFormat="1" applyFont="1" applyBorder="1" applyAlignment="1">
      <alignment horizontal="right"/>
    </xf>
    <xf numFmtId="0" fontId="19" fillId="0" borderId="59" xfId="0" applyFont="1" applyBorder="1" applyAlignment="1">
      <alignment horizontal="right"/>
    </xf>
    <xf numFmtId="3" fontId="16" fillId="0" borderId="0" xfId="0" applyNumberFormat="1" applyFont="1" applyAlignment="1">
      <alignment horizontal="right"/>
    </xf>
    <xf numFmtId="0" fontId="35" fillId="9" borderId="0" xfId="0" applyFont="1" applyFill="1" applyAlignment="1">
      <alignment vertical="center"/>
    </xf>
    <xf numFmtId="0" fontId="16" fillId="0" borderId="24" xfId="0" applyFont="1" applyBorder="1"/>
    <xf numFmtId="0" fontId="16" fillId="0" borderId="23" xfId="0" applyFont="1" applyBorder="1"/>
    <xf numFmtId="0" fontId="16" fillId="0" borderId="22" xfId="0" applyFont="1" applyBorder="1"/>
    <xf numFmtId="166" fontId="16" fillId="0" borderId="20" xfId="0" applyNumberFormat="1" applyFont="1" applyBorder="1" applyAlignment="1">
      <alignment horizontal="right"/>
    </xf>
    <xf numFmtId="166" fontId="16" fillId="0" borderId="19" xfId="0" applyNumberFormat="1" applyFont="1" applyBorder="1" applyAlignment="1">
      <alignment horizontal="right"/>
    </xf>
    <xf numFmtId="0" fontId="16" fillId="0" borderId="12" xfId="0" applyFont="1" applyBorder="1"/>
    <xf numFmtId="166" fontId="16" fillId="0" borderId="12" xfId="0" applyNumberFormat="1" applyFont="1" applyBorder="1" applyAlignment="1">
      <alignment horizontal="right"/>
    </xf>
    <xf numFmtId="166" fontId="16" fillId="0" borderId="24" xfId="0" applyNumberFormat="1" applyFont="1" applyBorder="1" applyAlignment="1">
      <alignment horizontal="right"/>
    </xf>
    <xf numFmtId="0" fontId="16" fillId="0" borderId="13" xfId="0" applyFont="1" applyBorder="1"/>
    <xf numFmtId="166" fontId="16" fillId="0" borderId="13" xfId="0" applyNumberFormat="1" applyFont="1" applyBorder="1" applyAlignment="1">
      <alignment horizontal="right"/>
    </xf>
    <xf numFmtId="166" fontId="16" fillId="0" borderId="23" xfId="0" applyNumberFormat="1" applyFont="1" applyBorder="1" applyAlignment="1">
      <alignment horizontal="right"/>
    </xf>
    <xf numFmtId="166" fontId="16" fillId="8" borderId="19" xfId="0" applyNumberFormat="1" applyFont="1" applyFill="1" applyBorder="1" applyAlignment="1">
      <alignment horizontal="right"/>
    </xf>
    <xf numFmtId="0" fontId="16" fillId="0" borderId="10" xfId="0" applyFont="1" applyBorder="1"/>
    <xf numFmtId="0" fontId="35" fillId="9" borderId="22" xfId="0" applyFont="1" applyFill="1" applyBorder="1" applyAlignment="1">
      <alignment vertical="center"/>
    </xf>
    <xf numFmtId="0" fontId="35" fillId="9" borderId="11" xfId="0" applyFont="1" applyFill="1" applyBorder="1" applyAlignment="1">
      <alignment vertical="center"/>
    </xf>
    <xf numFmtId="0" fontId="35" fillId="9" borderId="18" xfId="0" applyFont="1" applyFill="1" applyBorder="1" applyAlignment="1">
      <alignment vertical="center"/>
    </xf>
    <xf numFmtId="0" fontId="16" fillId="0" borderId="14" xfId="0" applyFont="1" applyBorder="1" applyAlignment="1">
      <alignment horizontal="right"/>
    </xf>
    <xf numFmtId="0" fontId="16" fillId="0" borderId="19" xfId="0" applyFont="1" applyBorder="1" applyAlignment="1">
      <alignment horizontal="right"/>
    </xf>
    <xf numFmtId="0" fontId="14" fillId="0" borderId="10" xfId="0" applyFont="1" applyBorder="1" applyAlignment="1">
      <alignment horizontal="right"/>
    </xf>
    <xf numFmtId="0" fontId="14" fillId="0" borderId="11" xfId="0" applyFont="1" applyBorder="1" applyAlignment="1">
      <alignment horizontal="right"/>
    </xf>
    <xf numFmtId="0" fontId="14" fillId="0" borderId="18" xfId="0" applyFont="1" applyBorder="1" applyAlignment="1">
      <alignment horizontal="right"/>
    </xf>
    <xf numFmtId="0" fontId="16" fillId="0" borderId="11" xfId="0" applyFont="1" applyBorder="1" applyAlignment="1">
      <alignment horizontal="right"/>
    </xf>
    <xf numFmtId="10" fontId="16" fillId="0" borderId="11" xfId="2" applyNumberFormat="1" applyFont="1" applyBorder="1" applyAlignment="1">
      <alignment horizontal="right"/>
    </xf>
    <xf numFmtId="0" fontId="25" fillId="2" borderId="12" xfId="0" applyFont="1" applyFill="1" applyBorder="1"/>
    <xf numFmtId="165" fontId="25" fillId="2" borderId="38" xfId="0" applyNumberFormat="1" applyFont="1" applyFill="1" applyBorder="1" applyAlignment="1">
      <alignment horizontal="right"/>
    </xf>
    <xf numFmtId="165" fontId="25" fillId="2" borderId="0" xfId="2" applyNumberFormat="1" applyFont="1" applyFill="1" applyBorder="1" applyAlignment="1">
      <alignment horizontal="right"/>
    </xf>
    <xf numFmtId="165" fontId="25" fillId="2" borderId="12" xfId="0" applyNumberFormat="1" applyFont="1" applyFill="1" applyBorder="1" applyAlignment="1">
      <alignment horizontal="right"/>
    </xf>
    <xf numFmtId="165" fontId="25" fillId="2" borderId="20" xfId="2" applyNumberFormat="1" applyFont="1" applyFill="1" applyBorder="1" applyAlignment="1">
      <alignment horizontal="right"/>
    </xf>
    <xf numFmtId="164" fontId="16" fillId="0" borderId="11" xfId="1" applyNumberFormat="1" applyFont="1" applyBorder="1" applyAlignment="1">
      <alignment horizontal="right"/>
    </xf>
    <xf numFmtId="164" fontId="16" fillId="0" borderId="12" xfId="1" applyNumberFormat="1" applyFont="1" applyBorder="1" applyAlignment="1">
      <alignment horizontal="right"/>
    </xf>
    <xf numFmtId="164" fontId="16" fillId="0" borderId="0" xfId="1" applyNumberFormat="1" applyFont="1" applyBorder="1" applyAlignment="1">
      <alignment horizontal="right"/>
    </xf>
    <xf numFmtId="164" fontId="16" fillId="0" borderId="20" xfId="1" applyNumberFormat="1" applyFont="1" applyBorder="1" applyAlignment="1">
      <alignment horizontal="right"/>
    </xf>
    <xf numFmtId="176" fontId="16" fillId="0" borderId="0" xfId="1" applyNumberFormat="1" applyFont="1" applyBorder="1" applyAlignment="1">
      <alignment horizontal="right"/>
    </xf>
    <xf numFmtId="176" fontId="16" fillId="0" borderId="12" xfId="1" applyNumberFormat="1" applyFont="1" applyBorder="1" applyAlignment="1">
      <alignment horizontal="right"/>
    </xf>
    <xf numFmtId="176" fontId="16" fillId="0" borderId="20" xfId="1" applyNumberFormat="1" applyFont="1" applyBorder="1" applyAlignment="1">
      <alignment horizontal="right"/>
    </xf>
    <xf numFmtId="176" fontId="16" fillId="0" borderId="11" xfId="0" applyNumberFormat="1" applyFont="1" applyBorder="1" applyAlignment="1">
      <alignment horizontal="right"/>
    </xf>
    <xf numFmtId="176" fontId="16" fillId="0" borderId="14" xfId="1" applyNumberFormat="1" applyFont="1" applyBorder="1" applyAlignment="1">
      <alignment horizontal="right"/>
    </xf>
    <xf numFmtId="176" fontId="16" fillId="0" borderId="13" xfId="1" applyNumberFormat="1" applyFont="1" applyBorder="1" applyAlignment="1">
      <alignment horizontal="right"/>
    </xf>
    <xf numFmtId="176" fontId="16" fillId="0" borderId="19" xfId="1" applyNumberFormat="1" applyFont="1" applyBorder="1" applyAlignment="1">
      <alignment horizontal="right"/>
    </xf>
    <xf numFmtId="0" fontId="16" fillId="0" borderId="17" xfId="0" applyFont="1" applyBorder="1"/>
    <xf numFmtId="176" fontId="16" fillId="0" borderId="16" xfId="1" applyNumberFormat="1" applyFont="1" applyBorder="1" applyAlignment="1">
      <alignment horizontal="right"/>
    </xf>
    <xf numFmtId="10" fontId="16" fillId="0" borderId="0" xfId="0" applyNumberFormat="1" applyFont="1" applyAlignment="1">
      <alignment horizontal="right"/>
    </xf>
    <xf numFmtId="10" fontId="16" fillId="0" borderId="12" xfId="0" applyNumberFormat="1" applyFont="1" applyBorder="1" applyAlignment="1">
      <alignment horizontal="right"/>
    </xf>
    <xf numFmtId="10" fontId="16" fillId="0" borderId="20" xfId="0" applyNumberFormat="1" applyFont="1" applyBorder="1" applyAlignment="1">
      <alignment horizontal="right"/>
    </xf>
    <xf numFmtId="181" fontId="16" fillId="0" borderId="0" xfId="0" applyNumberFormat="1" applyFont="1" applyAlignment="1">
      <alignment horizontal="right"/>
    </xf>
    <xf numFmtId="181" fontId="16" fillId="0" borderId="12" xfId="0" applyNumberFormat="1" applyFont="1" applyBorder="1" applyAlignment="1">
      <alignment horizontal="right"/>
    </xf>
    <xf numFmtId="181" fontId="16" fillId="0" borderId="20" xfId="0" applyNumberFormat="1" applyFont="1" applyBorder="1" applyAlignment="1">
      <alignment horizontal="right"/>
    </xf>
    <xf numFmtId="2" fontId="16" fillId="0" borderId="0" xfId="0" applyNumberFormat="1" applyFont="1" applyAlignment="1">
      <alignment horizontal="right"/>
    </xf>
    <xf numFmtId="2" fontId="16" fillId="0" borderId="12" xfId="0" applyNumberFormat="1" applyFont="1" applyBorder="1" applyAlignment="1">
      <alignment horizontal="right"/>
    </xf>
    <xf numFmtId="2" fontId="16" fillId="0" borderId="20" xfId="0" applyNumberFormat="1" applyFont="1" applyBorder="1" applyAlignment="1">
      <alignment horizontal="right"/>
    </xf>
    <xf numFmtId="2" fontId="16" fillId="0" borderId="14" xfId="0" applyNumberFormat="1" applyFont="1" applyBorder="1" applyAlignment="1">
      <alignment horizontal="right"/>
    </xf>
    <xf numFmtId="2" fontId="16" fillId="0" borderId="13" xfId="0" applyNumberFormat="1" applyFont="1" applyBorder="1" applyAlignment="1">
      <alignment horizontal="right"/>
    </xf>
    <xf numFmtId="2" fontId="16" fillId="0" borderId="19" xfId="0" applyNumberFormat="1" applyFont="1" applyBorder="1" applyAlignment="1">
      <alignment horizontal="right"/>
    </xf>
    <xf numFmtId="0" fontId="35" fillId="9" borderId="17" xfId="0" applyFont="1" applyFill="1" applyBorder="1" applyAlignment="1">
      <alignment vertical="center"/>
    </xf>
    <xf numFmtId="0" fontId="35" fillId="9" borderId="16" xfId="0" applyFont="1" applyFill="1" applyBorder="1" applyAlignment="1">
      <alignment vertical="center"/>
    </xf>
    <xf numFmtId="0" fontId="35" fillId="9" borderId="21" xfId="0" applyFont="1" applyFill="1" applyBorder="1" applyAlignment="1">
      <alignment vertical="center"/>
    </xf>
    <xf numFmtId="0" fontId="35" fillId="9" borderId="15" xfId="0" applyFont="1" applyFill="1" applyBorder="1" applyAlignment="1">
      <alignment vertical="center"/>
    </xf>
    <xf numFmtId="0" fontId="16" fillId="0" borderId="0" xfId="0" applyFont="1" applyAlignment="1">
      <alignment horizontal="right"/>
    </xf>
    <xf numFmtId="165" fontId="16" fillId="0" borderId="10" xfId="1" applyNumberFormat="1" applyFont="1" applyBorder="1" applyAlignment="1">
      <alignment horizontal="right"/>
    </xf>
    <xf numFmtId="165" fontId="16" fillId="0" borderId="11" xfId="1" applyNumberFormat="1" applyFont="1" applyBorder="1" applyAlignment="1">
      <alignment horizontal="right"/>
    </xf>
    <xf numFmtId="165" fontId="16" fillId="0" borderId="18" xfId="1" applyNumberFormat="1" applyFont="1" applyBorder="1" applyAlignment="1">
      <alignment horizontal="right"/>
    </xf>
    <xf numFmtId="165" fontId="16" fillId="0" borderId="12" xfId="1" applyNumberFormat="1" applyFont="1" applyBorder="1" applyAlignment="1">
      <alignment horizontal="right"/>
    </xf>
    <xf numFmtId="165" fontId="16" fillId="0" borderId="0" xfId="1" applyNumberFormat="1" applyFont="1" applyBorder="1" applyAlignment="1">
      <alignment horizontal="right"/>
    </xf>
    <xf numFmtId="165" fontId="16" fillId="0" borderId="20" xfId="1" applyNumberFormat="1" applyFont="1" applyBorder="1" applyAlignment="1">
      <alignment horizontal="right"/>
    </xf>
    <xf numFmtId="0" fontId="14" fillId="0" borderId="13" xfId="0" applyFont="1" applyBorder="1"/>
    <xf numFmtId="165" fontId="16" fillId="0" borderId="13" xfId="1" applyNumberFormat="1" applyFont="1" applyBorder="1" applyAlignment="1">
      <alignment horizontal="right"/>
    </xf>
    <xf numFmtId="165" fontId="16" fillId="0" borderId="14" xfId="1" applyNumberFormat="1" applyFont="1" applyBorder="1" applyAlignment="1">
      <alignment horizontal="right"/>
    </xf>
    <xf numFmtId="165" fontId="16" fillId="0" borderId="19" xfId="1" applyNumberFormat="1" applyFont="1" applyBorder="1" applyAlignment="1">
      <alignment horizontal="right"/>
    </xf>
    <xf numFmtId="0" fontId="16" fillId="0" borderId="18" xfId="0" applyFont="1" applyBorder="1" applyAlignment="1">
      <alignment horizontal="right"/>
    </xf>
    <xf numFmtId="165" fontId="16" fillId="0" borderId="11" xfId="0" applyNumberFormat="1" applyFont="1" applyBorder="1" applyAlignment="1">
      <alignment horizontal="right"/>
    </xf>
    <xf numFmtId="165" fontId="16" fillId="0" borderId="10" xfId="0" applyNumberFormat="1" applyFont="1" applyBorder="1" applyAlignment="1">
      <alignment horizontal="right"/>
    </xf>
    <xf numFmtId="165" fontId="16" fillId="0" borderId="18" xfId="0" applyNumberFormat="1" applyFont="1" applyBorder="1" applyAlignment="1">
      <alignment horizontal="right"/>
    </xf>
    <xf numFmtId="165" fontId="16" fillId="0" borderId="0" xfId="0" applyNumberFormat="1" applyFont="1" applyAlignment="1">
      <alignment horizontal="right"/>
    </xf>
    <xf numFmtId="165" fontId="16" fillId="0" borderId="12" xfId="0" applyNumberFormat="1" applyFont="1" applyBorder="1" applyAlignment="1">
      <alignment horizontal="right"/>
    </xf>
    <xf numFmtId="165" fontId="16" fillId="0" borderId="20" xfId="0" applyNumberFormat="1" applyFont="1" applyBorder="1" applyAlignment="1">
      <alignment horizontal="right"/>
    </xf>
    <xf numFmtId="0" fontId="16" fillId="0" borderId="10" xfId="0" applyFont="1" applyBorder="1" applyAlignment="1">
      <alignment horizontal="right"/>
    </xf>
    <xf numFmtId="165" fontId="16" fillId="0" borderId="0" xfId="1" applyNumberFormat="1" applyFont="1" applyBorder="1" applyAlignment="1">
      <alignment horizontal="right" vertical="center" indent="1"/>
    </xf>
    <xf numFmtId="165" fontId="16" fillId="0" borderId="14" xfId="1" applyNumberFormat="1" applyFont="1" applyBorder="1" applyAlignment="1">
      <alignment horizontal="right" vertical="center" indent="1"/>
    </xf>
    <xf numFmtId="0" fontId="14" fillId="0" borderId="17" xfId="0" applyFont="1" applyBorder="1"/>
    <xf numFmtId="165" fontId="14" fillId="0" borderId="15" xfId="1" applyNumberFormat="1" applyFont="1" applyBorder="1" applyAlignment="1">
      <alignment horizontal="right"/>
    </xf>
    <xf numFmtId="165" fontId="14" fillId="0" borderId="16" xfId="1" applyNumberFormat="1" applyFont="1" applyBorder="1" applyAlignment="1">
      <alignment horizontal="right"/>
    </xf>
    <xf numFmtId="165" fontId="14" fillId="0" borderId="21" xfId="1" applyNumberFormat="1" applyFont="1" applyBorder="1" applyAlignment="1">
      <alignment horizontal="right"/>
    </xf>
    <xf numFmtId="0" fontId="35" fillId="9" borderId="10" xfId="0" applyFont="1" applyFill="1" applyBorder="1" applyAlignment="1">
      <alignment vertical="center"/>
    </xf>
    <xf numFmtId="0" fontId="14" fillId="0" borderId="15" xfId="0" applyFont="1" applyBorder="1" applyAlignment="1">
      <alignment horizontal="right"/>
    </xf>
    <xf numFmtId="0" fontId="14" fillId="0" borderId="16" xfId="0" applyFont="1" applyBorder="1" applyAlignment="1">
      <alignment horizontal="right"/>
    </xf>
    <xf numFmtId="0" fontId="14" fillId="0" borderId="21" xfId="0" applyFont="1" applyBorder="1" applyAlignment="1">
      <alignment horizontal="right"/>
    </xf>
    <xf numFmtId="0" fontId="16" fillId="0" borderId="57" xfId="0" applyFont="1" applyBorder="1"/>
    <xf numFmtId="0" fontId="16" fillId="0" borderId="66" xfId="0" applyFont="1" applyBorder="1" applyAlignment="1">
      <alignment horizontal="left" vertical="center" indent="1"/>
    </xf>
    <xf numFmtId="165" fontId="16" fillId="0" borderId="13" xfId="0" applyNumberFormat="1" applyFont="1" applyBorder="1" applyAlignment="1">
      <alignment horizontal="right"/>
    </xf>
    <xf numFmtId="165" fontId="16" fillId="0" borderId="14" xfId="0" applyNumberFormat="1" applyFont="1" applyBorder="1" applyAlignment="1">
      <alignment horizontal="right"/>
    </xf>
    <xf numFmtId="165" fontId="16" fillId="0" borderId="19" xfId="0" applyNumberFormat="1" applyFont="1" applyBorder="1" applyAlignment="1">
      <alignment horizontal="right"/>
    </xf>
    <xf numFmtId="0" fontId="16" fillId="0" borderId="72" xfId="0" applyFont="1" applyBorder="1"/>
    <xf numFmtId="165" fontId="16" fillId="0" borderId="68" xfId="1" applyNumberFormat="1" applyFont="1" applyBorder="1" applyAlignment="1">
      <alignment horizontal="right"/>
    </xf>
    <xf numFmtId="165" fontId="16" fillId="0" borderId="63" xfId="0" applyNumberFormat="1" applyFont="1" applyBorder="1" applyAlignment="1">
      <alignment horizontal="right"/>
    </xf>
    <xf numFmtId="0" fontId="16" fillId="0" borderId="59" xfId="0" applyFont="1" applyBorder="1" applyAlignment="1">
      <alignment horizontal="left" vertical="center" indent="1"/>
    </xf>
    <xf numFmtId="165" fontId="16" fillId="0" borderId="69" xfId="1" applyNumberFormat="1" applyFont="1" applyBorder="1" applyAlignment="1">
      <alignment horizontal="right" vertical="center" indent="1"/>
    </xf>
    <xf numFmtId="165" fontId="16" fillId="0" borderId="69" xfId="1" applyNumberFormat="1" applyFont="1" applyBorder="1" applyAlignment="1">
      <alignment horizontal="right"/>
    </xf>
    <xf numFmtId="165" fontId="16" fillId="0" borderId="74" xfId="0" applyNumberFormat="1" applyFont="1" applyBorder="1" applyAlignment="1">
      <alignment horizontal="right"/>
    </xf>
    <xf numFmtId="165" fontId="16" fillId="0" borderId="69" xfId="0" applyNumberFormat="1" applyFont="1" applyBorder="1" applyAlignment="1">
      <alignment horizontal="right"/>
    </xf>
    <xf numFmtId="165" fontId="16" fillId="0" borderId="65" xfId="0" applyNumberFormat="1" applyFont="1" applyBorder="1" applyAlignment="1">
      <alignment horizontal="right"/>
    </xf>
    <xf numFmtId="0" fontId="16" fillId="0" borderId="22" xfId="0" applyFont="1" applyBorder="1" applyAlignment="1">
      <alignment horizontal="left" vertical="center" indent="1"/>
    </xf>
    <xf numFmtId="0" fontId="16" fillId="0" borderId="24" xfId="0" applyFont="1" applyBorder="1" applyAlignment="1">
      <alignment horizontal="left" vertical="center" indent="1"/>
    </xf>
    <xf numFmtId="0" fontId="16" fillId="0" borderId="23" xfId="0" applyFont="1" applyBorder="1" applyAlignment="1">
      <alignment horizontal="left" vertical="center" indent="1"/>
    </xf>
    <xf numFmtId="0" fontId="35" fillId="9" borderId="1" xfId="0" applyFont="1" applyFill="1" applyBorder="1" applyAlignment="1">
      <alignment vertical="center"/>
    </xf>
    <xf numFmtId="0" fontId="14" fillId="0" borderId="0" xfId="0" applyFont="1"/>
    <xf numFmtId="3" fontId="16" fillId="0" borderId="27" xfId="1" applyNumberFormat="1" applyFont="1" applyBorder="1"/>
    <xf numFmtId="3" fontId="16" fillId="0" borderId="33" xfId="1" applyNumberFormat="1" applyFont="1" applyBorder="1"/>
    <xf numFmtId="167" fontId="16" fillId="0" borderId="25" xfId="1" applyNumberFormat="1" applyFont="1" applyBorder="1"/>
    <xf numFmtId="167" fontId="16" fillId="0" borderId="12" xfId="1" applyNumberFormat="1" applyFont="1" applyBorder="1"/>
    <xf numFmtId="167" fontId="16" fillId="0" borderId="28" xfId="1" applyNumberFormat="1" applyFont="1" applyBorder="1"/>
    <xf numFmtId="0" fontId="35" fillId="9" borderId="1" xfId="0" applyFont="1" applyFill="1" applyBorder="1" applyAlignment="1">
      <alignment horizontal="center" vertical="center"/>
    </xf>
    <xf numFmtId="0" fontId="16" fillId="0" borderId="1" xfId="0" applyFont="1" applyBorder="1" applyAlignment="1">
      <alignment horizontal="center" vertical="center"/>
    </xf>
    <xf numFmtId="0" fontId="16" fillId="0" borderId="1" xfId="0" applyFont="1" applyBorder="1" applyAlignment="1">
      <alignment horizontal="right" vertical="center"/>
    </xf>
    <xf numFmtId="0" fontId="35" fillId="9" borderId="4" xfId="0" applyFont="1" applyFill="1" applyBorder="1" applyAlignment="1">
      <alignment vertical="center"/>
    </xf>
    <xf numFmtId="10" fontId="16" fillId="0" borderId="54" xfId="0" applyNumberFormat="1" applyFont="1" applyBorder="1" applyAlignment="1">
      <alignment horizontal="center" vertical="center" wrapText="1"/>
    </xf>
    <xf numFmtId="10" fontId="16" fillId="0" borderId="25" xfId="2" applyNumberFormat="1" applyFont="1" applyBorder="1" applyAlignment="1">
      <alignment horizontal="center" vertical="center"/>
    </xf>
    <xf numFmtId="10" fontId="16" fillId="0" borderId="42" xfId="0" applyNumberFormat="1" applyFont="1" applyBorder="1" applyAlignment="1">
      <alignment horizontal="center" vertical="center" wrapText="1"/>
    </xf>
    <xf numFmtId="0" fontId="35" fillId="9" borderId="7" xfId="0" applyFont="1" applyFill="1" applyBorder="1" applyAlignment="1">
      <alignment vertical="center"/>
    </xf>
    <xf numFmtId="0" fontId="16" fillId="0" borderId="5" xfId="0" applyFont="1" applyBorder="1"/>
    <xf numFmtId="0" fontId="14" fillId="0" borderId="1" xfId="0" applyFont="1" applyBorder="1" applyAlignment="1">
      <alignment horizontal="right" vertical="center" wrapText="1"/>
    </xf>
    <xf numFmtId="0" fontId="16" fillId="0" borderId="1" xfId="0" applyFont="1" applyBorder="1" applyAlignment="1">
      <alignment horizontal="right" vertical="center" wrapText="1"/>
    </xf>
    <xf numFmtId="3" fontId="16" fillId="0" borderId="1" xfId="0" applyNumberFormat="1" applyFont="1" applyBorder="1" applyAlignment="1">
      <alignment horizontal="right" vertical="center" wrapText="1"/>
    </xf>
    <xf numFmtId="0" fontId="16" fillId="0" borderId="1" xfId="0" applyFont="1" applyBorder="1" applyAlignment="1">
      <alignment horizontal="right"/>
    </xf>
    <xf numFmtId="0" fontId="16" fillId="0" borderId="8" xfId="0" applyFont="1" applyBorder="1"/>
    <xf numFmtId="0" fontId="16" fillId="0" borderId="2" xfId="0" applyFont="1" applyBorder="1" applyAlignment="1">
      <alignment horizontal="right" vertical="center" wrapText="1"/>
    </xf>
    <xf numFmtId="3" fontId="16" fillId="0" borderId="2" xfId="0" applyNumberFormat="1" applyFont="1" applyBorder="1" applyAlignment="1">
      <alignment horizontal="right" vertical="center" wrapText="1"/>
    </xf>
    <xf numFmtId="165" fontId="16" fillId="0" borderId="1" xfId="1" applyNumberFormat="1" applyFont="1" applyBorder="1" applyAlignment="1">
      <alignment horizontal="right"/>
    </xf>
    <xf numFmtId="9" fontId="16" fillId="0" borderId="1" xfId="0" applyNumberFormat="1" applyFont="1" applyBorder="1" applyAlignment="1">
      <alignment horizontal="right"/>
    </xf>
    <xf numFmtId="0" fontId="16" fillId="0" borderId="68" xfId="0" applyFont="1" applyBorder="1" applyAlignment="1">
      <alignment horizontal="right"/>
    </xf>
    <xf numFmtId="0" fontId="16" fillId="0" borderId="61" xfId="0" applyFont="1" applyBorder="1" applyAlignment="1">
      <alignment horizontal="right"/>
    </xf>
    <xf numFmtId="0" fontId="16" fillId="0" borderId="63" xfId="0" applyFont="1" applyBorder="1" applyAlignment="1">
      <alignment horizontal="right"/>
    </xf>
    <xf numFmtId="0" fontId="14" fillId="0" borderId="56" xfId="0" applyFont="1" applyBorder="1"/>
    <xf numFmtId="0" fontId="14" fillId="0" borderId="70" xfId="0" applyFont="1" applyBorder="1" applyAlignment="1">
      <alignment horizontal="right"/>
    </xf>
    <xf numFmtId="0" fontId="14" fillId="0" borderId="67" xfId="0" applyFont="1" applyBorder="1" applyAlignment="1">
      <alignment horizontal="right"/>
    </xf>
    <xf numFmtId="3" fontId="16" fillId="0" borderId="68" xfId="0" applyNumberFormat="1" applyFont="1" applyBorder="1" applyAlignment="1">
      <alignment horizontal="right"/>
    </xf>
    <xf numFmtId="3" fontId="16" fillId="0" borderId="61" xfId="0" applyNumberFormat="1" applyFont="1" applyBorder="1" applyAlignment="1">
      <alignment horizontal="right"/>
    </xf>
    <xf numFmtId="0" fontId="14" fillId="0" borderId="66" xfId="0" applyFont="1" applyBorder="1"/>
    <xf numFmtId="3" fontId="16" fillId="0" borderId="63" xfId="0" applyNumberFormat="1" applyFont="1" applyBorder="1" applyAlignment="1">
      <alignment horizontal="right"/>
    </xf>
    <xf numFmtId="0" fontId="14" fillId="0" borderId="59" xfId="0" applyFont="1" applyBorder="1"/>
    <xf numFmtId="166" fontId="14" fillId="0" borderId="69" xfId="0" applyNumberFormat="1" applyFont="1" applyBorder="1" applyAlignment="1">
      <alignment horizontal="right"/>
    </xf>
    <xf numFmtId="166" fontId="14" fillId="0" borderId="65" xfId="0" applyNumberFormat="1" applyFont="1" applyBorder="1" applyAlignment="1">
      <alignment horizontal="right"/>
    </xf>
    <xf numFmtId="0" fontId="14" fillId="0" borderId="1" xfId="0" applyFont="1" applyBorder="1" applyAlignment="1">
      <alignment horizontal="center" vertical="center" wrapText="1"/>
    </xf>
    <xf numFmtId="0" fontId="16" fillId="0" borderId="1" xfId="0" applyFont="1" applyBorder="1" applyAlignment="1">
      <alignment vertical="center" wrapText="1"/>
    </xf>
    <xf numFmtId="3" fontId="16" fillId="0" borderId="1" xfId="0" applyNumberFormat="1" applyFont="1" applyBorder="1" applyAlignment="1">
      <alignment vertical="center" wrapText="1"/>
    </xf>
    <xf numFmtId="0" fontId="14" fillId="0" borderId="1" xfId="0" applyFont="1" applyBorder="1" applyAlignment="1">
      <alignment vertical="center" wrapText="1"/>
    </xf>
    <xf numFmtId="3" fontId="14" fillId="0" borderId="1" xfId="0" applyNumberFormat="1" applyFont="1" applyBorder="1" applyAlignment="1">
      <alignment vertical="center" wrapText="1"/>
    </xf>
    <xf numFmtId="0" fontId="35" fillId="9" borderId="1" xfId="0" applyFont="1" applyFill="1" applyBorder="1" applyAlignment="1">
      <alignment horizontal="center" vertical="center" wrapText="1"/>
    </xf>
    <xf numFmtId="0" fontId="35" fillId="9" borderId="2" xfId="0" applyFont="1" applyFill="1" applyBorder="1" applyAlignment="1">
      <alignment horizontal="center" vertical="center" wrapText="1"/>
    </xf>
    <xf numFmtId="0" fontId="16" fillId="0" borderId="78" xfId="0" applyFont="1" applyBorder="1" applyAlignment="1">
      <alignment vertical="center" wrapText="1"/>
    </xf>
    <xf numFmtId="165" fontId="14" fillId="0" borderId="11" xfId="1" applyNumberFormat="1" applyFont="1" applyBorder="1" applyAlignment="1">
      <alignment horizontal="right"/>
    </xf>
    <xf numFmtId="165" fontId="14" fillId="0" borderId="10" xfId="1" applyNumberFormat="1" applyFont="1" applyBorder="1" applyAlignment="1">
      <alignment horizontal="right"/>
    </xf>
    <xf numFmtId="165" fontId="14" fillId="0" borderId="18" xfId="1" applyNumberFormat="1" applyFont="1" applyBorder="1" applyAlignment="1">
      <alignment horizontal="right"/>
    </xf>
    <xf numFmtId="43" fontId="16" fillId="0" borderId="0" xfId="0" applyNumberFormat="1" applyFont="1" applyAlignment="1">
      <alignment horizontal="right"/>
    </xf>
    <xf numFmtId="43" fontId="16" fillId="0" borderId="24" xfId="0" applyNumberFormat="1" applyFont="1" applyBorder="1"/>
    <xf numFmtId="43" fontId="14" fillId="0" borderId="14" xfId="0" applyNumberFormat="1" applyFont="1" applyBorder="1" applyAlignment="1">
      <alignment horizontal="right"/>
    </xf>
    <xf numFmtId="166" fontId="16" fillId="0" borderId="0" xfId="2" applyNumberFormat="1" applyFont="1" applyBorder="1" applyAlignment="1">
      <alignment horizontal="right"/>
    </xf>
    <xf numFmtId="0" fontId="16" fillId="0" borderId="12" xfId="0" applyFont="1" applyBorder="1" applyAlignment="1">
      <alignment horizontal="right"/>
    </xf>
    <xf numFmtId="0" fontId="16" fillId="0" borderId="20" xfId="0" applyFont="1" applyBorder="1" applyAlignment="1">
      <alignment horizontal="right"/>
    </xf>
    <xf numFmtId="165" fontId="14" fillId="0" borderId="12" xfId="1" applyNumberFormat="1" applyFont="1" applyBorder="1" applyAlignment="1">
      <alignment horizontal="right"/>
    </xf>
    <xf numFmtId="165" fontId="14" fillId="0" borderId="0" xfId="1" applyNumberFormat="1" applyFont="1" applyBorder="1" applyAlignment="1">
      <alignment horizontal="right"/>
    </xf>
    <xf numFmtId="165" fontId="14" fillId="0" borderId="20" xfId="1" applyNumberFormat="1" applyFont="1" applyBorder="1" applyAlignment="1">
      <alignment horizontal="right"/>
    </xf>
    <xf numFmtId="165" fontId="14" fillId="0" borderId="16" xfId="0" applyNumberFormat="1" applyFont="1" applyBorder="1" applyAlignment="1">
      <alignment horizontal="right"/>
    </xf>
    <xf numFmtId="0" fontId="16" fillId="0" borderId="13" xfId="0" applyFont="1" applyBorder="1" applyAlignment="1">
      <alignment horizontal="right"/>
    </xf>
    <xf numFmtId="165" fontId="16" fillId="0" borderId="24" xfId="1" applyNumberFormat="1" applyFont="1" applyBorder="1"/>
    <xf numFmtId="165" fontId="16" fillId="0" borderId="22" xfId="1" applyNumberFormat="1" applyFont="1" applyBorder="1"/>
    <xf numFmtId="165" fontId="16" fillId="0" borderId="23" xfId="1" applyNumberFormat="1" applyFont="1" applyBorder="1"/>
    <xf numFmtId="165" fontId="16" fillId="0" borderId="17" xfId="1" applyNumberFormat="1" applyFont="1" applyBorder="1"/>
    <xf numFmtId="165" fontId="16" fillId="0" borderId="16" xfId="1" applyNumberFormat="1" applyFont="1" applyBorder="1" applyAlignment="1">
      <alignment horizontal="right"/>
    </xf>
    <xf numFmtId="165" fontId="16" fillId="0" borderId="15" xfId="1" applyNumberFormat="1" applyFont="1" applyBorder="1" applyAlignment="1">
      <alignment horizontal="right"/>
    </xf>
    <xf numFmtId="165" fontId="16" fillId="0" borderId="21" xfId="1" applyNumberFormat="1" applyFont="1" applyBorder="1" applyAlignment="1">
      <alignment horizontal="right"/>
    </xf>
    <xf numFmtId="0" fontId="16" fillId="0" borderId="1" xfId="0" applyFont="1" applyBorder="1"/>
    <xf numFmtId="14" fontId="16" fillId="0" borderId="1" xfId="0" applyNumberFormat="1" applyFont="1" applyBorder="1"/>
    <xf numFmtId="176" fontId="14" fillId="0" borderId="13" xfId="1" applyNumberFormat="1" applyFont="1" applyBorder="1" applyAlignment="1">
      <alignment horizontal="right"/>
    </xf>
    <xf numFmtId="176" fontId="14" fillId="0" borderId="19" xfId="1" applyNumberFormat="1" applyFont="1" applyBorder="1" applyAlignment="1">
      <alignment horizontal="right"/>
    </xf>
    <xf numFmtId="176" fontId="16" fillId="0" borderId="11" xfId="1" applyNumberFormat="1" applyFont="1" applyBorder="1" applyAlignment="1">
      <alignment horizontal="right"/>
    </xf>
    <xf numFmtId="165" fontId="16" fillId="0" borderId="0" xfId="1" applyNumberFormat="1" applyFont="1" applyAlignment="1">
      <alignment horizontal="right"/>
    </xf>
    <xf numFmtId="10" fontId="16" fillId="0" borderId="10" xfId="0" applyNumberFormat="1" applyFont="1" applyBorder="1" applyAlignment="1">
      <alignment horizontal="right"/>
    </xf>
    <xf numFmtId="10" fontId="16" fillId="0" borderId="18" xfId="2" applyNumberFormat="1" applyFont="1" applyBorder="1" applyAlignment="1">
      <alignment horizontal="right"/>
    </xf>
    <xf numFmtId="170" fontId="16" fillId="0" borderId="25" xfId="0" applyNumberFormat="1" applyFont="1" applyBorder="1" applyAlignment="1">
      <alignment vertical="center" wrapText="1"/>
    </xf>
    <xf numFmtId="170" fontId="16" fillId="0" borderId="26" xfId="0" applyNumberFormat="1" applyFont="1" applyBorder="1" applyAlignment="1">
      <alignment vertical="center" wrapText="1"/>
    </xf>
    <xf numFmtId="170" fontId="16" fillId="0" borderId="16" xfId="0" applyNumberFormat="1" applyFont="1" applyBorder="1"/>
    <xf numFmtId="170" fontId="16" fillId="0" borderId="21" xfId="0" applyNumberFormat="1" applyFont="1" applyBorder="1"/>
    <xf numFmtId="170" fontId="12" fillId="2" borderId="22" xfId="0" applyNumberFormat="1" applyFont="1" applyFill="1" applyBorder="1" applyAlignment="1">
      <alignment horizontal="center"/>
    </xf>
    <xf numFmtId="170" fontId="12" fillId="2" borderId="45" xfId="0" applyNumberFormat="1" applyFont="1" applyFill="1" applyBorder="1" applyAlignment="1">
      <alignment horizontal="center"/>
    </xf>
    <xf numFmtId="170" fontId="12" fillId="2" borderId="46" xfId="0" applyNumberFormat="1" applyFont="1" applyFill="1" applyBorder="1" applyAlignment="1">
      <alignment horizontal="center"/>
    </xf>
    <xf numFmtId="3" fontId="16" fillId="0" borderId="41" xfId="0" applyNumberFormat="1" applyFont="1" applyBorder="1" applyAlignment="1">
      <alignment horizontal="center" vertical="center" wrapText="1"/>
    </xf>
    <xf numFmtId="166" fontId="16" fillId="0" borderId="42" xfId="0" applyNumberFormat="1" applyFont="1" applyBorder="1" applyAlignment="1">
      <alignment horizontal="center" vertical="center" wrapText="1"/>
    </xf>
    <xf numFmtId="166" fontId="16" fillId="0" borderId="23" xfId="2" applyNumberFormat="1" applyFont="1" applyBorder="1" applyAlignment="1">
      <alignment horizontal="center" vertical="center"/>
    </xf>
    <xf numFmtId="166" fontId="16" fillId="0" borderId="55" xfId="0" applyNumberFormat="1" applyFont="1" applyBorder="1" applyAlignment="1">
      <alignment horizontal="center" vertical="center" wrapText="1"/>
    </xf>
    <xf numFmtId="166" fontId="16" fillId="0" borderId="27" xfId="0" applyNumberFormat="1" applyFont="1" applyBorder="1" applyAlignment="1">
      <alignment horizontal="center" vertical="center" wrapText="1"/>
    </xf>
    <xf numFmtId="166" fontId="16" fillId="0" borderId="78" xfId="0" applyNumberFormat="1" applyFont="1" applyBorder="1" applyAlignment="1">
      <alignment vertical="center" wrapText="1"/>
    </xf>
    <xf numFmtId="166" fontId="16" fillId="0" borderId="28" xfId="2" applyNumberFormat="1" applyFont="1" applyBorder="1"/>
    <xf numFmtId="166" fontId="16" fillId="0" borderId="29" xfId="2" applyNumberFormat="1" applyFont="1" applyBorder="1"/>
    <xf numFmtId="166" fontId="16" fillId="0" borderId="25" xfId="1" applyNumberFormat="1" applyFont="1" applyBorder="1"/>
    <xf numFmtId="166" fontId="16" fillId="0" borderId="26" xfId="2" applyNumberFormat="1" applyFont="1" applyBorder="1"/>
    <xf numFmtId="166" fontId="16" fillId="0" borderId="9" xfId="2" applyNumberFormat="1" applyFont="1" applyBorder="1"/>
    <xf numFmtId="166" fontId="16" fillId="0" borderId="26" xfId="1" applyNumberFormat="1" applyFont="1" applyBorder="1"/>
    <xf numFmtId="166" fontId="16" fillId="0" borderId="25" xfId="2" applyNumberFormat="1" applyFont="1" applyBorder="1"/>
    <xf numFmtId="166" fontId="16" fillId="0" borderId="48" xfId="2" applyNumberFormat="1" applyFont="1" applyBorder="1"/>
    <xf numFmtId="3" fontId="16" fillId="0" borderId="20" xfId="0" applyNumberFormat="1" applyFont="1" applyBorder="1" applyAlignment="1">
      <alignment horizontal="right"/>
    </xf>
    <xf numFmtId="184" fontId="16" fillId="0" borderId="12" xfId="0" applyNumberFormat="1" applyFont="1" applyBorder="1" applyAlignment="1">
      <alignment horizontal="right"/>
    </xf>
    <xf numFmtId="184" fontId="16" fillId="0" borderId="24" xfId="0" applyNumberFormat="1" applyFont="1" applyBorder="1" applyAlignment="1">
      <alignment horizontal="right"/>
    </xf>
    <xf numFmtId="184" fontId="16" fillId="0" borderId="20" xfId="0" applyNumberFormat="1" applyFont="1" applyBorder="1" applyAlignment="1">
      <alignment horizontal="right"/>
    </xf>
    <xf numFmtId="168" fontId="16" fillId="0" borderId="27" xfId="1" applyNumberFormat="1" applyFont="1" applyBorder="1"/>
    <xf numFmtId="168" fontId="16" fillId="0" borderId="33" xfId="1" applyNumberFormat="1" applyFont="1" applyBorder="1"/>
    <xf numFmtId="168" fontId="16" fillId="0" borderId="25" xfId="1" applyNumberFormat="1" applyFont="1" applyBorder="1"/>
    <xf numFmtId="168" fontId="16" fillId="0" borderId="48" xfId="1" applyNumberFormat="1" applyFont="1" applyBorder="1"/>
    <xf numFmtId="167" fontId="16" fillId="0" borderId="12" xfId="0" applyNumberFormat="1" applyFont="1" applyBorder="1" applyAlignment="1">
      <alignment horizontal="right"/>
    </xf>
    <xf numFmtId="167" fontId="16" fillId="0" borderId="24" xfId="0" applyNumberFormat="1" applyFont="1" applyBorder="1" applyAlignment="1">
      <alignment horizontal="right"/>
    </xf>
    <xf numFmtId="167" fontId="16" fillId="8" borderId="20" xfId="0" applyNumberFormat="1" applyFont="1" applyFill="1" applyBorder="1" applyAlignment="1">
      <alignment horizontal="right"/>
    </xf>
    <xf numFmtId="167" fontId="16" fillId="0" borderId="20" xfId="0" applyNumberFormat="1" applyFont="1" applyBorder="1" applyAlignment="1">
      <alignment horizontal="right"/>
    </xf>
    <xf numFmtId="167" fontId="16" fillId="0" borderId="24" xfId="1" applyNumberFormat="1" applyFont="1" applyBorder="1"/>
    <xf numFmtId="167" fontId="16" fillId="0" borderId="9" xfId="1" applyNumberFormat="1" applyFont="1" applyBorder="1"/>
    <xf numFmtId="167" fontId="16" fillId="0" borderId="26" xfId="1" applyNumberFormat="1" applyFont="1" applyBorder="1"/>
    <xf numFmtId="0" fontId="44" fillId="0" borderId="0" xfId="0" applyFont="1" applyAlignment="1">
      <alignment vertical="top" wrapText="1"/>
    </xf>
    <xf numFmtId="0" fontId="25" fillId="0" borderId="23" xfId="0" applyFont="1" applyBorder="1"/>
    <xf numFmtId="0" fontId="25" fillId="0" borderId="66" xfId="0" applyFont="1" applyBorder="1" applyAlignment="1">
      <alignment horizontal="left" vertical="center" indent="1"/>
    </xf>
    <xf numFmtId="166" fontId="16" fillId="0" borderId="0" xfId="0" applyNumberFormat="1" applyFont="1"/>
    <xf numFmtId="166" fontId="51" fillId="0" borderId="37" xfId="0" applyNumberFormat="1" applyFont="1" applyBorder="1" applyAlignment="1">
      <alignment horizontal="right"/>
    </xf>
    <xf numFmtId="10" fontId="53" fillId="8" borderId="35" xfId="0" applyNumberFormat="1" applyFont="1" applyFill="1" applyBorder="1" applyAlignment="1">
      <alignment horizontal="right"/>
    </xf>
    <xf numFmtId="185" fontId="54" fillId="0" borderId="35" xfId="0" applyNumberFormat="1" applyFont="1" applyBorder="1" applyAlignment="1">
      <alignment horizontal="center"/>
    </xf>
    <xf numFmtId="0" fontId="10" fillId="0" borderId="0" xfId="0" applyFont="1" applyAlignment="1">
      <alignment vertical="center"/>
    </xf>
    <xf numFmtId="0" fontId="8" fillId="0" borderId="1" xfId="0" applyFont="1" applyBorder="1"/>
    <xf numFmtId="0" fontId="14" fillId="0" borderId="12" xfId="0" applyFont="1" applyBorder="1" applyAlignment="1">
      <alignment horizontal="right"/>
    </xf>
    <xf numFmtId="0" fontId="14" fillId="0" borderId="0" xfId="0" applyFont="1" applyAlignment="1">
      <alignment horizontal="right"/>
    </xf>
    <xf numFmtId="0" fontId="14" fillId="0" borderId="63" xfId="0" applyFont="1" applyBorder="1" applyAlignment="1">
      <alignment horizontal="right"/>
    </xf>
    <xf numFmtId="0" fontId="24" fillId="0" borderId="12" xfId="0" applyFont="1" applyBorder="1"/>
    <xf numFmtId="0" fontId="23" fillId="0" borderId="20" xfId="0" applyFont="1" applyBorder="1"/>
    <xf numFmtId="0" fontId="23" fillId="0" borderId="12" xfId="0" applyFont="1" applyBorder="1"/>
    <xf numFmtId="0" fontId="27" fillId="9" borderId="84" xfId="0" applyFont="1" applyFill="1" applyBorder="1" applyAlignment="1">
      <alignment horizontal="right"/>
    </xf>
    <xf numFmtId="178" fontId="16" fillId="0" borderId="20" xfId="0" applyNumberFormat="1" applyFont="1" applyBorder="1" applyAlignment="1">
      <alignment horizontal="right"/>
    </xf>
    <xf numFmtId="175" fontId="16" fillId="0" borderId="20" xfId="0" applyNumberFormat="1" applyFont="1" applyBorder="1" applyAlignment="1">
      <alignment horizontal="right"/>
    </xf>
    <xf numFmtId="168" fontId="16" fillId="0" borderId="20" xfId="0" applyNumberFormat="1" applyFont="1" applyBorder="1" applyAlignment="1">
      <alignment horizontal="right"/>
    </xf>
    <xf numFmtId="166" fontId="16" fillId="0" borderId="83" xfId="0" applyNumberFormat="1" applyFont="1" applyBorder="1" applyAlignment="1">
      <alignment horizontal="right"/>
    </xf>
    <xf numFmtId="0" fontId="31" fillId="0" borderId="0" xfId="0" applyFont="1" applyAlignment="1">
      <alignment horizontal="left" indent="1"/>
    </xf>
    <xf numFmtId="0" fontId="23" fillId="9" borderId="85" xfId="0" applyFont="1" applyFill="1" applyBorder="1"/>
    <xf numFmtId="0" fontId="16" fillId="0" borderId="0" xfId="0" applyFont="1" applyAlignment="1">
      <alignment horizontal="left" indent="1"/>
    </xf>
    <xf numFmtId="0" fontId="16" fillId="0" borderId="86" xfId="0" applyFont="1" applyBorder="1"/>
    <xf numFmtId="0" fontId="15" fillId="0" borderId="87" xfId="0" applyFont="1" applyBorder="1"/>
    <xf numFmtId="0" fontId="25" fillId="0" borderId="0" xfId="0" applyFont="1" applyAlignment="1">
      <alignment horizontal="left" indent="1"/>
    </xf>
    <xf numFmtId="0" fontId="27" fillId="9" borderId="0" xfId="0" applyFont="1" applyFill="1"/>
    <xf numFmtId="0" fontId="27" fillId="9" borderId="0" xfId="0" applyFont="1" applyFill="1" applyAlignment="1">
      <alignment horizontal="right"/>
    </xf>
    <xf numFmtId="0" fontId="26" fillId="0" borderId="0" xfId="0" applyFont="1" applyAlignment="1">
      <alignment horizontal="left" indent="1"/>
    </xf>
    <xf numFmtId="179" fontId="16" fillId="0" borderId="0" xfId="0" applyNumberFormat="1" applyFont="1" applyAlignment="1">
      <alignment horizontal="right"/>
    </xf>
    <xf numFmtId="0" fontId="33" fillId="6" borderId="0" xfId="0" applyFont="1" applyFill="1" applyAlignment="1">
      <alignment horizontal="center"/>
    </xf>
    <xf numFmtId="0" fontId="32" fillId="0" borderId="0" xfId="0" applyFont="1" applyAlignment="1">
      <alignment horizontal="left"/>
    </xf>
    <xf numFmtId="0" fontId="34" fillId="0" borderId="0" xfId="0" applyFont="1"/>
    <xf numFmtId="0" fontId="32" fillId="0" borderId="14" xfId="0" applyFont="1" applyBorder="1" applyAlignment="1">
      <alignment horizontal="left"/>
    </xf>
    <xf numFmtId="0" fontId="23" fillId="0" borderId="14" xfId="0" applyFont="1" applyBorder="1"/>
    <xf numFmtId="166" fontId="12" fillId="0" borderId="24" xfId="0" applyNumberFormat="1" applyFont="1" applyBorder="1"/>
    <xf numFmtId="0" fontId="34" fillId="0" borderId="13" xfId="0" applyFont="1" applyBorder="1"/>
    <xf numFmtId="0" fontId="23" fillId="0" borderId="19" xfId="0" applyFont="1" applyBorder="1"/>
    <xf numFmtId="166" fontId="59" fillId="0" borderId="1" xfId="0" applyNumberFormat="1" applyFont="1" applyBorder="1" applyAlignment="1">
      <alignment horizontal="center"/>
    </xf>
    <xf numFmtId="166" fontId="59" fillId="0" borderId="2" xfId="0" applyNumberFormat="1" applyFont="1" applyBorder="1" applyAlignment="1">
      <alignment horizontal="center"/>
    </xf>
    <xf numFmtId="166" fontId="60" fillId="0" borderId="17" xfId="0" applyNumberFormat="1" applyFont="1" applyBorder="1" applyAlignment="1">
      <alignment horizontal="center"/>
    </xf>
    <xf numFmtId="166" fontId="16" fillId="0" borderId="1" xfId="0" applyNumberFormat="1" applyFont="1" applyBorder="1" applyAlignment="1">
      <alignment horizontal="center"/>
    </xf>
    <xf numFmtId="10" fontId="67" fillId="2" borderId="37" xfId="0" applyNumberFormat="1" applyFont="1" applyFill="1" applyBorder="1" applyAlignment="1">
      <alignment horizontal="center"/>
    </xf>
    <xf numFmtId="1" fontId="67" fillId="2" borderId="35" xfId="0" applyNumberFormat="1" applyFont="1" applyFill="1" applyBorder="1" applyAlignment="1">
      <alignment horizontal="center"/>
    </xf>
    <xf numFmtId="10" fontId="51" fillId="0" borderId="1" xfId="0" applyNumberFormat="1" applyFont="1" applyBorder="1" applyAlignment="1">
      <alignment horizontal="right"/>
    </xf>
    <xf numFmtId="165" fontId="52" fillId="0" borderId="1" xfId="0" applyNumberFormat="1" applyFont="1" applyBorder="1" applyAlignment="1">
      <alignment horizontal="right"/>
    </xf>
    <xf numFmtId="165" fontId="51" fillId="0" borderId="1" xfId="0" applyNumberFormat="1" applyFont="1" applyBorder="1" applyAlignment="1">
      <alignment horizontal="right"/>
    </xf>
    <xf numFmtId="165" fontId="53" fillId="0" borderId="1" xfId="0" applyNumberFormat="1" applyFont="1" applyBorder="1" applyAlignment="1">
      <alignment horizontal="right"/>
    </xf>
    <xf numFmtId="185" fontId="51" fillId="0" borderId="1" xfId="0" applyNumberFormat="1" applyFont="1" applyBorder="1" applyAlignment="1">
      <alignment horizontal="right"/>
    </xf>
    <xf numFmtId="1" fontId="52" fillId="0" borderId="1" xfId="0" applyNumberFormat="1" applyFont="1" applyBorder="1" applyAlignment="1">
      <alignment horizontal="right"/>
    </xf>
    <xf numFmtId="185" fontId="68" fillId="0" borderId="37" xfId="0" applyNumberFormat="1" applyFont="1" applyBorder="1" applyAlignment="1">
      <alignment horizontal="center"/>
    </xf>
    <xf numFmtId="1" fontId="68" fillId="0" borderId="37" xfId="0" applyNumberFormat="1" applyFont="1" applyBorder="1" applyAlignment="1">
      <alignment horizontal="center"/>
    </xf>
    <xf numFmtId="183" fontId="12" fillId="0" borderId="0" xfId="0" applyNumberFormat="1" applyFont="1"/>
    <xf numFmtId="166" fontId="12" fillId="0" borderId="1" xfId="0" applyNumberFormat="1" applyFont="1" applyBorder="1" applyAlignment="1">
      <alignment horizontal="right"/>
    </xf>
    <xf numFmtId="10" fontId="12" fillId="0" borderId="1" xfId="0" applyNumberFormat="1" applyFont="1" applyBorder="1" applyAlignment="1">
      <alignment horizontal="right"/>
    </xf>
    <xf numFmtId="181" fontId="12" fillId="0" borderId="1" xfId="0" applyNumberFormat="1" applyFont="1" applyBorder="1" applyAlignment="1">
      <alignment horizontal="right"/>
    </xf>
    <xf numFmtId="2" fontId="12" fillId="0" borderId="1" xfId="0" applyNumberFormat="1" applyFont="1" applyBorder="1" applyAlignment="1">
      <alignment horizontal="right"/>
    </xf>
    <xf numFmtId="2" fontId="12" fillId="0" borderId="92" xfId="0" applyNumberFormat="1" applyFont="1" applyBorder="1" applyAlignment="1">
      <alignment horizontal="right"/>
    </xf>
    <xf numFmtId="0" fontId="69" fillId="0" borderId="42" xfId="3" quotePrefix="1" applyNumberFormat="1" applyFont="1" applyBorder="1" applyAlignment="1">
      <alignment vertical="top" wrapText="1"/>
    </xf>
    <xf numFmtId="0" fontId="70" fillId="0" borderId="42" xfId="3" quotePrefix="1" applyNumberFormat="1" applyFont="1" applyBorder="1" applyAlignment="1">
      <alignment vertical="top" wrapText="1"/>
    </xf>
    <xf numFmtId="0" fontId="70" fillId="0" borderId="50" xfId="3" quotePrefix="1" applyNumberFormat="1" applyFont="1" applyBorder="1" applyAlignment="1">
      <alignment vertical="top" wrapText="1"/>
    </xf>
    <xf numFmtId="0" fontId="69" fillId="0" borderId="50" xfId="3" quotePrefix="1" applyNumberFormat="1" applyFont="1" applyBorder="1" applyAlignment="1">
      <alignment vertical="top" wrapText="1"/>
    </xf>
    <xf numFmtId="0" fontId="70" fillId="0" borderId="26" xfId="3" quotePrefix="1" applyNumberFormat="1" applyFont="1" applyBorder="1" applyAlignment="1">
      <alignment vertical="top" wrapText="1"/>
    </xf>
    <xf numFmtId="0" fontId="70" fillId="0" borderId="27" xfId="3" quotePrefix="1" applyNumberFormat="1" applyFont="1" applyBorder="1" applyAlignment="1">
      <alignment vertical="top" wrapText="1"/>
    </xf>
    <xf numFmtId="0" fontId="69" fillId="0" borderId="26" xfId="3" quotePrefix="1" applyNumberFormat="1" applyFont="1" applyBorder="1" applyAlignment="1">
      <alignment vertical="top" wrapText="1"/>
    </xf>
    <xf numFmtId="0" fontId="70" fillId="0" borderId="42" xfId="3" quotePrefix="1" applyNumberFormat="1" applyFont="1" applyBorder="1"/>
    <xf numFmtId="0" fontId="70" fillId="0" borderId="50" xfId="3" quotePrefix="1" applyNumberFormat="1" applyFont="1" applyBorder="1"/>
    <xf numFmtId="0" fontId="70" fillId="0" borderId="91" xfId="3" quotePrefix="1" applyNumberFormat="1" applyFont="1" applyBorder="1"/>
    <xf numFmtId="0" fontId="70" fillId="0" borderId="93" xfId="3" quotePrefix="1" applyNumberFormat="1" applyFont="1" applyBorder="1"/>
    <xf numFmtId="10" fontId="25" fillId="0" borderId="1" xfId="0" applyNumberFormat="1" applyFont="1" applyBorder="1" applyAlignment="1">
      <alignment horizontal="right"/>
    </xf>
    <xf numFmtId="185" fontId="25" fillId="0" borderId="1" xfId="0" applyNumberFormat="1" applyFont="1" applyBorder="1" applyAlignment="1">
      <alignment horizontal="right"/>
    </xf>
    <xf numFmtId="10" fontId="16" fillId="0" borderId="26" xfId="0" applyNumberFormat="1" applyFont="1" applyBorder="1" applyAlignment="1">
      <alignment horizontal="center" vertical="center" wrapText="1"/>
    </xf>
    <xf numFmtId="166" fontId="16" fillId="0" borderId="26" xfId="0" applyNumberFormat="1" applyFont="1" applyBorder="1" applyAlignment="1">
      <alignment horizontal="center" vertical="center" wrapText="1"/>
    </xf>
    <xf numFmtId="10" fontId="16" fillId="0" borderId="17" xfId="2" applyNumberFormat="1" applyFont="1" applyBorder="1"/>
    <xf numFmtId="10" fontId="25" fillId="2" borderId="17" xfId="0" applyNumberFormat="1" applyFont="1" applyFill="1" applyBorder="1"/>
    <xf numFmtId="10" fontId="16" fillId="0" borderId="20" xfId="0" applyNumberFormat="1" applyFont="1" applyBorder="1"/>
    <xf numFmtId="10" fontId="16" fillId="0" borderId="27" xfId="0" applyNumberFormat="1" applyFont="1" applyBorder="1" applyAlignment="1">
      <alignment horizontal="center" vertical="center" wrapText="1"/>
    </xf>
    <xf numFmtId="166" fontId="16" fillId="0" borderId="53" xfId="2" applyNumberFormat="1" applyFont="1" applyBorder="1"/>
    <xf numFmtId="166" fontId="16" fillId="0" borderId="28" xfId="0" applyNumberFormat="1" applyFont="1" applyBorder="1" applyAlignment="1">
      <alignment horizontal="center" vertical="center" wrapText="1"/>
    </xf>
    <xf numFmtId="166" fontId="25" fillId="2" borderId="23" xfId="0" applyNumberFormat="1" applyFont="1" applyFill="1" applyBorder="1"/>
    <xf numFmtId="166" fontId="16" fillId="0" borderId="25" xfId="0" applyNumberFormat="1" applyFont="1" applyBorder="1" applyAlignment="1">
      <alignment vertical="center" wrapText="1"/>
    </xf>
    <xf numFmtId="10" fontId="16" fillId="0" borderId="26" xfId="2" applyNumberFormat="1" applyFont="1" applyBorder="1" applyAlignment="1">
      <alignment vertical="center" wrapText="1"/>
    </xf>
    <xf numFmtId="166" fontId="12" fillId="0" borderId="26" xfId="0" applyNumberFormat="1" applyFont="1" applyBorder="1" applyAlignment="1">
      <alignment vertical="center" wrapText="1"/>
    </xf>
    <xf numFmtId="0" fontId="9" fillId="2" borderId="15" xfId="0" applyFont="1" applyFill="1" applyBorder="1" applyAlignment="1">
      <alignment horizontal="center"/>
    </xf>
    <xf numFmtId="0" fontId="43" fillId="2" borderId="21" xfId="0" applyFont="1" applyFill="1" applyBorder="1" applyAlignment="1">
      <alignment horizontal="center" vertical="top" wrapText="1"/>
    </xf>
    <xf numFmtId="0" fontId="9" fillId="2" borderId="17" xfId="0" applyFont="1" applyFill="1" applyBorder="1" applyAlignment="1">
      <alignment horizontal="center"/>
    </xf>
    <xf numFmtId="167" fontId="12" fillId="0" borderId="102" xfId="0" applyNumberFormat="1" applyFont="1" applyBorder="1" applyAlignment="1">
      <alignment horizontal="center" vertical="top"/>
    </xf>
    <xf numFmtId="167" fontId="12" fillId="0" borderId="103" xfId="0" applyNumberFormat="1" applyFont="1" applyBorder="1" applyAlignment="1">
      <alignment horizontal="center" vertical="top"/>
    </xf>
    <xf numFmtId="166" fontId="12" fillId="0" borderId="103" xfId="0" applyNumberFormat="1" applyFont="1" applyBorder="1" applyAlignment="1">
      <alignment horizontal="center" vertical="top"/>
    </xf>
    <xf numFmtId="166" fontId="12" fillId="0" borderId="104" xfId="0" applyNumberFormat="1" applyFont="1" applyBorder="1" applyAlignment="1">
      <alignment horizontal="center" vertical="top"/>
    </xf>
    <xf numFmtId="0" fontId="8" fillId="0" borderId="105" xfId="0" applyFont="1" applyBorder="1" applyAlignment="1">
      <alignment horizontal="left" vertical="top"/>
    </xf>
    <xf numFmtId="0" fontId="44" fillId="0" borderId="106" xfId="0" applyFont="1" applyBorder="1" applyAlignment="1">
      <alignment vertical="top" wrapText="1"/>
    </xf>
    <xf numFmtId="0" fontId="8" fillId="0" borderId="107" xfId="0" applyFont="1" applyBorder="1" applyAlignment="1">
      <alignment horizontal="left" vertical="top"/>
    </xf>
    <xf numFmtId="0" fontId="44" fillId="0" borderId="108" xfId="0" applyFont="1" applyBorder="1" applyAlignment="1">
      <alignment vertical="top" wrapText="1"/>
    </xf>
    <xf numFmtId="0" fontId="8" fillId="0" borderId="109" xfId="0" applyFont="1" applyBorder="1" applyAlignment="1">
      <alignment horizontal="left" vertical="top"/>
    </xf>
    <xf numFmtId="0" fontId="44" fillId="0" borderId="110" xfId="0" applyFont="1" applyBorder="1" applyAlignment="1">
      <alignment vertical="top" wrapText="1"/>
    </xf>
    <xf numFmtId="0" fontId="8" fillId="0" borderId="111" xfId="0" applyFont="1" applyBorder="1" applyAlignment="1">
      <alignment horizontal="left" vertical="top"/>
    </xf>
    <xf numFmtId="0" fontId="8" fillId="0" borderId="104" xfId="0" applyFont="1" applyBorder="1" applyAlignment="1">
      <alignment horizontal="left" vertical="top"/>
    </xf>
    <xf numFmtId="166" fontId="12" fillId="0" borderId="111" xfId="0" applyNumberFormat="1" applyFont="1" applyBorder="1" applyAlignment="1">
      <alignment horizontal="center" vertical="top"/>
    </xf>
    <xf numFmtId="0" fontId="44" fillId="0" borderId="111" xfId="0" applyFont="1" applyBorder="1" applyAlignment="1">
      <alignment vertical="top" wrapText="1"/>
    </xf>
    <xf numFmtId="0" fontId="44" fillId="0" borderId="104" xfId="0" applyFont="1" applyBorder="1" applyAlignment="1">
      <alignment vertical="top" wrapText="1"/>
    </xf>
    <xf numFmtId="0" fontId="16" fillId="0" borderId="16" xfId="0" applyFont="1" applyBorder="1" applyAlignment="1">
      <alignment horizontal="right"/>
    </xf>
    <xf numFmtId="165" fontId="14" fillId="0" borderId="15" xfId="0" applyNumberFormat="1" applyFont="1" applyBorder="1" applyAlignment="1">
      <alignment horizontal="right"/>
    </xf>
    <xf numFmtId="165" fontId="14" fillId="0" borderId="21" xfId="0" applyNumberFormat="1" applyFont="1" applyBorder="1" applyAlignment="1">
      <alignment horizontal="right"/>
    </xf>
    <xf numFmtId="165" fontId="58" fillId="9" borderId="17" xfId="1" applyNumberFormat="1" applyFont="1" applyFill="1" applyBorder="1" applyAlignment="1">
      <alignment vertical="center"/>
    </xf>
    <xf numFmtId="165" fontId="58" fillId="9" borderId="16" xfId="1" applyNumberFormat="1" applyFont="1" applyFill="1" applyBorder="1" applyAlignment="1">
      <alignment vertical="center"/>
    </xf>
    <xf numFmtId="165" fontId="58" fillId="9" borderId="21" xfId="1" applyNumberFormat="1" applyFont="1" applyFill="1" applyBorder="1" applyAlignment="1">
      <alignment vertical="center"/>
    </xf>
    <xf numFmtId="165" fontId="35" fillId="9" borderId="15" xfId="1" applyNumberFormat="1" applyFont="1" applyFill="1" applyBorder="1" applyAlignment="1">
      <alignment vertical="center"/>
    </xf>
    <xf numFmtId="165" fontId="35" fillId="9" borderId="16" xfId="1" applyNumberFormat="1" applyFont="1" applyFill="1" applyBorder="1" applyAlignment="1">
      <alignment vertical="center"/>
    </xf>
    <xf numFmtId="165" fontId="35" fillId="9" borderId="21" xfId="1" applyNumberFormat="1" applyFont="1" applyFill="1" applyBorder="1" applyAlignment="1">
      <alignment vertical="center"/>
    </xf>
    <xf numFmtId="186" fontId="16" fillId="0" borderId="1" xfId="0" applyNumberFormat="1" applyFont="1" applyBorder="1"/>
    <xf numFmtId="0" fontId="17" fillId="0" borderId="0" xfId="0" applyFont="1"/>
    <xf numFmtId="0" fontId="25" fillId="4" borderId="22" xfId="0" applyFont="1" applyFill="1" applyBorder="1"/>
    <xf numFmtId="0" fontId="16" fillId="4" borderId="18" xfId="0" applyFont="1" applyFill="1" applyBorder="1"/>
    <xf numFmtId="180" fontId="16" fillId="0" borderId="20" xfId="0" applyNumberFormat="1" applyFont="1" applyBorder="1" applyAlignment="1">
      <alignment horizontal="right"/>
    </xf>
    <xf numFmtId="180" fontId="16" fillId="0" borderId="19" xfId="0" applyNumberFormat="1" applyFont="1" applyBorder="1" applyAlignment="1">
      <alignment horizontal="right"/>
    </xf>
    <xf numFmtId="0" fontId="16" fillId="0" borderId="18" xfId="0" applyFont="1" applyBorder="1"/>
    <xf numFmtId="180" fontId="25" fillId="6" borderId="19" xfId="0" applyNumberFormat="1" applyFont="1" applyFill="1" applyBorder="1" applyAlignment="1">
      <alignment horizontal="right"/>
    </xf>
    <xf numFmtId="180" fontId="16" fillId="6" borderId="19" xfId="0" applyNumberFormat="1" applyFont="1" applyFill="1" applyBorder="1" applyAlignment="1">
      <alignment horizontal="right"/>
    </xf>
    <xf numFmtId="0" fontId="16" fillId="7" borderId="22" xfId="0" applyFont="1" applyFill="1" applyBorder="1"/>
    <xf numFmtId="0" fontId="16" fillId="7" borderId="18" xfId="0" applyFont="1" applyFill="1" applyBorder="1"/>
    <xf numFmtId="180" fontId="16" fillId="0" borderId="22" xfId="0" applyNumberFormat="1" applyFont="1" applyBorder="1" applyAlignment="1">
      <alignment horizontal="right"/>
    </xf>
    <xf numFmtId="180" fontId="16" fillId="0" borderId="24" xfId="0" applyNumberFormat="1" applyFont="1" applyBorder="1" applyAlignment="1">
      <alignment horizontal="right"/>
    </xf>
    <xf numFmtId="0" fontId="16" fillId="0" borderId="12" xfId="0" applyFont="1" applyBorder="1" applyAlignment="1">
      <alignment horizontal="left"/>
    </xf>
    <xf numFmtId="180" fontId="16" fillId="6" borderId="20" xfId="0" applyNumberFormat="1" applyFont="1" applyFill="1" applyBorder="1" applyAlignment="1">
      <alignment horizontal="right"/>
    </xf>
    <xf numFmtId="0" fontId="25" fillId="4" borderId="10" xfId="0" applyFont="1" applyFill="1" applyBorder="1"/>
    <xf numFmtId="0" fontId="16" fillId="4" borderId="10" xfId="0" applyFont="1" applyFill="1" applyBorder="1" applyAlignment="1">
      <alignment horizontal="right"/>
    </xf>
    <xf numFmtId="0" fontId="16" fillId="4" borderId="22" xfId="0" applyFont="1" applyFill="1" applyBorder="1" applyAlignment="1">
      <alignment horizontal="right"/>
    </xf>
    <xf numFmtId="0" fontId="16" fillId="4" borderId="18" xfId="0" applyFont="1" applyFill="1" applyBorder="1" applyAlignment="1">
      <alignment horizontal="right"/>
    </xf>
    <xf numFmtId="0" fontId="16" fillId="4" borderId="10" xfId="0" applyFont="1" applyFill="1" applyBorder="1"/>
    <xf numFmtId="0" fontId="16" fillId="4" borderId="22" xfId="0" applyFont="1" applyFill="1" applyBorder="1"/>
    <xf numFmtId="180" fontId="16" fillId="0" borderId="12" xfId="0" applyNumberFormat="1" applyFont="1" applyBorder="1" applyAlignment="1">
      <alignment horizontal="right"/>
    </xf>
    <xf numFmtId="180" fontId="16" fillId="8" borderId="20" xfId="0" applyNumberFormat="1" applyFont="1" applyFill="1" applyBorder="1" applyAlignment="1">
      <alignment horizontal="right"/>
    </xf>
    <xf numFmtId="180" fontId="16" fillId="0" borderId="13" xfId="0" applyNumberFormat="1" applyFont="1" applyBorder="1" applyAlignment="1">
      <alignment horizontal="right"/>
    </xf>
    <xf numFmtId="180" fontId="16" fillId="0" borderId="23" xfId="0" applyNumberFormat="1" applyFont="1" applyBorder="1" applyAlignment="1">
      <alignment horizontal="right"/>
    </xf>
    <xf numFmtId="176" fontId="16" fillId="0" borderId="0" xfId="1" applyNumberFormat="1" applyFont="1"/>
    <xf numFmtId="180" fontId="16" fillId="6" borderId="23" xfId="0" applyNumberFormat="1" applyFont="1" applyFill="1" applyBorder="1" applyAlignment="1">
      <alignment horizontal="right"/>
    </xf>
    <xf numFmtId="0" fontId="17" fillId="2" borderId="0" xfId="0" applyFont="1" applyFill="1"/>
    <xf numFmtId="0" fontId="33" fillId="0" borderId="0" xfId="0" applyFont="1"/>
    <xf numFmtId="0" fontId="35" fillId="9" borderId="1" xfId="0" applyFont="1" applyFill="1" applyBorder="1"/>
    <xf numFmtId="0" fontId="0" fillId="9" borderId="1" xfId="0" applyFill="1" applyBorder="1"/>
    <xf numFmtId="0" fontId="59" fillId="0" borderId="1" xfId="0" applyFont="1" applyBorder="1" applyAlignment="1">
      <alignment horizontal="center"/>
    </xf>
    <xf numFmtId="180" fontId="59" fillId="0" borderId="1" xfId="0" applyNumberFormat="1" applyFont="1" applyBorder="1" applyAlignment="1">
      <alignment horizontal="center"/>
    </xf>
    <xf numFmtId="0" fontId="16" fillId="0" borderId="2" xfId="0" applyFont="1" applyBorder="1"/>
    <xf numFmtId="0" fontId="14" fillId="0" borderId="15" xfId="0" applyFont="1" applyBorder="1"/>
    <xf numFmtId="0" fontId="61" fillId="6" borderId="0" xfId="0" applyFont="1" applyFill="1"/>
    <xf numFmtId="0" fontId="38" fillId="9" borderId="1" xfId="0" applyFont="1" applyFill="1" applyBorder="1"/>
    <xf numFmtId="0" fontId="38" fillId="9" borderId="1" xfId="0" applyFont="1" applyFill="1" applyBorder="1" applyAlignment="1">
      <alignment horizontal="center"/>
    </xf>
    <xf numFmtId="0" fontId="12" fillId="0" borderId="1" xfId="0" applyFont="1" applyBorder="1"/>
    <xf numFmtId="0" fontId="12" fillId="0" borderId="1" xfId="0" applyFont="1" applyBorder="1" applyAlignment="1">
      <alignment horizontal="center"/>
    </xf>
    <xf numFmtId="180" fontId="16" fillId="0" borderId="1" xfId="0" applyNumberFormat="1" applyFont="1" applyBorder="1" applyAlignment="1">
      <alignment horizontal="center"/>
    </xf>
    <xf numFmtId="0" fontId="62" fillId="0" borderId="0" xfId="0" applyFont="1"/>
    <xf numFmtId="0" fontId="63" fillId="0" borderId="0" xfId="0" applyFont="1"/>
    <xf numFmtId="0" fontId="27" fillId="9" borderId="1" xfId="0" applyFont="1" applyFill="1" applyBorder="1" applyAlignment="1">
      <alignment horizontal="center"/>
    </xf>
    <xf numFmtId="178" fontId="14" fillId="4" borderId="1" xfId="0" applyNumberFormat="1" applyFont="1" applyFill="1" applyBorder="1" applyAlignment="1">
      <alignment horizontal="center"/>
    </xf>
    <xf numFmtId="0" fontId="14" fillId="4" borderId="1" xfId="0" applyFont="1" applyFill="1" applyBorder="1" applyAlignment="1">
      <alignment horizontal="center"/>
    </xf>
    <xf numFmtId="178" fontId="64" fillId="0" borderId="1" xfId="0" applyNumberFormat="1" applyFont="1" applyBorder="1" applyAlignment="1">
      <alignment horizontal="center"/>
    </xf>
    <xf numFmtId="0" fontId="0" fillId="0" borderId="1" xfId="0" applyBorder="1"/>
    <xf numFmtId="187" fontId="12" fillId="0" borderId="1" xfId="0" applyNumberFormat="1" applyFont="1" applyBorder="1" applyAlignment="1">
      <alignment horizontal="center"/>
    </xf>
    <xf numFmtId="0" fontId="65" fillId="0" borderId="0" xfId="0" applyFont="1"/>
    <xf numFmtId="0" fontId="64" fillId="0" borderId="0" xfId="0" applyFont="1"/>
    <xf numFmtId="0" fontId="64" fillId="0" borderId="0" xfId="0" applyFont="1" applyAlignment="1">
      <alignment horizontal="center"/>
    </xf>
    <xf numFmtId="188" fontId="64" fillId="0" borderId="0" xfId="0" applyNumberFormat="1" applyFont="1" applyAlignment="1">
      <alignment horizontal="center"/>
    </xf>
    <xf numFmtId="0" fontId="35" fillId="9" borderId="17" xfId="0" applyFont="1" applyFill="1" applyBorder="1" applyAlignment="1">
      <alignment horizontal="center" vertical="center" wrapText="1"/>
    </xf>
    <xf numFmtId="0" fontId="16" fillId="0" borderId="25" xfId="0" applyFont="1" applyBorder="1" applyAlignment="1">
      <alignment vertical="center" wrapText="1"/>
    </xf>
    <xf numFmtId="0" fontId="16" fillId="0" borderId="26" xfId="0" applyFont="1" applyBorder="1" applyAlignment="1">
      <alignment vertical="center" wrapText="1"/>
    </xf>
    <xf numFmtId="0" fontId="18" fillId="0" borderId="15" xfId="0" applyFont="1" applyBorder="1" applyAlignment="1">
      <alignment vertical="center" wrapText="1"/>
    </xf>
    <xf numFmtId="0" fontId="25" fillId="2" borderId="10" xfId="0" applyFont="1" applyFill="1" applyBorder="1" applyAlignment="1">
      <alignment vertical="center" wrapText="1"/>
    </xf>
    <xf numFmtId="0" fontId="25" fillId="2" borderId="43" xfId="0" applyFont="1" applyFill="1" applyBorder="1" applyAlignment="1">
      <alignment vertical="center" wrapText="1"/>
    </xf>
    <xf numFmtId="0" fontId="25" fillId="2" borderId="43" xfId="0" applyFont="1" applyFill="1" applyBorder="1"/>
    <xf numFmtId="0" fontId="25" fillId="2" borderId="44" xfId="0" applyFont="1" applyFill="1" applyBorder="1"/>
    <xf numFmtId="0" fontId="48" fillId="9" borderId="0" xfId="0" applyFont="1" applyFill="1"/>
    <xf numFmtId="0" fontId="50" fillId="9" borderId="36" xfId="0" applyFont="1" applyFill="1" applyBorder="1"/>
    <xf numFmtId="0" fontId="50" fillId="9" borderId="37" xfId="0" applyFont="1" applyFill="1" applyBorder="1" applyAlignment="1">
      <alignment horizontal="center"/>
    </xf>
    <xf numFmtId="0" fontId="56" fillId="2" borderId="36" xfId="0" applyFont="1" applyFill="1" applyBorder="1"/>
    <xf numFmtId="0" fontId="56" fillId="2" borderId="34" xfId="0" applyFont="1" applyFill="1" applyBorder="1"/>
    <xf numFmtId="0" fontId="50" fillId="9" borderId="0" xfId="0" applyFont="1" applyFill="1"/>
    <xf numFmtId="0" fontId="51" fillId="0" borderId="1" xfId="0" applyFont="1" applyBorder="1"/>
    <xf numFmtId="0" fontId="51" fillId="0" borderId="1" xfId="0" applyFont="1" applyBorder="1" applyAlignment="1">
      <alignment horizontal="right"/>
    </xf>
    <xf numFmtId="0" fontId="52" fillId="0" borderId="1" xfId="0" applyFont="1" applyBorder="1"/>
    <xf numFmtId="0" fontId="53" fillId="0" borderId="1" xfId="0" applyFont="1" applyBorder="1"/>
    <xf numFmtId="0" fontId="51" fillId="0" borderId="36" xfId="0" applyFont="1" applyBorder="1"/>
    <xf numFmtId="187" fontId="51" fillId="0" borderId="37" xfId="0" applyNumberFormat="1" applyFont="1" applyBorder="1" applyAlignment="1">
      <alignment horizontal="right"/>
    </xf>
    <xf numFmtId="0" fontId="53" fillId="8" borderId="36" xfId="0" applyFont="1" applyFill="1" applyBorder="1"/>
    <xf numFmtId="187" fontId="53" fillId="8" borderId="37" xfId="0" applyNumberFormat="1" applyFont="1" applyFill="1" applyBorder="1" applyAlignment="1">
      <alignment horizontal="right"/>
    </xf>
    <xf numFmtId="0" fontId="52" fillId="0" borderId="36" xfId="0" applyFont="1" applyBorder="1"/>
    <xf numFmtId="180" fontId="52" fillId="0" borderId="37" xfId="0" applyNumberFormat="1" applyFont="1" applyBorder="1" applyAlignment="1">
      <alignment horizontal="right"/>
    </xf>
    <xf numFmtId="180" fontId="51" fillId="0" borderId="37" xfId="0" applyNumberFormat="1" applyFont="1" applyBorder="1" applyAlignment="1">
      <alignment horizontal="right"/>
    </xf>
    <xf numFmtId="187" fontId="52" fillId="0" borderId="37" xfId="0" applyNumberFormat="1" applyFont="1" applyBorder="1" applyAlignment="1">
      <alignment horizontal="right"/>
    </xf>
    <xf numFmtId="0" fontId="55" fillId="8" borderId="34" xfId="0" applyFont="1" applyFill="1" applyBorder="1"/>
    <xf numFmtId="0" fontId="48" fillId="9" borderId="35" xfId="0" applyFont="1" applyFill="1" applyBorder="1"/>
    <xf numFmtId="180" fontId="54" fillId="0" borderId="37" xfId="0" applyNumberFormat="1" applyFont="1" applyBorder="1" applyAlignment="1">
      <alignment horizontal="center"/>
    </xf>
    <xf numFmtId="0" fontId="52" fillId="0" borderId="34" xfId="0" applyFont="1" applyBorder="1"/>
    <xf numFmtId="0" fontId="51" fillId="0" borderId="34" xfId="0" applyFont="1" applyBorder="1"/>
    <xf numFmtId="180" fontId="51" fillId="0" borderId="35" xfId="0" applyNumberFormat="1" applyFont="1" applyBorder="1" applyAlignment="1">
      <alignment horizontal="right"/>
    </xf>
    <xf numFmtId="0" fontId="35" fillId="9" borderId="24" xfId="0" applyFont="1" applyFill="1" applyBorder="1" applyAlignment="1">
      <alignment vertical="center"/>
    </xf>
    <xf numFmtId="0" fontId="14" fillId="0" borderId="10" xfId="0" applyFont="1" applyBorder="1"/>
    <xf numFmtId="0" fontId="16" fillId="0" borderId="11" xfId="0" applyFont="1" applyBorder="1"/>
    <xf numFmtId="0" fontId="16" fillId="0" borderId="30" xfId="0" applyFont="1" applyBorder="1"/>
    <xf numFmtId="180" fontId="16" fillId="0" borderId="25" xfId="1" applyNumberFormat="1" applyFont="1" applyBorder="1"/>
    <xf numFmtId="180" fontId="16" fillId="0" borderId="48" xfId="1" applyNumberFormat="1" applyFont="1" applyBorder="1"/>
    <xf numFmtId="0" fontId="16" fillId="0" borderId="31" xfId="0" applyFont="1" applyBorder="1"/>
    <xf numFmtId="180" fontId="16" fillId="0" borderId="26" xfId="1" applyNumberFormat="1" applyFont="1" applyBorder="1"/>
    <xf numFmtId="180" fontId="16" fillId="0" borderId="9" xfId="1" applyNumberFormat="1" applyFont="1" applyBorder="1"/>
    <xf numFmtId="0" fontId="16" fillId="0" borderId="32" xfId="0" applyFont="1" applyBorder="1"/>
    <xf numFmtId="0" fontId="14" fillId="0" borderId="47" xfId="0" applyFont="1" applyBorder="1"/>
    <xf numFmtId="0" fontId="16" fillId="0" borderId="14" xfId="0" applyFont="1" applyBorder="1"/>
    <xf numFmtId="0" fontId="16" fillId="0" borderId="19" xfId="0" applyFont="1" applyBorder="1"/>
    <xf numFmtId="180" fontId="16" fillId="0" borderId="27" xfId="1" applyNumberFormat="1" applyFont="1" applyBorder="1"/>
    <xf numFmtId="180" fontId="16" fillId="0" borderId="33" xfId="1" applyNumberFormat="1" applyFont="1" applyBorder="1"/>
    <xf numFmtId="0" fontId="14" fillId="0" borderId="30" xfId="0" applyFont="1" applyBorder="1"/>
    <xf numFmtId="0" fontId="16" fillId="0" borderId="15" xfId="0" applyFont="1" applyBorder="1"/>
    <xf numFmtId="0" fontId="16" fillId="0" borderId="16" xfId="0" applyFont="1" applyBorder="1"/>
    <xf numFmtId="0" fontId="16" fillId="0" borderId="21" xfId="0" applyFont="1" applyBorder="1"/>
    <xf numFmtId="0" fontId="14" fillId="0" borderId="12" xfId="0" applyFont="1" applyBorder="1"/>
    <xf numFmtId="0" fontId="16" fillId="0" borderId="20" xfId="0" applyFont="1" applyBorder="1"/>
    <xf numFmtId="0" fontId="37" fillId="5" borderId="0" xfId="0" applyFont="1" applyFill="1"/>
    <xf numFmtId="0" fontId="18" fillId="0" borderId="0" xfId="0" applyFont="1"/>
    <xf numFmtId="0" fontId="38" fillId="3" borderId="0" xfId="0" applyFont="1" applyFill="1" applyAlignment="1">
      <alignment horizontal="left"/>
    </xf>
    <xf numFmtId="0" fontId="38" fillId="3" borderId="0" xfId="0" applyFont="1" applyFill="1" applyAlignment="1">
      <alignment horizontal="center"/>
    </xf>
    <xf numFmtId="0" fontId="14" fillId="4" borderId="30" xfId="0" applyFont="1" applyFill="1" applyBorder="1"/>
    <xf numFmtId="0" fontId="14" fillId="4" borderId="25" xfId="0" applyFont="1" applyFill="1" applyBorder="1" applyAlignment="1">
      <alignment vertical="top" wrapText="1"/>
    </xf>
    <xf numFmtId="0" fontId="36" fillId="4" borderId="25" xfId="0" applyFont="1" applyFill="1" applyBorder="1" applyAlignment="1">
      <alignment horizontal="right" vertical="top" wrapText="1"/>
    </xf>
    <xf numFmtId="0" fontId="16" fillId="4" borderId="25" xfId="0" applyFont="1" applyFill="1" applyBorder="1" applyAlignment="1">
      <alignment vertical="top" wrapText="1"/>
    </xf>
    <xf numFmtId="0" fontId="18" fillId="4" borderId="41" xfId="0" applyFont="1" applyFill="1" applyBorder="1" applyAlignment="1">
      <alignment vertical="top" wrapText="1"/>
    </xf>
    <xf numFmtId="0" fontId="16" fillId="0" borderId="26" xfId="0" applyFont="1" applyBorder="1" applyAlignment="1">
      <alignment vertical="top" wrapText="1"/>
    </xf>
    <xf numFmtId="0" fontId="12" fillId="0" borderId="26" xfId="0" applyFont="1" applyBorder="1" applyAlignment="1">
      <alignment horizontal="right" vertical="top" wrapText="1"/>
    </xf>
    <xf numFmtId="0" fontId="41" fillId="0" borderId="42" xfId="0" applyFont="1" applyBorder="1" applyAlignment="1">
      <alignment vertical="top" wrapText="1"/>
    </xf>
    <xf numFmtId="0" fontId="41" fillId="0" borderId="42" xfId="0" quotePrefix="1" applyFont="1" applyBorder="1" applyAlignment="1">
      <alignment vertical="top" wrapText="1"/>
    </xf>
    <xf numFmtId="0" fontId="16" fillId="0" borderId="27" xfId="0" applyFont="1" applyBorder="1" applyAlignment="1">
      <alignment vertical="top" wrapText="1"/>
    </xf>
    <xf numFmtId="0" fontId="12" fillId="0" borderId="27" xfId="0" applyFont="1" applyBorder="1" applyAlignment="1">
      <alignment horizontal="right" vertical="top" wrapText="1"/>
    </xf>
    <xf numFmtId="0" fontId="41" fillId="0" borderId="50" xfId="0" quotePrefix="1" applyFont="1" applyBorder="1" applyAlignment="1">
      <alignment vertical="top" wrapText="1"/>
    </xf>
    <xf numFmtId="0" fontId="16" fillId="0" borderId="0" xfId="0" applyFont="1" applyAlignment="1">
      <alignment vertical="top" wrapText="1"/>
    </xf>
    <xf numFmtId="0" fontId="12" fillId="0" borderId="0" xfId="0" applyFont="1" applyAlignment="1">
      <alignment horizontal="right" vertical="top" wrapText="1"/>
    </xf>
    <xf numFmtId="0" fontId="41" fillId="0" borderId="0" xfId="0" applyFont="1" applyAlignment="1">
      <alignment vertical="top" wrapText="1"/>
    </xf>
    <xf numFmtId="0" fontId="12" fillId="4" borderId="25" xfId="0" applyFont="1" applyFill="1" applyBorder="1" applyAlignment="1">
      <alignment horizontal="right" vertical="top" wrapText="1"/>
    </xf>
    <xf numFmtId="0" fontId="41" fillId="4" borderId="41" xfId="0" applyFont="1" applyFill="1" applyBorder="1" applyAlignment="1">
      <alignment vertical="top" wrapText="1"/>
    </xf>
    <xf numFmtId="0" fontId="16" fillId="0" borderId="26" xfId="0" quotePrefix="1" applyFont="1" applyBorder="1" applyAlignment="1">
      <alignment vertical="top" wrapText="1"/>
    </xf>
    <xf numFmtId="0" fontId="16" fillId="0" borderId="27" xfId="0" quotePrefix="1" applyFont="1" applyBorder="1" applyAlignment="1">
      <alignment vertical="top" wrapText="1"/>
    </xf>
    <xf numFmtId="0" fontId="16" fillId="4" borderId="48" xfId="0" applyFont="1" applyFill="1" applyBorder="1" applyAlignment="1">
      <alignment vertical="top" wrapText="1"/>
    </xf>
    <xf numFmtId="0" fontId="41" fillId="4" borderId="25" xfId="0" applyFont="1" applyFill="1" applyBorder="1" applyAlignment="1">
      <alignment vertical="top" wrapText="1"/>
    </xf>
    <xf numFmtId="0" fontId="16" fillId="0" borderId="9" xfId="0" applyFont="1" applyBorder="1" applyAlignment="1">
      <alignment vertical="top" wrapText="1"/>
    </xf>
    <xf numFmtId="0" fontId="16" fillId="0" borderId="33" xfId="0" applyFont="1" applyBorder="1" applyAlignment="1">
      <alignment vertical="top" wrapText="1"/>
    </xf>
    <xf numFmtId="0" fontId="16" fillId="0" borderId="9" xfId="0" quotePrefix="1" applyFont="1" applyBorder="1" applyAlignment="1">
      <alignment vertical="top" wrapText="1"/>
    </xf>
    <xf numFmtId="0" fontId="12" fillId="0" borderId="0" xfId="0" applyFont="1"/>
    <xf numFmtId="0" fontId="42" fillId="0" borderId="0" xfId="0" applyFont="1"/>
    <xf numFmtId="0" fontId="25" fillId="4" borderId="39" xfId="0" applyFont="1" applyFill="1" applyBorder="1"/>
    <xf numFmtId="0" fontId="25" fillId="4" borderId="51" xfId="0" applyFont="1" applyFill="1" applyBorder="1"/>
    <xf numFmtId="0" fontId="12" fillId="4" borderId="25" xfId="0" applyFont="1" applyFill="1" applyBorder="1"/>
    <xf numFmtId="0" fontId="16" fillId="4" borderId="25" xfId="0" applyFont="1" applyFill="1" applyBorder="1" applyAlignment="1">
      <alignment wrapText="1"/>
    </xf>
    <xf numFmtId="0" fontId="42" fillId="4" borderId="41" xfId="0" applyFont="1" applyFill="1" applyBorder="1"/>
    <xf numFmtId="0" fontId="16" fillId="0" borderId="40" xfId="0" applyFont="1" applyBorder="1"/>
    <xf numFmtId="0" fontId="16" fillId="0" borderId="6" xfId="0" applyFont="1" applyBorder="1"/>
    <xf numFmtId="0" fontId="16" fillId="0" borderId="26" xfId="0" applyFont="1" applyBorder="1" applyAlignment="1">
      <alignment wrapText="1"/>
    </xf>
    <xf numFmtId="0" fontId="16" fillId="0" borderId="49" xfId="0" applyFont="1" applyBorder="1"/>
    <xf numFmtId="0" fontId="16" fillId="0" borderId="52" xfId="0" applyFont="1" applyBorder="1"/>
    <xf numFmtId="0" fontId="16" fillId="0" borderId="27" xfId="0" applyFont="1" applyBorder="1" applyAlignment="1">
      <alignment wrapText="1"/>
    </xf>
    <xf numFmtId="0" fontId="16" fillId="0" borderId="0" xfId="0" applyFont="1" applyAlignment="1">
      <alignment wrapText="1"/>
    </xf>
    <xf numFmtId="0" fontId="12" fillId="0" borderId="26" xfId="0" applyFont="1" applyBorder="1" applyAlignment="1">
      <alignment horizontal="right"/>
    </xf>
    <xf numFmtId="0" fontId="12" fillId="0" borderId="27" xfId="0" applyFont="1" applyBorder="1" applyAlignment="1">
      <alignment horizontal="right"/>
    </xf>
    <xf numFmtId="0" fontId="42" fillId="0" borderId="50" xfId="0" quotePrefix="1" applyFont="1" applyBorder="1"/>
    <xf numFmtId="0" fontId="42" fillId="0" borderId="0" xfId="0" quotePrefix="1" applyFont="1"/>
    <xf numFmtId="0" fontId="16" fillId="0" borderId="39" xfId="0" applyFont="1" applyBorder="1"/>
    <xf numFmtId="0" fontId="14" fillId="4" borderId="89" xfId="0" applyFont="1" applyFill="1" applyBorder="1"/>
    <xf numFmtId="0" fontId="12" fillId="4" borderId="89" xfId="0" applyFont="1" applyFill="1" applyBorder="1" applyAlignment="1">
      <alignment horizontal="right"/>
    </xf>
    <xf numFmtId="0" fontId="16" fillId="4" borderId="89" xfId="0" applyFont="1" applyFill="1" applyBorder="1" applyAlignment="1">
      <alignment wrapText="1"/>
    </xf>
    <xf numFmtId="0" fontId="42" fillId="4" borderId="90" xfId="0" quotePrefix="1" applyFont="1" applyFill="1" applyBorder="1"/>
    <xf numFmtId="0" fontId="12" fillId="0" borderId="1" xfId="0" applyFont="1" applyBorder="1" applyAlignment="1">
      <alignment horizontal="right"/>
    </xf>
    <xf numFmtId="0" fontId="16" fillId="0" borderId="1" xfId="0" applyFont="1" applyBorder="1" applyAlignment="1">
      <alignment wrapText="1"/>
    </xf>
    <xf numFmtId="0" fontId="42" fillId="0" borderId="91" xfId="0" quotePrefix="1" applyFont="1" applyBorder="1"/>
    <xf numFmtId="0" fontId="16" fillId="0" borderId="92" xfId="0" applyFont="1" applyBorder="1"/>
    <xf numFmtId="0" fontId="12" fillId="0" borderId="92" xfId="0" applyFont="1" applyBorder="1" applyAlignment="1">
      <alignment horizontal="right"/>
    </xf>
    <xf numFmtId="0" fontId="16" fillId="0" borderId="92" xfId="0" applyFont="1" applyBorder="1" applyAlignment="1">
      <alignment wrapText="1"/>
    </xf>
    <xf numFmtId="0" fontId="42" fillId="0" borderId="93" xfId="0" quotePrefix="1" applyFont="1" applyBorder="1"/>
    <xf numFmtId="0" fontId="25" fillId="4" borderId="89" xfId="0" applyFont="1" applyFill="1" applyBorder="1"/>
    <xf numFmtId="0" fontId="12" fillId="4" borderId="89" xfId="0" applyFont="1" applyFill="1" applyBorder="1"/>
    <xf numFmtId="0" fontId="42" fillId="4" borderId="90" xfId="0" applyFont="1" applyFill="1" applyBorder="1"/>
    <xf numFmtId="0" fontId="16" fillId="0" borderId="1" xfId="0" quotePrefix="1" applyFont="1" applyBorder="1" applyAlignment="1">
      <alignment wrapText="1"/>
    </xf>
    <xf numFmtId="0" fontId="16" fillId="0" borderId="92" xfId="0" quotePrefix="1" applyFont="1" applyBorder="1" applyAlignment="1">
      <alignment wrapText="1"/>
    </xf>
    <xf numFmtId="0" fontId="14" fillId="4" borderId="39" xfId="0" applyFont="1" applyFill="1" applyBorder="1"/>
    <xf numFmtId="0" fontId="23" fillId="4" borderId="89" xfId="0" applyFont="1" applyFill="1" applyBorder="1"/>
    <xf numFmtId="0" fontId="23" fillId="4" borderId="90" xfId="0" applyFont="1" applyFill="1" applyBorder="1"/>
    <xf numFmtId="0" fontId="23" fillId="0" borderId="40" xfId="0" applyFont="1" applyBorder="1"/>
    <xf numFmtId="0" fontId="71" fillId="0" borderId="91" xfId="0" applyFont="1" applyBorder="1"/>
    <xf numFmtId="0" fontId="23" fillId="0" borderId="49" xfId="0" applyFont="1" applyBorder="1"/>
    <xf numFmtId="187" fontId="16" fillId="0" borderId="92" xfId="0" applyNumberFormat="1" applyFont="1" applyBorder="1" applyAlignment="1">
      <alignment horizontal="right"/>
    </xf>
    <xf numFmtId="0" fontId="19" fillId="0" borderId="92" xfId="0" applyFont="1" applyBorder="1" applyAlignment="1">
      <alignment wrapText="1"/>
    </xf>
    <xf numFmtId="0" fontId="71" fillId="0" borderId="93" xfId="0" applyFont="1" applyBorder="1"/>
    <xf numFmtId="0" fontId="23" fillId="0" borderId="1" xfId="0" applyFont="1" applyBorder="1"/>
    <xf numFmtId="0" fontId="23" fillId="0" borderId="92" xfId="0" applyFont="1" applyBorder="1"/>
    <xf numFmtId="0" fontId="23" fillId="0" borderId="93" xfId="0" applyFont="1" applyBorder="1"/>
    <xf numFmtId="0" fontId="19" fillId="0" borderId="1" xfId="0" applyFont="1" applyBorder="1" applyAlignment="1">
      <alignment wrapText="1"/>
    </xf>
    <xf numFmtId="0" fontId="23" fillId="0" borderId="91" xfId="0" applyFont="1" applyBorder="1"/>
    <xf numFmtId="0" fontId="39" fillId="4" borderId="39" xfId="0" applyFont="1" applyFill="1" applyBorder="1"/>
    <xf numFmtId="0" fontId="39" fillId="4" borderId="89" xfId="0" applyFont="1" applyFill="1" applyBorder="1"/>
    <xf numFmtId="0" fontId="25" fillId="2" borderId="1" xfId="0" applyFont="1" applyFill="1" applyBorder="1"/>
    <xf numFmtId="0" fontId="25" fillId="2" borderId="1" xfId="0" applyFont="1" applyFill="1" applyBorder="1" applyAlignment="1">
      <alignment wrapText="1"/>
    </xf>
    <xf numFmtId="0" fontId="69" fillId="0" borderId="91" xfId="3" applyNumberFormat="1" applyFont="1" applyBorder="1"/>
    <xf numFmtId="0" fontId="19" fillId="2" borderId="1" xfId="0" applyFont="1" applyFill="1" applyBorder="1" applyAlignment="1">
      <alignment wrapText="1"/>
    </xf>
    <xf numFmtId="0" fontId="25" fillId="2" borderId="92" xfId="0" applyFont="1" applyFill="1" applyBorder="1"/>
    <xf numFmtId="0" fontId="25" fillId="2" borderId="92" xfId="0" applyFont="1" applyFill="1" applyBorder="1" applyAlignment="1">
      <alignment wrapText="1"/>
    </xf>
    <xf numFmtId="0" fontId="39" fillId="0" borderId="0" xfId="0" applyFont="1" applyAlignment="1">
      <alignment vertical="top"/>
    </xf>
    <xf numFmtId="0" fontId="40" fillId="0" borderId="0" xfId="0" applyFont="1" applyAlignment="1">
      <alignment vertical="top"/>
    </xf>
    <xf numFmtId="0" fontId="40" fillId="0" borderId="0" xfId="0" applyFont="1"/>
    <xf numFmtId="0" fontId="18" fillId="0" borderId="0" xfId="0" applyFont="1" applyAlignment="1">
      <alignment wrapText="1"/>
    </xf>
    <xf numFmtId="0" fontId="12" fillId="0" borderId="0" xfId="0" applyFont="1" applyAlignment="1">
      <alignment wrapText="1"/>
    </xf>
    <xf numFmtId="0" fontId="42" fillId="0" borderId="0" xfId="0" applyFont="1" applyAlignment="1">
      <alignment wrapText="1"/>
    </xf>
    <xf numFmtId="0" fontId="35" fillId="9" borderId="17" xfId="0" applyFont="1" applyFill="1" applyBorder="1" applyAlignment="1">
      <alignment horizontal="center" vertical="center"/>
    </xf>
    <xf numFmtId="0" fontId="16" fillId="0" borderId="25" xfId="0" applyFont="1" applyBorder="1" applyAlignment="1">
      <alignment horizontal="left" vertical="center" wrapText="1"/>
    </xf>
    <xf numFmtId="180" fontId="16" fillId="0" borderId="25" xfId="0" applyNumberFormat="1" applyFont="1" applyBorder="1" applyAlignment="1">
      <alignment horizontal="center" vertical="center" wrapText="1"/>
    </xf>
    <xf numFmtId="180" fontId="25" fillId="2" borderId="17" xfId="0" applyNumberFormat="1" applyFont="1" applyFill="1" applyBorder="1"/>
    <xf numFmtId="0" fontId="16" fillId="0" borderId="26" xfId="0" applyFont="1" applyBorder="1" applyAlignment="1">
      <alignment horizontal="left" vertical="center" wrapText="1"/>
    </xf>
    <xf numFmtId="0" fontId="16" fillId="0" borderId="27" xfId="0" applyFont="1" applyBorder="1" applyAlignment="1">
      <alignment horizontal="left" vertical="center" wrapText="1"/>
    </xf>
    <xf numFmtId="0" fontId="14" fillId="0" borderId="17" xfId="0" applyFont="1" applyBorder="1" applyAlignment="1">
      <alignment horizontal="center" vertical="center"/>
    </xf>
    <xf numFmtId="0" fontId="14" fillId="0" borderId="17" xfId="0" applyFont="1" applyBorder="1" applyAlignment="1">
      <alignment horizontal="center" vertical="center" wrapText="1"/>
    </xf>
    <xf numFmtId="0" fontId="16" fillId="0" borderId="28" xfId="0" applyFont="1" applyBorder="1" applyAlignment="1">
      <alignment horizontal="left" vertical="center" wrapText="1"/>
    </xf>
    <xf numFmtId="180" fontId="16" fillId="0" borderId="28" xfId="0" applyNumberFormat="1" applyFont="1" applyBorder="1" applyAlignment="1">
      <alignment horizontal="center" vertical="center" wrapText="1"/>
    </xf>
    <xf numFmtId="0" fontId="16" fillId="0" borderId="94" xfId="0" applyFont="1" applyBorder="1"/>
    <xf numFmtId="0" fontId="16" fillId="0" borderId="95" xfId="0" applyFont="1" applyBorder="1"/>
    <xf numFmtId="0" fontId="16" fillId="0" borderId="53" xfId="0" applyFont="1" applyBorder="1" applyAlignment="1">
      <alignment horizontal="left" vertical="center" wrapText="1"/>
    </xf>
    <xf numFmtId="180" fontId="16" fillId="0" borderId="53" xfId="0" applyNumberFormat="1" applyFont="1" applyBorder="1" applyAlignment="1">
      <alignment horizontal="center" vertical="center" wrapText="1"/>
    </xf>
    <xf numFmtId="0" fontId="16" fillId="0" borderId="4" xfId="0" applyFont="1" applyBorder="1"/>
    <xf numFmtId="180" fontId="16" fillId="0" borderId="26" xfId="0" applyNumberFormat="1" applyFont="1" applyBorder="1" applyAlignment="1">
      <alignment horizontal="center" vertical="center" wrapText="1"/>
    </xf>
    <xf numFmtId="0" fontId="16" fillId="0" borderId="26" xfId="0" applyFont="1" applyBorder="1"/>
    <xf numFmtId="0" fontId="16" fillId="0" borderId="96" xfId="0" applyFont="1" applyBorder="1"/>
    <xf numFmtId="0" fontId="14" fillId="0" borderId="17" xfId="0" applyFont="1" applyBorder="1" applyAlignment="1">
      <alignment horizontal="center"/>
    </xf>
    <xf numFmtId="0" fontId="16" fillId="0" borderId="23" xfId="0" applyFont="1" applyBorder="1" applyAlignment="1">
      <alignment horizontal="left" vertical="center" wrapText="1"/>
    </xf>
    <xf numFmtId="182" fontId="16" fillId="0" borderId="23" xfId="1" applyNumberFormat="1" applyFont="1" applyBorder="1" applyAlignment="1">
      <alignment horizontal="center" vertical="center" wrapText="1"/>
    </xf>
    <xf numFmtId="0" fontId="35" fillId="9" borderId="3" xfId="0" applyFont="1" applyFill="1" applyBorder="1" applyAlignment="1">
      <alignment horizontal="center" vertical="center"/>
    </xf>
    <xf numFmtId="0" fontId="35" fillId="9" borderId="7" xfId="0" applyFont="1" applyFill="1" applyBorder="1" applyAlignment="1">
      <alignment horizontal="center" vertical="center"/>
    </xf>
    <xf numFmtId="0" fontId="16" fillId="0" borderId="88" xfId="0" applyFont="1" applyBorder="1" applyAlignment="1">
      <alignment horizontal="center" vertical="center"/>
    </xf>
    <xf numFmtId="0" fontId="14" fillId="0" borderId="21" xfId="0" applyFont="1" applyBorder="1" applyAlignment="1">
      <alignment horizontal="center" vertical="center" wrapText="1"/>
    </xf>
    <xf numFmtId="0" fontId="16" fillId="0" borderId="39" xfId="0" applyFont="1" applyBorder="1" applyAlignment="1">
      <alignment horizontal="center" vertical="center"/>
    </xf>
    <xf numFmtId="0" fontId="16" fillId="0" borderId="97" xfId="0" applyFont="1" applyBorder="1" applyAlignment="1">
      <alignment horizontal="center" vertical="center"/>
    </xf>
    <xf numFmtId="0" fontId="16" fillId="0" borderId="28" xfId="0" applyFont="1" applyBorder="1" applyAlignment="1">
      <alignment vertical="center" wrapText="1"/>
    </xf>
    <xf numFmtId="180" fontId="16" fillId="0" borderId="54" xfId="0" applyNumberFormat="1" applyFont="1" applyBorder="1" applyAlignment="1">
      <alignment horizontal="center" vertical="center" wrapText="1"/>
    </xf>
    <xf numFmtId="180" fontId="16" fillId="0" borderId="23" xfId="1" applyNumberFormat="1" applyFont="1" applyBorder="1" applyAlignment="1">
      <alignment horizontal="center" vertical="center"/>
    </xf>
    <xf numFmtId="180" fontId="16" fillId="0" borderId="42" xfId="0" applyNumberFormat="1" applyFont="1" applyBorder="1" applyAlignment="1">
      <alignment horizontal="center" vertical="center" wrapText="1"/>
    </xf>
    <xf numFmtId="0" fontId="16" fillId="0" borderId="98" xfId="0" applyFont="1" applyBorder="1" applyAlignment="1">
      <alignment horizontal="center" vertical="center"/>
    </xf>
    <xf numFmtId="0" fontId="16" fillId="0" borderId="53" xfId="0" applyFont="1" applyBorder="1" applyAlignment="1">
      <alignment vertical="center" wrapText="1"/>
    </xf>
    <xf numFmtId="180" fontId="16" fillId="0" borderId="55" xfId="0" applyNumberFormat="1" applyFont="1" applyBorder="1" applyAlignment="1">
      <alignment horizontal="center" vertical="center" wrapText="1"/>
    </xf>
    <xf numFmtId="0" fontId="16" fillId="0" borderId="24" xfId="0" applyFont="1" applyBorder="1" applyAlignment="1">
      <alignment vertical="center" wrapText="1"/>
    </xf>
    <xf numFmtId="180" fontId="16" fillId="0" borderId="45" xfId="0" applyNumberFormat="1" applyFont="1" applyBorder="1" applyAlignment="1">
      <alignment horizontal="center" vertical="center"/>
    </xf>
    <xf numFmtId="180" fontId="16" fillId="0" borderId="24" xfId="0" applyNumberFormat="1" applyFont="1" applyBorder="1" applyAlignment="1">
      <alignment horizontal="center" vertical="center"/>
    </xf>
    <xf numFmtId="0" fontId="16" fillId="0" borderId="45" xfId="0" applyFont="1" applyBorder="1" applyAlignment="1">
      <alignment vertical="center" wrapText="1"/>
    </xf>
    <xf numFmtId="180" fontId="16" fillId="0" borderId="46" xfId="0" applyNumberFormat="1" applyFont="1" applyBorder="1" applyAlignment="1">
      <alignment horizontal="center" vertical="center"/>
    </xf>
    <xf numFmtId="0" fontId="16" fillId="0" borderId="46" xfId="0" applyFont="1" applyBorder="1" applyAlignment="1">
      <alignment vertical="center" wrapText="1"/>
    </xf>
    <xf numFmtId="0" fontId="10" fillId="9" borderId="15" xfId="0" applyFont="1" applyFill="1" applyBorder="1" applyAlignment="1">
      <alignment horizontal="center" vertical="center"/>
    </xf>
    <xf numFmtId="0" fontId="10" fillId="9" borderId="17" xfId="0" applyFont="1" applyFill="1" applyBorder="1" applyAlignment="1">
      <alignment horizontal="center" vertical="center"/>
    </xf>
    <xf numFmtId="0" fontId="10" fillId="9" borderId="21" xfId="0" applyFont="1" applyFill="1" applyBorder="1" applyAlignment="1">
      <alignment horizontal="center" vertical="center"/>
    </xf>
    <xf numFmtId="180" fontId="16" fillId="0" borderId="26" xfId="0" applyNumberFormat="1" applyFont="1" applyBorder="1" applyAlignment="1">
      <alignment vertical="center" wrapText="1"/>
    </xf>
    <xf numFmtId="0" fontId="16" fillId="0" borderId="27" xfId="0" applyFont="1" applyBorder="1" applyAlignment="1">
      <alignment vertical="center" wrapText="1"/>
    </xf>
    <xf numFmtId="0" fontId="35" fillId="9" borderId="25" xfId="0" applyFont="1" applyFill="1" applyBorder="1" applyAlignment="1">
      <alignment horizontal="center" vertical="center" wrapText="1"/>
    </xf>
    <xf numFmtId="180" fontId="16" fillId="0" borderId="53" xfId="0" applyNumberFormat="1" applyFont="1" applyBorder="1" applyAlignment="1">
      <alignment vertical="center" wrapText="1"/>
    </xf>
    <xf numFmtId="0" fontId="47" fillId="0" borderId="26" xfId="0" applyFont="1" applyBorder="1"/>
    <xf numFmtId="0" fontId="72" fillId="0" borderId="26" xfId="0" applyFont="1" applyBorder="1" applyAlignment="1">
      <alignment horizontal="center"/>
    </xf>
    <xf numFmtId="180" fontId="12" fillId="0" borderId="17" xfId="0" applyNumberFormat="1" applyFont="1" applyBorder="1"/>
    <xf numFmtId="180" fontId="12" fillId="0" borderId="28" xfId="0" applyNumberFormat="1" applyFont="1" applyBorder="1" applyAlignment="1">
      <alignment vertical="center" wrapText="1"/>
    </xf>
    <xf numFmtId="0" fontId="12" fillId="0" borderId="26" xfId="0" applyFont="1" applyBorder="1" applyAlignment="1">
      <alignment vertical="center" wrapText="1"/>
    </xf>
    <xf numFmtId="180" fontId="12" fillId="0" borderId="26" xfId="0" applyNumberFormat="1" applyFont="1" applyBorder="1" applyAlignment="1">
      <alignment vertical="center" wrapText="1"/>
    </xf>
    <xf numFmtId="0" fontId="57" fillId="2" borderId="53" xfId="0" applyFont="1" applyFill="1" applyBorder="1"/>
    <xf numFmtId="0" fontId="12" fillId="2" borderId="53" xfId="0" applyFont="1" applyFill="1" applyBorder="1" applyAlignment="1">
      <alignment horizontal="center"/>
    </xf>
    <xf numFmtId="0" fontId="13" fillId="0" borderId="17" xfId="0" applyFont="1" applyBorder="1" applyAlignment="1">
      <alignment horizontal="center"/>
    </xf>
    <xf numFmtId="0" fontId="12" fillId="0" borderId="24" xfId="0" applyFont="1" applyBorder="1" applyAlignment="1">
      <alignment horizontal="center"/>
    </xf>
    <xf numFmtId="180" fontId="12" fillId="0" borderId="24" xfId="0" applyNumberFormat="1" applyFont="1" applyBorder="1"/>
    <xf numFmtId="0" fontId="12" fillId="0" borderId="46" xfId="0" applyFont="1" applyBorder="1" applyAlignment="1">
      <alignment horizontal="center"/>
    </xf>
    <xf numFmtId="180" fontId="12" fillId="0" borderId="46" xfId="0" applyNumberFormat="1" applyFont="1" applyBorder="1"/>
    <xf numFmtId="1" fontId="16" fillId="0" borderId="26" xfId="1" applyNumberFormat="1" applyFont="1" applyBorder="1" applyAlignment="1">
      <alignment horizontal="right"/>
    </xf>
    <xf numFmtId="3" fontId="16" fillId="0" borderId="26" xfId="0" applyNumberFormat="1" applyFont="1" applyBorder="1" applyAlignment="1">
      <alignment horizontal="right"/>
    </xf>
    <xf numFmtId="3" fontId="16" fillId="0" borderId="9" xfId="0" applyNumberFormat="1" applyFont="1" applyBorder="1" applyAlignment="1">
      <alignment horizontal="right"/>
    </xf>
    <xf numFmtId="0" fontId="16" fillId="0" borderId="0" xfId="0" applyFont="1" applyAlignment="1">
      <alignment vertical="center" wrapText="1"/>
    </xf>
    <xf numFmtId="0" fontId="28" fillId="0" borderId="0" xfId="0" applyFont="1"/>
    <xf numFmtId="0" fontId="25" fillId="0" borderId="0" xfId="0" applyFont="1" applyAlignment="1">
      <alignment vertical="top" wrapText="1"/>
    </xf>
    <xf numFmtId="0" fontId="20" fillId="0" borderId="0" xfId="0" applyFont="1"/>
    <xf numFmtId="0" fontId="22" fillId="0" borderId="0" xfId="0" applyFont="1"/>
    <xf numFmtId="0" fontId="29" fillId="0" borderId="73" xfId="0" applyFont="1" applyBorder="1" applyAlignment="1">
      <alignment horizontal="center"/>
    </xf>
    <xf numFmtId="0" fontId="29" fillId="0" borderId="61" xfId="0" applyFont="1" applyBorder="1" applyAlignment="1">
      <alignment horizontal="center"/>
    </xf>
    <xf numFmtId="177" fontId="30" fillId="0" borderId="74" xfId="0" applyNumberFormat="1" applyFont="1" applyBorder="1" applyAlignment="1">
      <alignment horizontal="center"/>
    </xf>
    <xf numFmtId="177" fontId="30" fillId="0" borderId="65" xfId="0" applyNumberFormat="1" applyFont="1" applyBorder="1" applyAlignment="1">
      <alignment horizontal="center"/>
    </xf>
    <xf numFmtId="0" fontId="29" fillId="0" borderId="60" xfId="0" applyFont="1" applyBorder="1" applyAlignment="1">
      <alignment horizontal="center"/>
    </xf>
    <xf numFmtId="0" fontId="29" fillId="0" borderId="68" xfId="0" applyFont="1" applyBorder="1" applyAlignment="1">
      <alignment horizontal="center"/>
    </xf>
    <xf numFmtId="175" fontId="30" fillId="0" borderId="64" xfId="0" applyNumberFormat="1" applyFont="1" applyBorder="1" applyAlignment="1">
      <alignment horizontal="center"/>
    </xf>
    <xf numFmtId="175" fontId="30" fillId="0" borderId="69" xfId="0" applyNumberFormat="1" applyFont="1" applyBorder="1" applyAlignment="1">
      <alignment horizontal="center"/>
    </xf>
    <xf numFmtId="167" fontId="30" fillId="0" borderId="64" xfId="0" applyNumberFormat="1" applyFont="1" applyBorder="1" applyAlignment="1">
      <alignment horizontal="center"/>
    </xf>
    <xf numFmtId="167" fontId="30" fillId="0" borderId="65" xfId="0" applyNumberFormat="1" applyFont="1" applyBorder="1" applyAlignment="1">
      <alignment horizontal="center"/>
    </xf>
    <xf numFmtId="0" fontId="66" fillId="0" borderId="79" xfId="0" applyFont="1" applyBorder="1" applyAlignment="1">
      <alignment horizontal="center"/>
    </xf>
    <xf numFmtId="0" fontId="66" fillId="0" borderId="80" xfId="0" applyFont="1" applyBorder="1" applyAlignment="1">
      <alignment horizontal="center"/>
    </xf>
    <xf numFmtId="0" fontId="66" fillId="0" borderId="81" xfId="0" applyFont="1" applyBorder="1" applyAlignment="1">
      <alignment horizontal="center"/>
    </xf>
    <xf numFmtId="0" fontId="29" fillId="0" borderId="82" xfId="0" applyFont="1" applyBorder="1" applyAlignment="1">
      <alignment horizontal="center"/>
    </xf>
    <xf numFmtId="168" fontId="30" fillId="0" borderId="64" xfId="0" applyNumberFormat="1" applyFont="1" applyBorder="1" applyAlignment="1">
      <alignment horizontal="center"/>
    </xf>
    <xf numFmtId="168" fontId="30" fillId="0" borderId="83" xfId="0" applyNumberFormat="1" applyFont="1" applyBorder="1" applyAlignment="1">
      <alignment horizontal="center"/>
    </xf>
    <xf numFmtId="167" fontId="30" fillId="0" borderId="69" xfId="0" applyNumberFormat="1" applyFont="1" applyBorder="1" applyAlignment="1">
      <alignment horizontal="center"/>
    </xf>
    <xf numFmtId="0" fontId="34" fillId="0" borderId="0" xfId="0" applyFont="1" applyAlignment="1">
      <alignment horizontal="left" wrapText="1"/>
    </xf>
    <xf numFmtId="0" fontId="49" fillId="0" borderId="0" xfId="0" applyFont="1" applyAlignment="1">
      <alignment horizontal="left" wrapText="1"/>
    </xf>
    <xf numFmtId="0" fontId="18" fillId="0" borderId="0" xfId="0" applyFont="1" applyAlignment="1">
      <alignment horizontal="left" wrapText="1"/>
    </xf>
    <xf numFmtId="0" fontId="19" fillId="0" borderId="0" xfId="0" applyFont="1" applyAlignment="1">
      <alignment horizontal="left" wrapText="1"/>
    </xf>
    <xf numFmtId="0" fontId="10" fillId="9" borderId="99" xfId="0" applyFont="1" applyFill="1" applyBorder="1" applyAlignment="1">
      <alignment horizontal="center"/>
    </xf>
    <xf numFmtId="0" fontId="10" fillId="9" borderId="100" xfId="0" applyFont="1" applyFill="1" applyBorder="1" applyAlignment="1">
      <alignment horizontal="center"/>
    </xf>
    <xf numFmtId="0" fontId="10" fillId="9" borderId="101" xfId="0" applyFont="1" applyFill="1" applyBorder="1" applyAlignment="1">
      <alignment horizontal="center"/>
    </xf>
    <xf numFmtId="0" fontId="45" fillId="0" borderId="99" xfId="0" applyFont="1" applyBorder="1" applyAlignment="1">
      <alignment horizontal="left" wrapText="1"/>
    </xf>
    <xf numFmtId="0" fontId="8" fillId="0" borderId="100" xfId="0" applyFont="1" applyBorder="1"/>
    <xf numFmtId="0" fontId="8" fillId="0" borderId="101" xfId="0" applyFont="1" applyBorder="1"/>
    <xf numFmtId="0" fontId="16" fillId="0" borderId="30" xfId="0" applyFont="1" applyBorder="1" applyAlignment="1">
      <alignment wrapText="1"/>
    </xf>
  </cellXfs>
  <cellStyles count="4">
    <cellStyle name="Comma" xfId="1" builtinId="3"/>
    <cellStyle name="Hyperlink" xfId="3" builtinId="8"/>
    <cellStyle name="Normal" xfId="0" builtinId="0"/>
    <cellStyle name="Percent" xfId="2" builtinId="5"/>
  </cellStyles>
  <dxfs count="2">
    <dxf>
      <font>
        <color rgb="FF006100"/>
      </font>
      <fill>
        <patternFill patternType="solid">
          <fgColor indexed="64"/>
          <bgColor rgb="FF63BE7B"/>
        </patternFill>
      </fill>
    </dxf>
    <dxf>
      <font>
        <color rgb="FF9C0006"/>
      </font>
      <fill>
        <patternFill patternType="solid">
          <fgColor indexed="64"/>
          <bgColor rgb="FFF8696B"/>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r>
              <a:rPr lang="en-US"/>
              <a:t>Liquidity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lotArea>
      <c:layout>
        <c:manualLayout>
          <c:layoutTarget val="inner"/>
          <c:xMode val="edge"/>
          <c:yMode val="edge"/>
          <c:x val="0.10687446452613113"/>
          <c:y val="0.24350000000000002"/>
          <c:w val="0.86826458868807199"/>
          <c:h val="0.40654724409448817"/>
        </c:manualLayout>
      </c:layout>
      <c:lineChart>
        <c:grouping val="standard"/>
        <c:varyColors val="0"/>
        <c:ser>
          <c:idx val="0"/>
          <c:order val="0"/>
          <c:tx>
            <c:v>Ending Cash</c:v>
          </c:tx>
          <c:spPr>
            <a:ln w="28575" cap="rnd">
              <a:solidFill>
                <a:schemeClr val="accent1"/>
              </a:solidFill>
              <a:round/>
            </a:ln>
            <a:effectLst/>
          </c:spPr>
          <c:marker>
            <c:symbol val="none"/>
          </c:marker>
          <c:cat>
            <c:strRef>
              <c:f>'12_Balance Sheet'!$B$2:$AK$2</c:f>
              <c:strCache>
                <c:ptCount val="36"/>
                <c:pt idx="0">
                  <c:v>M1</c:v>
                </c:pt>
                <c:pt idx="1">
                  <c:v>M2</c:v>
                </c:pt>
                <c:pt idx="2">
                  <c:v>M3</c:v>
                </c:pt>
                <c:pt idx="3">
                  <c:v>M4</c:v>
                </c:pt>
                <c:pt idx="4">
                  <c:v>M5</c:v>
                </c:pt>
                <c:pt idx="5">
                  <c:v>M6</c:v>
                </c:pt>
                <c:pt idx="6">
                  <c:v>M7</c:v>
                </c:pt>
                <c:pt idx="7">
                  <c:v>M8</c:v>
                </c:pt>
                <c:pt idx="8">
                  <c:v>M9</c:v>
                </c:pt>
                <c:pt idx="9">
                  <c:v>M10</c:v>
                </c:pt>
                <c:pt idx="10">
                  <c:v>M11</c:v>
                </c:pt>
                <c:pt idx="11">
                  <c:v>M12</c:v>
                </c:pt>
                <c:pt idx="12">
                  <c:v>M13</c:v>
                </c:pt>
                <c:pt idx="13">
                  <c:v>M14</c:v>
                </c:pt>
                <c:pt idx="14">
                  <c:v>M15</c:v>
                </c:pt>
                <c:pt idx="15">
                  <c:v>M16</c:v>
                </c:pt>
                <c:pt idx="16">
                  <c:v>M17</c:v>
                </c:pt>
                <c:pt idx="17">
                  <c:v>M18</c:v>
                </c:pt>
                <c:pt idx="18">
                  <c:v>M19</c:v>
                </c:pt>
                <c:pt idx="19">
                  <c:v>M20</c:v>
                </c:pt>
                <c:pt idx="20">
                  <c:v>M21</c:v>
                </c:pt>
                <c:pt idx="21">
                  <c:v>M22</c:v>
                </c:pt>
                <c:pt idx="22">
                  <c:v>M23</c:v>
                </c:pt>
                <c:pt idx="23">
                  <c:v>M24</c:v>
                </c:pt>
                <c:pt idx="24">
                  <c:v>M25</c:v>
                </c:pt>
                <c:pt idx="25">
                  <c:v>M26</c:v>
                </c:pt>
                <c:pt idx="26">
                  <c:v>M27</c:v>
                </c:pt>
                <c:pt idx="27">
                  <c:v>M28</c:v>
                </c:pt>
                <c:pt idx="28">
                  <c:v>M29</c:v>
                </c:pt>
                <c:pt idx="29">
                  <c:v>M30</c:v>
                </c:pt>
                <c:pt idx="30">
                  <c:v>M31</c:v>
                </c:pt>
                <c:pt idx="31">
                  <c:v>M32</c:v>
                </c:pt>
                <c:pt idx="32">
                  <c:v>M33</c:v>
                </c:pt>
                <c:pt idx="33">
                  <c:v>M34</c:v>
                </c:pt>
                <c:pt idx="34">
                  <c:v>M35</c:v>
                </c:pt>
                <c:pt idx="35">
                  <c:v>M36</c:v>
                </c:pt>
              </c:strCache>
            </c:strRef>
          </c:cat>
          <c:val>
            <c:numRef>
              <c:f>'12_Balance Sheet'!$B$4:$AK$4</c:f>
              <c:numCache>
                <c:formatCode>_-* #,##0_-;\-* #,##0_-;_-* "-"??_-;_-@_-</c:formatCode>
                <c:ptCount val="36"/>
                <c:pt idx="0">
                  <c:v>6017852.4848484844</c:v>
                </c:pt>
                <c:pt idx="1">
                  <c:v>4743304.9879247444</c:v>
                </c:pt>
                <c:pt idx="2">
                  <c:v>3481708.2396822153</c:v>
                </c:pt>
                <c:pt idx="3">
                  <c:v>3228978.2630430111</c:v>
                </c:pt>
                <c:pt idx="4">
                  <c:v>3976878.0358263496</c:v>
                </c:pt>
                <c:pt idx="5">
                  <c:v>2729684.1334284358</c:v>
                </c:pt>
                <c:pt idx="6">
                  <c:v>10459670.717619456</c:v>
                </c:pt>
                <c:pt idx="7">
                  <c:v>9125298.8713232689</c:v>
                </c:pt>
                <c:pt idx="8">
                  <c:v>7646976.6038842723</c:v>
                </c:pt>
                <c:pt idx="9">
                  <c:v>6118560.0262367139</c:v>
                </c:pt>
                <c:pt idx="10">
                  <c:v>4526835.4290680364</c:v>
                </c:pt>
                <c:pt idx="11">
                  <c:v>12874133.930565173</c:v>
                </c:pt>
                <c:pt idx="12">
                  <c:v>11153889.422529377</c:v>
                </c:pt>
                <c:pt idx="13">
                  <c:v>9150211.7774353102</c:v>
                </c:pt>
                <c:pt idx="14">
                  <c:v>7178264.7888214635</c:v>
                </c:pt>
                <c:pt idx="15">
                  <c:v>5247055.3670738414</c:v>
                </c:pt>
                <c:pt idx="16">
                  <c:v>3351614.4251126042</c:v>
                </c:pt>
                <c:pt idx="17">
                  <c:v>1493716.7909960379</c:v>
                </c:pt>
                <c:pt idx="18">
                  <c:v>39681899.418511361</c:v>
                </c:pt>
                <c:pt idx="19">
                  <c:v>37770023.696954951</c:v>
                </c:pt>
                <c:pt idx="20">
                  <c:v>35298329.611050531</c:v>
                </c:pt>
                <c:pt idx="21">
                  <c:v>32845344.124347519</c:v>
                </c:pt>
                <c:pt idx="22">
                  <c:v>30410824.444926787</c:v>
                </c:pt>
                <c:pt idx="23">
                  <c:v>28023148.689547006</c:v>
                </c:pt>
                <c:pt idx="24">
                  <c:v>25710428.084922865</c:v>
                </c:pt>
                <c:pt idx="25">
                  <c:v>23494615.19903589</c:v>
                </c:pt>
                <c:pt idx="26">
                  <c:v>21361642.545743871</c:v>
                </c:pt>
                <c:pt idx="27">
                  <c:v>19309159.877129886</c:v>
                </c:pt>
                <c:pt idx="28">
                  <c:v>17350062.451622117</c:v>
                </c:pt>
                <c:pt idx="29">
                  <c:v>15470798.541719556</c:v>
                </c:pt>
                <c:pt idx="30">
                  <c:v>13683146.422991501</c:v>
                </c:pt>
                <c:pt idx="31">
                  <c:v>11994339.065711124</c:v>
                </c:pt>
                <c:pt idx="32">
                  <c:v>10391308.73188002</c:v>
                </c:pt>
                <c:pt idx="33">
                  <c:v>8898161.6633593515</c:v>
                </c:pt>
                <c:pt idx="34">
                  <c:v>7525045.0312134521</c:v>
                </c:pt>
                <c:pt idx="35">
                  <c:v>6274006.3020740934</c:v>
                </c:pt>
              </c:numCache>
            </c:numRef>
          </c:val>
          <c:smooth val="0"/>
          <c:extLst>
            <c:ext xmlns:c16="http://schemas.microsoft.com/office/drawing/2014/chart" uri="{C3380CC4-5D6E-409C-BE32-E72D297353CC}">
              <c16:uniqueId val="{00000000-6B77-4BF1-B158-73848FD24A1A}"/>
            </c:ext>
          </c:extLst>
        </c:ser>
        <c:dLbls>
          <c:showLegendKey val="0"/>
          <c:showVal val="0"/>
          <c:showCatName val="0"/>
          <c:showSerName val="0"/>
          <c:showPercent val="0"/>
          <c:showBubbleSize val="0"/>
        </c:dLbls>
        <c:smooth val="0"/>
        <c:axId val="533121424"/>
        <c:axId val="56563952"/>
      </c:lineChart>
      <c:catAx>
        <c:axId val="53312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56563952"/>
        <c:crosses val="autoZero"/>
        <c:auto val="1"/>
        <c:lblAlgn val="ctr"/>
        <c:lblOffset val="100"/>
        <c:tickLblSkip val="3"/>
        <c:noMultiLvlLbl val="0"/>
      </c:catAx>
      <c:valAx>
        <c:axId val="56563952"/>
        <c:scaling>
          <c:orientation val="minMax"/>
        </c:scaling>
        <c:delete val="0"/>
        <c:axPos val="l"/>
        <c:numFmt formatCode="[$$-409]#,##0&quot;M&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533121424"/>
        <c:crosses val="autoZero"/>
        <c:crossBetween val="between"/>
        <c:dispUnits>
          <c:builtInUnit val="millions"/>
          <c:dispUnitsLbl>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ispUnitsLbl>
        </c:dispUnits>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Calibri" panose="020F0502020204030204" pitchFamily="34" charset="0"/>
          <a:ea typeface="Calibri" panose="020F0502020204030204" pitchFamily="34" charset="0"/>
          <a:cs typeface="Calibri" panose="020F0502020204030204" pitchFamily="34" charset="0"/>
        </a:defRPr>
      </a:pPr>
      <a:endParaRPr lang="en-US"/>
    </a:p>
  </c:txPr>
  <c:printSettings>
    <c:headerFooter/>
    <c:pageMargins b="0.75" l="0.7" r="0.7" t="0.75" header="0.3" footer="0.3"/>
    <c:pageSetup/>
  </c:printSettings>
  <c:userShapes r:id="rId3"/>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r>
              <a:rPr lang="en-US"/>
              <a:t>Growth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lotArea>
      <c:layout/>
      <c:lineChart>
        <c:grouping val="standard"/>
        <c:varyColors val="0"/>
        <c:ser>
          <c:idx val="0"/>
          <c:order val="0"/>
          <c:tx>
            <c:v>Monthly Revenue</c:v>
          </c:tx>
          <c:spPr>
            <a:ln w="28575" cap="rnd">
              <a:solidFill>
                <a:schemeClr val="accent1"/>
              </a:solidFill>
              <a:round/>
            </a:ln>
            <a:effectLst/>
          </c:spPr>
          <c:marker>
            <c:symbol val="none"/>
          </c:marker>
          <c:cat>
            <c:strRef>
              <c:f>'03_KPIs'!$B$2:$AK$2</c:f>
              <c:strCache>
                <c:ptCount val="36"/>
                <c:pt idx="0">
                  <c:v>M1</c:v>
                </c:pt>
                <c:pt idx="1">
                  <c:v>M2</c:v>
                </c:pt>
                <c:pt idx="2">
                  <c:v>M3</c:v>
                </c:pt>
                <c:pt idx="3">
                  <c:v>M4</c:v>
                </c:pt>
                <c:pt idx="4">
                  <c:v>M5</c:v>
                </c:pt>
                <c:pt idx="5">
                  <c:v>M6</c:v>
                </c:pt>
                <c:pt idx="6">
                  <c:v>M7</c:v>
                </c:pt>
                <c:pt idx="7">
                  <c:v>M8</c:v>
                </c:pt>
                <c:pt idx="8">
                  <c:v>M9</c:v>
                </c:pt>
                <c:pt idx="9">
                  <c:v>M10</c:v>
                </c:pt>
                <c:pt idx="10">
                  <c:v>M11</c:v>
                </c:pt>
                <c:pt idx="11">
                  <c:v>M12</c:v>
                </c:pt>
                <c:pt idx="12">
                  <c:v>M13</c:v>
                </c:pt>
                <c:pt idx="13">
                  <c:v>M14</c:v>
                </c:pt>
                <c:pt idx="14">
                  <c:v>M15</c:v>
                </c:pt>
                <c:pt idx="15">
                  <c:v>M16</c:v>
                </c:pt>
                <c:pt idx="16">
                  <c:v>M17</c:v>
                </c:pt>
                <c:pt idx="17">
                  <c:v>M18</c:v>
                </c:pt>
                <c:pt idx="18">
                  <c:v>M19</c:v>
                </c:pt>
                <c:pt idx="19">
                  <c:v>M20</c:v>
                </c:pt>
                <c:pt idx="20">
                  <c:v>M21</c:v>
                </c:pt>
                <c:pt idx="21">
                  <c:v>M22</c:v>
                </c:pt>
                <c:pt idx="22">
                  <c:v>M23</c:v>
                </c:pt>
                <c:pt idx="23">
                  <c:v>M24</c:v>
                </c:pt>
                <c:pt idx="24">
                  <c:v>M25</c:v>
                </c:pt>
                <c:pt idx="25">
                  <c:v>M26</c:v>
                </c:pt>
                <c:pt idx="26">
                  <c:v>M27</c:v>
                </c:pt>
                <c:pt idx="27">
                  <c:v>M28</c:v>
                </c:pt>
                <c:pt idx="28">
                  <c:v>M29</c:v>
                </c:pt>
                <c:pt idx="29">
                  <c:v>M30</c:v>
                </c:pt>
                <c:pt idx="30">
                  <c:v>M31</c:v>
                </c:pt>
                <c:pt idx="31">
                  <c:v>M32</c:v>
                </c:pt>
                <c:pt idx="32">
                  <c:v>M33</c:v>
                </c:pt>
                <c:pt idx="33">
                  <c:v>M34</c:v>
                </c:pt>
                <c:pt idx="34">
                  <c:v>M35</c:v>
                </c:pt>
                <c:pt idx="35">
                  <c:v>M36</c:v>
                </c:pt>
              </c:strCache>
            </c:strRef>
          </c:cat>
          <c:val>
            <c:numRef>
              <c:f>'10_Income_Statement'!$B$3:$AK$3</c:f>
              <c:numCache>
                <c:formatCode>_-* #,##0_-;\-* #,##0_-;_-* "-"??_-;_-@_-</c:formatCode>
                <c:ptCount val="36"/>
                <c:pt idx="0">
                  <c:v>23405.909090909088</c:v>
                </c:pt>
                <c:pt idx="1">
                  <c:v>47017.437645580161</c:v>
                </c:pt>
                <c:pt idx="2">
                  <c:v>70855.280541673623</c:v>
                </c:pt>
                <c:pt idx="3">
                  <c:v>94940.121725969642</c:v>
                </c:pt>
                <c:pt idx="4">
                  <c:v>119292.65252067958</c:v>
                </c:pt>
                <c:pt idx="5">
                  <c:v>143933.58974160935</c:v>
                </c:pt>
                <c:pt idx="6">
                  <c:v>168883.69364606455</c:v>
                </c:pt>
                <c:pt idx="7">
                  <c:v>194163.78572804714</c:v>
                </c:pt>
                <c:pt idx="8">
                  <c:v>222808.69032036638</c:v>
                </c:pt>
                <c:pt idx="9">
                  <c:v>250063.0990341187</c:v>
                </c:pt>
                <c:pt idx="10">
                  <c:v>277747.19190866943</c:v>
                </c:pt>
                <c:pt idx="11">
                  <c:v>305881.49413440633</c:v>
                </c:pt>
                <c:pt idx="12">
                  <c:v>408711.85012110823</c:v>
                </c:pt>
                <c:pt idx="13">
                  <c:v>511607.44881690334</c:v>
                </c:pt>
                <c:pt idx="14">
                  <c:v>614634.1944675718</c:v>
                </c:pt>
                <c:pt idx="15">
                  <c:v>717859.58968616312</c:v>
                </c:pt>
                <c:pt idx="16">
                  <c:v>821352.59662664041</c:v>
                </c:pt>
                <c:pt idx="17">
                  <c:v>925183.51600341918</c:v>
                </c:pt>
                <c:pt idx="18">
                  <c:v>1029423.8824034148</c:v>
                </c:pt>
                <c:pt idx="19">
                  <c:v>1273853.2385560749</c:v>
                </c:pt>
                <c:pt idx="20">
                  <c:v>1518034.7942146023</c:v>
                </c:pt>
                <c:pt idx="21">
                  <c:v>1762126.8758079261</c:v>
                </c:pt>
                <c:pt idx="22">
                  <c:v>2006291.1371973851</c:v>
                </c:pt>
                <c:pt idx="23">
                  <c:v>2250692.2428264613</c:v>
                </c:pt>
                <c:pt idx="24">
                  <c:v>2495497.5921520996</c:v>
                </c:pt>
                <c:pt idx="25">
                  <c:v>2740877.081737468</c:v>
                </c:pt>
                <c:pt idx="26">
                  <c:v>2987002.901702506</c:v>
                </c:pt>
                <c:pt idx="27">
                  <c:v>3234049.3635184239</c:v>
                </c:pt>
                <c:pt idx="28">
                  <c:v>3482192.7563976464</c:v>
                </c:pt>
                <c:pt idx="29">
                  <c:v>3731611.2297737431</c:v>
                </c:pt>
                <c:pt idx="30">
                  <c:v>3982484.6995882662</c:v>
                </c:pt>
                <c:pt idx="31">
                  <c:v>4234994.7763052406</c:v>
                </c:pt>
                <c:pt idx="32">
                  <c:v>4489324.7127604196</c:v>
                </c:pt>
                <c:pt idx="33">
                  <c:v>4745659.3701232625</c:v>
                </c:pt>
                <c:pt idx="34">
                  <c:v>5004185.2004058324</c:v>
                </c:pt>
                <c:pt idx="35">
                  <c:v>5265090.2440959737</c:v>
                </c:pt>
              </c:numCache>
            </c:numRef>
          </c:val>
          <c:smooth val="0"/>
          <c:extLst>
            <c:ext xmlns:c16="http://schemas.microsoft.com/office/drawing/2014/chart" uri="{C3380CC4-5D6E-409C-BE32-E72D297353CC}">
              <c16:uniqueId val="{00000000-8F0A-42BE-9CBC-0D4D7A173AF8}"/>
            </c:ext>
          </c:extLst>
        </c:ser>
        <c:dLbls>
          <c:showLegendKey val="0"/>
          <c:showVal val="0"/>
          <c:showCatName val="0"/>
          <c:showSerName val="0"/>
          <c:showPercent val="0"/>
          <c:showBubbleSize val="0"/>
        </c:dLbls>
        <c:marker val="1"/>
        <c:smooth val="0"/>
        <c:axId val="1414689296"/>
        <c:axId val="1414689776"/>
      </c:lineChart>
      <c:lineChart>
        <c:grouping val="standard"/>
        <c:varyColors val="0"/>
        <c:ser>
          <c:idx val="1"/>
          <c:order val="1"/>
          <c:tx>
            <c:v>ARR</c:v>
          </c:tx>
          <c:spPr>
            <a:ln w="28575" cap="rnd">
              <a:solidFill>
                <a:schemeClr val="accent2"/>
              </a:solidFill>
              <a:round/>
            </a:ln>
            <a:effectLst/>
          </c:spPr>
          <c:marker>
            <c:symbol val="none"/>
          </c:marker>
          <c:cat>
            <c:strRef>
              <c:f>'03_KPIs'!$B$2:$AK$2</c:f>
              <c:strCache>
                <c:ptCount val="36"/>
                <c:pt idx="0">
                  <c:v>M1</c:v>
                </c:pt>
                <c:pt idx="1">
                  <c:v>M2</c:v>
                </c:pt>
                <c:pt idx="2">
                  <c:v>M3</c:v>
                </c:pt>
                <c:pt idx="3">
                  <c:v>M4</c:v>
                </c:pt>
                <c:pt idx="4">
                  <c:v>M5</c:v>
                </c:pt>
                <c:pt idx="5">
                  <c:v>M6</c:v>
                </c:pt>
                <c:pt idx="6">
                  <c:v>M7</c:v>
                </c:pt>
                <c:pt idx="7">
                  <c:v>M8</c:v>
                </c:pt>
                <c:pt idx="8">
                  <c:v>M9</c:v>
                </c:pt>
                <c:pt idx="9">
                  <c:v>M10</c:v>
                </c:pt>
                <c:pt idx="10">
                  <c:v>M11</c:v>
                </c:pt>
                <c:pt idx="11">
                  <c:v>M12</c:v>
                </c:pt>
                <c:pt idx="12">
                  <c:v>M13</c:v>
                </c:pt>
                <c:pt idx="13">
                  <c:v>M14</c:v>
                </c:pt>
                <c:pt idx="14">
                  <c:v>M15</c:v>
                </c:pt>
                <c:pt idx="15">
                  <c:v>M16</c:v>
                </c:pt>
                <c:pt idx="16">
                  <c:v>M17</c:v>
                </c:pt>
                <c:pt idx="17">
                  <c:v>M18</c:v>
                </c:pt>
                <c:pt idx="18">
                  <c:v>M19</c:v>
                </c:pt>
                <c:pt idx="19">
                  <c:v>M20</c:v>
                </c:pt>
                <c:pt idx="20">
                  <c:v>M21</c:v>
                </c:pt>
                <c:pt idx="21">
                  <c:v>M22</c:v>
                </c:pt>
                <c:pt idx="22">
                  <c:v>M23</c:v>
                </c:pt>
                <c:pt idx="23">
                  <c:v>M24</c:v>
                </c:pt>
                <c:pt idx="24">
                  <c:v>M25</c:v>
                </c:pt>
                <c:pt idx="25">
                  <c:v>M26</c:v>
                </c:pt>
                <c:pt idx="26">
                  <c:v>M27</c:v>
                </c:pt>
                <c:pt idx="27">
                  <c:v>M28</c:v>
                </c:pt>
                <c:pt idx="28">
                  <c:v>M29</c:v>
                </c:pt>
                <c:pt idx="29">
                  <c:v>M30</c:v>
                </c:pt>
                <c:pt idx="30">
                  <c:v>M31</c:v>
                </c:pt>
                <c:pt idx="31">
                  <c:v>M32</c:v>
                </c:pt>
                <c:pt idx="32">
                  <c:v>M33</c:v>
                </c:pt>
                <c:pt idx="33">
                  <c:v>M34</c:v>
                </c:pt>
                <c:pt idx="34">
                  <c:v>M35</c:v>
                </c:pt>
                <c:pt idx="35">
                  <c:v>M36</c:v>
                </c:pt>
              </c:strCache>
            </c:strRef>
          </c:cat>
          <c:val>
            <c:numRef>
              <c:f>'03_KPIs'!$B$5:$AK$5</c:f>
              <c:numCache>
                <c:formatCode>_-* #,##0_-;\-* #,##0_-;_-* "-"??_-;_-@_-</c:formatCode>
                <c:ptCount val="36"/>
                <c:pt idx="0">
                  <c:v>150681.81818181818</c:v>
                </c:pt>
                <c:pt idx="1">
                  <c:v>302687.36681703967</c:v>
                </c:pt>
                <c:pt idx="2">
                  <c:v>456149.87473180436</c:v>
                </c:pt>
                <c:pt idx="3">
                  <c:v>611202.50038177881</c:v>
                </c:pt>
                <c:pt idx="4">
                  <c:v>767978.44970394578</c:v>
                </c:pt>
                <c:pt idx="5">
                  <c:v>926611.09275714192</c:v>
                </c:pt>
                <c:pt idx="6">
                  <c:v>1087234.07926651</c:v>
                </c:pt>
                <c:pt idx="7">
                  <c:v>1249981.4531848528</c:v>
                </c:pt>
                <c:pt idx="8">
                  <c:v>1420591.1179366733</c:v>
                </c:pt>
                <c:pt idx="9">
                  <c:v>1599394.2059552306</c:v>
                </c:pt>
                <c:pt idx="10">
                  <c:v>1781112.9201254065</c:v>
                </c:pt>
                <c:pt idx="11">
                  <c:v>1965872.4563499847</c:v>
                </c:pt>
                <c:pt idx="12">
                  <c:v>2627047.2482936643</c:v>
                </c:pt>
                <c:pt idx="13">
                  <c:v>3290476.6722871615</c:v>
                </c:pt>
                <c:pt idx="14">
                  <c:v>3956421.7899321327</c:v>
                </c:pt>
                <c:pt idx="15">
                  <c:v>4625169.2428908758</c:v>
                </c:pt>
                <c:pt idx="16">
                  <c:v>5297029.0596183287</c:v>
                </c:pt>
                <c:pt idx="17">
                  <c:v>5972332.6870059902</c:v>
                </c:pt>
                <c:pt idx="18">
                  <c:v>6651431.2277295962</c:v>
                </c:pt>
                <c:pt idx="19">
                  <c:v>8225441.5737620769</c:v>
                </c:pt>
                <c:pt idx="20">
                  <c:v>9802033.942296369</c:v>
                </c:pt>
                <c:pt idx="21">
                  <c:v>11381848.650626071</c:v>
                </c:pt>
                <c:pt idx="22">
                  <c:v>12965583.052909199</c:v>
                </c:pt>
                <c:pt idx="23">
                  <c:v>14553986.466122959</c:v>
                </c:pt>
                <c:pt idx="24">
                  <c:v>16147855.618820144</c:v>
                </c:pt>
                <c:pt idx="25">
                  <c:v>17748030.577862509</c:v>
                </c:pt>
                <c:pt idx="26">
                  <c:v>19355391.112141844</c:v>
                </c:pt>
                <c:pt idx="27">
                  <c:v>20970853.45581308</c:v>
                </c:pt>
                <c:pt idx="28">
                  <c:v>22595367.436782576</c:v>
                </c:pt>
                <c:pt idx="29">
                  <c:v>24229913.939143572</c:v>
                </c:pt>
                <c:pt idx="30">
                  <c:v>25875502.670951962</c:v>
                </c:pt>
                <c:pt idx="31">
                  <c:v>27533170.211210132</c:v>
                </c:pt>
                <c:pt idx="32">
                  <c:v>29203978.31219317</c:v>
                </c:pt>
                <c:pt idx="33">
                  <c:v>30889012.435328349</c:v>
                </c:pt>
                <c:pt idx="34">
                  <c:v>32589380.500740364</c:v>
                </c:pt>
                <c:pt idx="35">
                  <c:v>34306211.832317397</c:v>
                </c:pt>
              </c:numCache>
            </c:numRef>
          </c:val>
          <c:smooth val="0"/>
          <c:extLst>
            <c:ext xmlns:c16="http://schemas.microsoft.com/office/drawing/2014/chart" uri="{C3380CC4-5D6E-409C-BE32-E72D297353CC}">
              <c16:uniqueId val="{00000001-8F0A-42BE-9CBC-0D4D7A173AF8}"/>
            </c:ext>
          </c:extLst>
        </c:ser>
        <c:dLbls>
          <c:showLegendKey val="0"/>
          <c:showVal val="0"/>
          <c:showCatName val="0"/>
          <c:showSerName val="0"/>
          <c:showPercent val="0"/>
          <c:showBubbleSize val="0"/>
        </c:dLbls>
        <c:marker val="1"/>
        <c:smooth val="0"/>
        <c:axId val="554850800"/>
        <c:axId val="1366503696"/>
      </c:lineChart>
      <c:catAx>
        <c:axId val="141468929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r>
                  <a:rPr lang="en-US"/>
                  <a:t>Month</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1414689776"/>
        <c:crosses val="autoZero"/>
        <c:auto val="1"/>
        <c:lblAlgn val="ctr"/>
        <c:lblOffset val="100"/>
        <c:tickLblSkip val="3"/>
        <c:tickMarkSkip val="3"/>
        <c:noMultiLvlLbl val="0"/>
      </c:catAx>
      <c:valAx>
        <c:axId val="1414689776"/>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r>
                  <a:rPr lang="en-US"/>
                  <a:t>Monthly Revenue ($)</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title>
        <c:numFmt formatCode="[$$-409]#,##0&quot;M&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1414689296"/>
        <c:crosses val="autoZero"/>
        <c:crossBetween val="between"/>
        <c:dispUnits>
          <c:builtInUnit val="millions"/>
          <c:dispUnitsLbl>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ispUnitsLbl>
        </c:dispUnits>
      </c:valAx>
      <c:valAx>
        <c:axId val="1366503696"/>
        <c:scaling>
          <c:orientation val="minMax"/>
        </c:scaling>
        <c:delete val="0"/>
        <c:axPos val="r"/>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r>
                  <a:rPr lang="en-US"/>
                  <a:t>ARR ($)</a:t>
                </a:r>
              </a:p>
            </c:rich>
          </c:tx>
          <c:layout>
            <c:manualLayout>
              <c:xMode val="edge"/>
              <c:yMode val="edge"/>
              <c:x val="0.95303756385290539"/>
              <c:y val="0.19554938520493734"/>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title>
        <c:numFmt formatCode="[$$-409]#,##0&quot;M&quot;"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accent2"/>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554850800"/>
        <c:crosses val="max"/>
        <c:crossBetween val="between"/>
        <c:dispUnits>
          <c:builtInUnit val="millions"/>
          <c:dispUnitsLbl>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ispUnitsLbl>
        </c:dispUnits>
      </c:valAx>
      <c:catAx>
        <c:axId val="554850800"/>
        <c:scaling>
          <c:orientation val="minMax"/>
        </c:scaling>
        <c:delete val="1"/>
        <c:axPos val="b"/>
        <c:numFmt formatCode="General" sourceLinked="1"/>
        <c:majorTickMark val="out"/>
        <c:minorTickMark val="none"/>
        <c:tickLblPos val="nextTo"/>
        <c:crossAx val="1366503696"/>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Calibri" panose="020F0502020204030204" pitchFamily="34" charset="0"/>
          <a:ea typeface="Calibri" panose="020F0502020204030204" pitchFamily="34" charset="0"/>
          <a:cs typeface="Calibri" panose="020F0502020204030204" pitchFamily="34" charset="0"/>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v>Lifetime Value per CAC</c:v>
          </c:tx>
          <c:spPr>
            <a:ln w="28575" cap="rnd">
              <a:solidFill>
                <a:schemeClr val="accent1"/>
              </a:solidFill>
              <a:round/>
            </a:ln>
            <a:effectLst/>
          </c:spPr>
          <c:marker>
            <c:symbol val="none"/>
          </c:marker>
          <c:cat>
            <c:strRef>
              <c:f>'03_KPIs'!$B$2:$AK$2</c:f>
              <c:strCache>
                <c:ptCount val="36"/>
                <c:pt idx="0">
                  <c:v>M1</c:v>
                </c:pt>
                <c:pt idx="1">
                  <c:v>M2</c:v>
                </c:pt>
                <c:pt idx="2">
                  <c:v>M3</c:v>
                </c:pt>
                <c:pt idx="3">
                  <c:v>M4</c:v>
                </c:pt>
                <c:pt idx="4">
                  <c:v>M5</c:v>
                </c:pt>
                <c:pt idx="5">
                  <c:v>M6</c:v>
                </c:pt>
                <c:pt idx="6">
                  <c:v>M7</c:v>
                </c:pt>
                <c:pt idx="7">
                  <c:v>M8</c:v>
                </c:pt>
                <c:pt idx="8">
                  <c:v>M9</c:v>
                </c:pt>
                <c:pt idx="9">
                  <c:v>M10</c:v>
                </c:pt>
                <c:pt idx="10">
                  <c:v>M11</c:v>
                </c:pt>
                <c:pt idx="11">
                  <c:v>M12</c:v>
                </c:pt>
                <c:pt idx="12">
                  <c:v>M13</c:v>
                </c:pt>
                <c:pt idx="13">
                  <c:v>M14</c:v>
                </c:pt>
                <c:pt idx="14">
                  <c:v>M15</c:v>
                </c:pt>
                <c:pt idx="15">
                  <c:v>M16</c:v>
                </c:pt>
                <c:pt idx="16">
                  <c:v>M17</c:v>
                </c:pt>
                <c:pt idx="17">
                  <c:v>M18</c:v>
                </c:pt>
                <c:pt idx="18">
                  <c:v>M19</c:v>
                </c:pt>
                <c:pt idx="19">
                  <c:v>M20</c:v>
                </c:pt>
                <c:pt idx="20">
                  <c:v>M21</c:v>
                </c:pt>
                <c:pt idx="21">
                  <c:v>M22</c:v>
                </c:pt>
                <c:pt idx="22">
                  <c:v>M23</c:v>
                </c:pt>
                <c:pt idx="23">
                  <c:v>M24</c:v>
                </c:pt>
                <c:pt idx="24">
                  <c:v>M25</c:v>
                </c:pt>
                <c:pt idx="25">
                  <c:v>M26</c:v>
                </c:pt>
                <c:pt idx="26">
                  <c:v>M27</c:v>
                </c:pt>
                <c:pt idx="27">
                  <c:v>M28</c:v>
                </c:pt>
                <c:pt idx="28">
                  <c:v>M29</c:v>
                </c:pt>
                <c:pt idx="29">
                  <c:v>M30</c:v>
                </c:pt>
                <c:pt idx="30">
                  <c:v>M31</c:v>
                </c:pt>
                <c:pt idx="31">
                  <c:v>M32</c:v>
                </c:pt>
                <c:pt idx="32">
                  <c:v>M33</c:v>
                </c:pt>
                <c:pt idx="33">
                  <c:v>M34</c:v>
                </c:pt>
                <c:pt idx="34">
                  <c:v>M35</c:v>
                </c:pt>
                <c:pt idx="35">
                  <c:v>M36</c:v>
                </c:pt>
              </c:strCache>
            </c:strRef>
          </c:cat>
          <c:val>
            <c:numRef>
              <c:f>'03_KPIs'!$B$9:$AK$9</c:f>
              <c:numCache>
                <c:formatCode>_(* #,##0.00_);_(* \(#,##0.00\);_(* "-"??_);_(@_)</c:formatCode>
                <c:ptCount val="36"/>
                <c:pt idx="0">
                  <c:v>4.8831168831168821</c:v>
                </c:pt>
                <c:pt idx="1">
                  <c:v>4.9076551589114388</c:v>
                </c:pt>
                <c:pt idx="2">
                  <c:v>4.9323167426245629</c:v>
                </c:pt>
                <c:pt idx="3">
                  <c:v>4.9571022538940337</c:v>
                </c:pt>
                <c:pt idx="4">
                  <c:v>4.9820123154713896</c:v>
                </c:pt>
                <c:pt idx="5">
                  <c:v>5.0070475532375776</c:v>
                </c:pt>
                <c:pt idx="6">
                  <c:v>5.0322085962186707</c:v>
                </c:pt>
                <c:pt idx="7">
                  <c:v>5.0574960766016801</c:v>
                </c:pt>
                <c:pt idx="8">
                  <c:v>5.1692930736975198</c:v>
                </c:pt>
                <c:pt idx="9">
                  <c:v>5.2183221837463991</c:v>
                </c:pt>
                <c:pt idx="10">
                  <c:v>5.2639516564774249</c:v>
                </c:pt>
                <c:pt idx="11">
                  <c:v>5.3070258503542842</c:v>
                </c:pt>
                <c:pt idx="12">
                  <c:v>5.3345415678806507</c:v>
                </c:pt>
                <c:pt idx="13">
                  <c:v>5.3661154476358925</c:v>
                </c:pt>
                <c:pt idx="14">
                  <c:v>5.3995229151868243</c:v>
                </c:pt>
                <c:pt idx="15">
                  <c:v>5.4338338077676909</c:v>
                </c:pt>
                <c:pt idx="16">
                  <c:v>5.4685977742691589</c:v>
                </c:pt>
                <c:pt idx="17">
                  <c:v>5.5035756833714187</c:v>
                </c:pt>
                <c:pt idx="18">
                  <c:v>5.5386329919530608</c:v>
                </c:pt>
                <c:pt idx="19">
                  <c:v>5.5612981642720758</c:v>
                </c:pt>
                <c:pt idx="20">
                  <c:v>5.5891456316407124</c:v>
                </c:pt>
                <c:pt idx="21">
                  <c:v>5.6198516877171096</c:v>
                </c:pt>
                <c:pt idx="22">
                  <c:v>5.6522477412830652</c:v>
                </c:pt>
                <c:pt idx="23">
                  <c:v>5.6856872006338675</c:v>
                </c:pt>
                <c:pt idx="24">
                  <c:v>5.7197873407549942</c:v>
                </c:pt>
                <c:pt idx="25">
                  <c:v>5.7543103369374791</c:v>
                </c:pt>
                <c:pt idx="26">
                  <c:v>5.7891031605178185</c:v>
                </c:pt>
                <c:pt idx="27">
                  <c:v>5.8240649571502008</c:v>
                </c:pt>
                <c:pt idx="28">
                  <c:v>5.8591282929140664</c:v>
                </c:pt>
                <c:pt idx="29">
                  <c:v>5.8942478518653907</c:v>
                </c:pt>
                <c:pt idx="30">
                  <c:v>5.9293933508026928</c:v>
                </c:pt>
                <c:pt idx="31">
                  <c:v>5.9645449473973455</c:v>
                </c:pt>
                <c:pt idx="32">
                  <c:v>5.9996901784852259</c:v>
                </c:pt>
                <c:pt idx="33">
                  <c:v>6.0348218681251051</c:v>
                </c:pt>
                <c:pt idx="34">
                  <c:v>6.069936667752529</c:v>
                </c:pt>
                <c:pt idx="35">
                  <c:v>6.1050340186193068</c:v>
                </c:pt>
              </c:numCache>
            </c:numRef>
          </c:val>
          <c:smooth val="0"/>
          <c:extLst>
            <c:ext xmlns:c16="http://schemas.microsoft.com/office/drawing/2014/chart" uri="{C3380CC4-5D6E-409C-BE32-E72D297353CC}">
              <c16:uniqueId val="{00000001-1AD1-4C6B-8B1C-1F4A640EF35C}"/>
            </c:ext>
          </c:extLst>
        </c:ser>
        <c:dLbls>
          <c:showLegendKey val="0"/>
          <c:showVal val="0"/>
          <c:showCatName val="0"/>
          <c:showSerName val="0"/>
          <c:showPercent val="0"/>
          <c:showBubbleSize val="0"/>
        </c:dLbls>
        <c:smooth val="0"/>
        <c:axId val="289193952"/>
        <c:axId val="289199712"/>
      </c:lineChart>
      <c:catAx>
        <c:axId val="2891939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9199712"/>
        <c:crosses val="autoZero"/>
        <c:auto val="1"/>
        <c:lblAlgn val="ctr"/>
        <c:lblOffset val="100"/>
        <c:tickLblSkip val="6"/>
        <c:noMultiLvlLbl val="0"/>
      </c:catAx>
      <c:valAx>
        <c:axId val="289199712"/>
        <c:scaling>
          <c:orientation val="minMax"/>
        </c:scaling>
        <c:delete val="0"/>
        <c:axPos val="l"/>
        <c:numFmt formatCode="[$$-409]#,##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919395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r>
              <a:rPr lang="en-US"/>
              <a:t>Customers &amp; Monthly Revenue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lotArea>
      <c:layout/>
      <c:barChart>
        <c:barDir val="col"/>
        <c:grouping val="clustered"/>
        <c:varyColors val="0"/>
        <c:ser>
          <c:idx val="0"/>
          <c:order val="0"/>
          <c:tx>
            <c:strRef>
              <c:f>'01_Dashboard'!$I$27</c:f>
              <c:strCache>
                <c:ptCount val="1"/>
                <c:pt idx="0">
                  <c:v>Active Customers</c:v>
                </c:pt>
              </c:strCache>
            </c:strRef>
          </c:tx>
          <c:spPr>
            <a:solidFill>
              <a:srgbClr val="1F3864"/>
            </a:solidFill>
            <a:ln>
              <a:noFill/>
            </a:ln>
            <a:effectLst/>
          </c:spPr>
          <c:invertIfNegative val="0"/>
          <c:dLbls>
            <c:dLbl>
              <c:idx val="0"/>
              <c:layout>
                <c:manualLayout>
                  <c:x val="2.701034602592738E-3"/>
                  <c:y val="-4.968944099378887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3FDC-4F3B-88BF-D467EC547201}"/>
                </c:ext>
              </c:extLst>
            </c:dLbl>
            <c:dLbl>
              <c:idx val="1"/>
              <c:layout>
                <c:manualLayout>
                  <c:x val="-8.1031038077782145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3FDC-4F3B-88BF-D467EC547201}"/>
                </c:ext>
              </c:extLst>
            </c:dLbl>
            <c:dLbl>
              <c:idx val="2"/>
              <c:layout>
                <c:manualLayout>
                  <c:x val="-1.8907242218149167E-2"/>
                  <c:y val="-6.2111801242236021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3FDC-4F3B-88BF-D467EC547201}"/>
                </c:ext>
              </c:extLst>
            </c:dLbl>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'01_Dashboard'!$H$28:$H$30</c:f>
              <c:strCache>
                <c:ptCount val="3"/>
                <c:pt idx="0">
                  <c:v>M12</c:v>
                </c:pt>
                <c:pt idx="1">
                  <c:v>M24</c:v>
                </c:pt>
                <c:pt idx="2">
                  <c:v>M36</c:v>
                </c:pt>
              </c:strCache>
            </c:strRef>
          </c:cat>
          <c:val>
            <c:numRef>
              <c:f>'01_Dashboard'!$I$28:$I$30</c:f>
              <c:numCache>
                <c:formatCode>#,##0</c:formatCode>
                <c:ptCount val="3"/>
                <c:pt idx="0">
                  <c:v>12832.772307007614</c:v>
                </c:pt>
                <c:pt idx="1">
                  <c:v>93754.294247173864</c:v>
                </c:pt>
                <c:pt idx="2">
                  <c:v>217365.78663681325</c:v>
                </c:pt>
              </c:numCache>
            </c:numRef>
          </c:val>
          <c:extLst>
            <c:ext xmlns:c16="http://schemas.microsoft.com/office/drawing/2014/chart" uri="{C3380CC4-5D6E-409C-BE32-E72D297353CC}">
              <c16:uniqueId val="{00000000-3FDC-4F3B-88BF-D467EC547201}"/>
            </c:ext>
          </c:extLst>
        </c:ser>
        <c:dLbls>
          <c:showLegendKey val="0"/>
          <c:showVal val="1"/>
          <c:showCatName val="0"/>
          <c:showSerName val="0"/>
          <c:showPercent val="0"/>
          <c:showBubbleSize val="0"/>
        </c:dLbls>
        <c:gapWidth val="219"/>
        <c:overlap val="-27"/>
        <c:axId val="1654589808"/>
        <c:axId val="1654597008"/>
      </c:barChart>
      <c:lineChart>
        <c:grouping val="standard"/>
        <c:varyColors val="0"/>
        <c:ser>
          <c:idx val="1"/>
          <c:order val="1"/>
          <c:tx>
            <c:strRef>
              <c:f>'01_Dashboard'!$J$27</c:f>
              <c:strCache>
                <c:ptCount val="1"/>
                <c:pt idx="0">
                  <c:v>Monthly Revenue</c:v>
                </c:pt>
              </c:strCache>
            </c:strRef>
          </c:tx>
          <c:spPr>
            <a:ln w="28575" cap="rnd">
              <a:solidFill>
                <a:srgbClr val="C00000"/>
              </a:solidFill>
              <a:prstDash val="solid"/>
              <a:round/>
            </a:ln>
            <a:effectLst/>
          </c:spPr>
          <c:marker>
            <c:symbol val="none"/>
          </c:marker>
          <c:dLbls>
            <c:dLbl>
              <c:idx val="0"/>
              <c:layout>
                <c:manualLayout>
                  <c:x val="-0.12154655711667324"/>
                  <c:y val="-3.726708074534161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3FDC-4F3B-88BF-D467EC547201}"/>
                </c:ext>
              </c:extLst>
            </c:dLbl>
            <c:dLbl>
              <c:idx val="1"/>
              <c:layout>
                <c:manualLayout>
                  <c:x val="1.6206207615556429E-2"/>
                  <c:y val="-6.2111801242236593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3FDC-4F3B-88BF-D467EC547201}"/>
                </c:ext>
              </c:extLst>
            </c:dLbl>
            <c:dLbl>
              <c:idx val="2"/>
              <c:layout>
                <c:manualLayout>
                  <c:x val="-9.9036791346935612E-17"/>
                  <c:y val="-1.863354037267080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3FDC-4F3B-88BF-D467EC547201}"/>
                </c:ext>
              </c:extLst>
            </c:dLbl>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'01_Dashboard'!$H$28:$H$30</c:f>
              <c:strCache>
                <c:ptCount val="3"/>
                <c:pt idx="0">
                  <c:v>M12</c:v>
                </c:pt>
                <c:pt idx="1">
                  <c:v>M24</c:v>
                </c:pt>
                <c:pt idx="2">
                  <c:v>M36</c:v>
                </c:pt>
              </c:strCache>
            </c:strRef>
          </c:cat>
          <c:val>
            <c:numRef>
              <c:f>'01_Dashboard'!$J$28:$J$30</c:f>
              <c:numCache>
                <c:formatCode>[$$-409]#,##0,"K"</c:formatCode>
                <c:ptCount val="3"/>
                <c:pt idx="0">
                  <c:v>305881.49413440633</c:v>
                </c:pt>
                <c:pt idx="1">
                  <c:v>2250692.2428264613</c:v>
                </c:pt>
                <c:pt idx="2">
                  <c:v>5265090.2440959737</c:v>
                </c:pt>
              </c:numCache>
            </c:numRef>
          </c:val>
          <c:smooth val="0"/>
          <c:extLst>
            <c:ext xmlns:c16="http://schemas.microsoft.com/office/drawing/2014/chart" uri="{C3380CC4-5D6E-409C-BE32-E72D297353CC}">
              <c16:uniqueId val="{00000001-3FDC-4F3B-88BF-D467EC547201}"/>
            </c:ext>
          </c:extLst>
        </c:ser>
        <c:dLbls>
          <c:showLegendKey val="0"/>
          <c:showVal val="1"/>
          <c:showCatName val="0"/>
          <c:showSerName val="0"/>
          <c:showPercent val="0"/>
          <c:showBubbleSize val="0"/>
        </c:dLbls>
        <c:marker val="1"/>
        <c:smooth val="0"/>
        <c:axId val="1654627248"/>
        <c:axId val="1654613808"/>
      </c:lineChart>
      <c:catAx>
        <c:axId val="16545898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1654597008"/>
        <c:crosses val="autoZero"/>
        <c:auto val="1"/>
        <c:lblAlgn val="ctr"/>
        <c:lblOffset val="100"/>
        <c:noMultiLvlLbl val="0"/>
      </c:catAx>
      <c:valAx>
        <c:axId val="1654597008"/>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C00000"/>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1654589808"/>
        <c:crosses val="autoZero"/>
        <c:crossBetween val="between"/>
      </c:valAx>
      <c:valAx>
        <c:axId val="1654613808"/>
        <c:scaling>
          <c:orientation val="minMax"/>
        </c:scaling>
        <c:delete val="0"/>
        <c:axPos val="r"/>
        <c:numFmt formatCode="[$$-409]#,##0,&quot;K&quot;"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1654627248"/>
        <c:crosses val="max"/>
        <c:crossBetween val="between"/>
      </c:valAx>
      <c:catAx>
        <c:axId val="1654627248"/>
        <c:scaling>
          <c:orientation val="minMax"/>
        </c:scaling>
        <c:delete val="1"/>
        <c:axPos val="b"/>
        <c:numFmt formatCode="General" sourceLinked="1"/>
        <c:majorTickMark val="out"/>
        <c:minorTickMark val="none"/>
        <c:tickLblPos val="nextTo"/>
        <c:crossAx val="1654613808"/>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Calibri" panose="020F0502020204030204" pitchFamily="34" charset="0"/>
          <a:ea typeface="Calibri" panose="020F0502020204030204" pitchFamily="34" charset="0"/>
          <a:cs typeface="Calibri" panose="020F0502020204030204" pitchFamily="34" charset="0"/>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6</xdr:col>
      <xdr:colOff>25401</xdr:colOff>
      <xdr:row>4</xdr:row>
      <xdr:rowOff>25400</xdr:rowOff>
    </xdr:from>
    <xdr:to>
      <xdr:col>10</xdr:col>
      <xdr:colOff>1238250</xdr:colOff>
      <xdr:row>13</xdr:row>
      <xdr:rowOff>157480</xdr:rowOff>
    </xdr:to>
    <xdr:graphicFrame macro="">
      <xdr:nvGraphicFramePr>
        <xdr:cNvPr id="3" name="Chart 2">
          <a:extLst>
            <a:ext uri="{FF2B5EF4-FFF2-40B4-BE49-F238E27FC236}">
              <a16:creationId xmlns:a16="http://schemas.microsoft.com/office/drawing/2014/main" id="{5AA4DF4A-6871-BDF0-4A72-8C976F99B93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25400</xdr:colOff>
      <xdr:row>4</xdr:row>
      <xdr:rowOff>25400</xdr:rowOff>
    </xdr:from>
    <xdr:to>
      <xdr:col>5</xdr:col>
      <xdr:colOff>1117600</xdr:colOff>
      <xdr:row>13</xdr:row>
      <xdr:rowOff>157480</xdr:rowOff>
    </xdr:to>
    <xdr:graphicFrame macro="">
      <xdr:nvGraphicFramePr>
        <xdr:cNvPr id="2" name="Chart 1">
          <a:extLst>
            <a:ext uri="{FF2B5EF4-FFF2-40B4-BE49-F238E27FC236}">
              <a16:creationId xmlns:a16="http://schemas.microsoft.com/office/drawing/2014/main" id="{AFFD41C0-DA69-5050-A4E3-0A828FDEF1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25400</xdr:colOff>
      <xdr:row>15</xdr:row>
      <xdr:rowOff>25400</xdr:rowOff>
    </xdr:from>
    <xdr:to>
      <xdr:col>2</xdr:col>
      <xdr:colOff>1117600</xdr:colOff>
      <xdr:row>21</xdr:row>
      <xdr:rowOff>157480</xdr:rowOff>
    </xdr:to>
    <xdr:graphicFrame macro="">
      <xdr:nvGraphicFramePr>
        <xdr:cNvPr id="4" name="Chart 3">
          <a:extLst>
            <a:ext uri="{FF2B5EF4-FFF2-40B4-BE49-F238E27FC236}">
              <a16:creationId xmlns:a16="http://schemas.microsoft.com/office/drawing/2014/main" id="{B266C2C0-8975-3FC4-3C5C-4C2C2A94EA8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976</xdr:colOff>
      <xdr:row>21</xdr:row>
      <xdr:rowOff>8596</xdr:rowOff>
    </xdr:from>
    <xdr:to>
      <xdr:col>10</xdr:col>
      <xdr:colOff>1238250</xdr:colOff>
      <xdr:row>30</xdr:row>
      <xdr:rowOff>4639</xdr:rowOff>
    </xdr:to>
    <xdr:graphicFrame macro="">
      <xdr:nvGraphicFramePr>
        <xdr:cNvPr id="6" name="Chart 5">
          <a:extLst>
            <a:ext uri="{FF2B5EF4-FFF2-40B4-BE49-F238E27FC236}">
              <a16:creationId xmlns:a16="http://schemas.microsoft.com/office/drawing/2014/main" id="{B541519D-0512-F70F-3916-359812FDD06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c:userShapes xmlns:c="http://schemas.openxmlformats.org/drawingml/2006/chart">
  <cdr:relSizeAnchor xmlns:cdr="http://schemas.openxmlformats.org/drawingml/2006/chartDrawing">
    <cdr:from>
      <cdr:x>0.21815</cdr:x>
      <cdr:y>0.00324</cdr:y>
    </cdr:from>
    <cdr:to>
      <cdr:x>0.21815</cdr:x>
      <cdr:y>0.99768</cdr:y>
    </cdr:to>
    <cdr:cxnSp macro="">
      <cdr:nvCxnSpPr>
        <cdr:cNvPr id="3" name="Straight Connector 2">
          <a:extLst xmlns:a="http://schemas.openxmlformats.org/drawingml/2006/main">
            <a:ext uri="{FF2B5EF4-FFF2-40B4-BE49-F238E27FC236}">
              <a16:creationId xmlns:a16="http://schemas.microsoft.com/office/drawing/2014/main" id="{D8812B70-32A1-13F2-32A9-6C6EA53728B1}"/>
            </a:ext>
          </a:extLst>
        </cdr:cNvPr>
        <cdr:cNvCxnSpPr/>
      </cdr:nvCxnSpPr>
      <cdr:spPr>
        <a:xfrm xmlns:a="http://schemas.openxmlformats.org/drawingml/2006/main">
          <a:off x="1688410" y="7620"/>
          <a:ext cx="0" cy="2340416"/>
        </a:xfrm>
        <a:prstGeom xmlns:a="http://schemas.openxmlformats.org/drawingml/2006/main" prst="line">
          <a:avLst/>
        </a:prstGeom>
        <a:ln xmlns:a="http://schemas.openxmlformats.org/drawingml/2006/main">
          <a:solidFill>
            <a:srgbClr val="FFC000"/>
          </a:solidFill>
        </a:ln>
      </cdr:spPr>
      <cdr:style>
        <a:lnRef xmlns:a="http://schemas.openxmlformats.org/drawingml/2006/main" idx="2">
          <a:schemeClr val="accent1"/>
        </a:lnRef>
        <a:fillRef xmlns:a="http://schemas.openxmlformats.org/drawingml/2006/main" idx="0">
          <a:schemeClr val="accent1"/>
        </a:fillRef>
        <a:effectRef xmlns:a="http://schemas.openxmlformats.org/drawingml/2006/main" idx="1">
          <a:schemeClr val="accent1"/>
        </a:effectRef>
        <a:fontRef xmlns:a="http://schemas.openxmlformats.org/drawingml/2006/main" idx="minor">
          <a:schemeClr val="tx1"/>
        </a:fontRef>
      </cdr:style>
    </cdr:cxnSp>
  </cdr:relSizeAnchor>
  <cdr:relSizeAnchor xmlns:cdr="http://schemas.openxmlformats.org/drawingml/2006/chartDrawing">
    <cdr:from>
      <cdr:x>0.20838</cdr:x>
      <cdr:y>0.76012</cdr:y>
    </cdr:from>
    <cdr:to>
      <cdr:x>0.33338</cdr:x>
      <cdr:y>0.99072</cdr:y>
    </cdr:to>
    <cdr:sp macro="" textlink="">
      <cdr:nvSpPr>
        <cdr:cNvPr id="4" name="TextBox 3">
          <a:extLst xmlns:a="http://schemas.openxmlformats.org/drawingml/2006/main">
            <a:ext uri="{FF2B5EF4-FFF2-40B4-BE49-F238E27FC236}">
              <a16:creationId xmlns:a16="http://schemas.microsoft.com/office/drawing/2014/main" id="{6186C3ED-018E-45DC-FC81-B93A9A82D353}"/>
            </a:ext>
          </a:extLst>
        </cdr:cNvPr>
        <cdr:cNvSpPr txBox="1"/>
      </cdr:nvSpPr>
      <cdr:spPr>
        <a:xfrm xmlns:a="http://schemas.openxmlformats.org/drawingml/2006/main">
          <a:off x="1116399" y="1370208"/>
          <a:ext cx="669680" cy="415681"/>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US" sz="1000" kern="1200"/>
            <a:t>Series A</a:t>
          </a:r>
        </a:p>
      </cdr:txBody>
    </cdr:sp>
  </cdr:relSizeAnchor>
  <cdr:relSizeAnchor xmlns:cdr="http://schemas.openxmlformats.org/drawingml/2006/chartDrawing">
    <cdr:from>
      <cdr:x>0.54965</cdr:x>
      <cdr:y>0.00556</cdr:y>
    </cdr:from>
    <cdr:to>
      <cdr:x>0.54965</cdr:x>
      <cdr:y>1</cdr:y>
    </cdr:to>
    <cdr:cxnSp macro="">
      <cdr:nvCxnSpPr>
        <cdr:cNvPr id="2" name="Straight Connector 1">
          <a:extLst xmlns:a="http://schemas.openxmlformats.org/drawingml/2006/main">
            <a:ext uri="{FF2B5EF4-FFF2-40B4-BE49-F238E27FC236}">
              <a16:creationId xmlns:a16="http://schemas.microsoft.com/office/drawing/2014/main" id="{8C82D34C-E06A-C73C-9FD0-79484DA41404}"/>
            </a:ext>
          </a:extLst>
        </cdr:cNvPr>
        <cdr:cNvCxnSpPr/>
      </cdr:nvCxnSpPr>
      <cdr:spPr>
        <a:xfrm xmlns:a="http://schemas.openxmlformats.org/drawingml/2006/main">
          <a:off x="3326873" y="9938"/>
          <a:ext cx="0" cy="1777521"/>
        </a:xfrm>
        <a:prstGeom xmlns:a="http://schemas.openxmlformats.org/drawingml/2006/main" prst="line">
          <a:avLst/>
        </a:prstGeom>
        <a:ln xmlns:a="http://schemas.openxmlformats.org/drawingml/2006/main">
          <a:solidFill>
            <a:srgbClr val="FFC000"/>
          </a:solidFill>
        </a:ln>
      </cdr:spPr>
      <cdr:style>
        <a:lnRef xmlns:a="http://schemas.openxmlformats.org/drawingml/2006/main" idx="2">
          <a:schemeClr val="accent1"/>
        </a:lnRef>
        <a:fillRef xmlns:a="http://schemas.openxmlformats.org/drawingml/2006/main" idx="0">
          <a:schemeClr val="accent1"/>
        </a:fillRef>
        <a:effectRef xmlns:a="http://schemas.openxmlformats.org/drawingml/2006/main" idx="1">
          <a:schemeClr val="accent1"/>
        </a:effectRef>
        <a:fontRef xmlns:a="http://schemas.openxmlformats.org/drawingml/2006/main" idx="minor">
          <a:schemeClr val="tx1"/>
        </a:fontRef>
      </cdr:style>
    </cdr:cxnSp>
  </cdr:relSizeAnchor>
  <cdr:relSizeAnchor xmlns:cdr="http://schemas.openxmlformats.org/drawingml/2006/chartDrawing">
    <cdr:from>
      <cdr:x>0.54248</cdr:x>
      <cdr:y>0.76255</cdr:y>
    </cdr:from>
    <cdr:to>
      <cdr:x>0.66748</cdr:x>
      <cdr:y>0.99314</cdr:y>
    </cdr:to>
    <cdr:sp macro="" textlink="">
      <cdr:nvSpPr>
        <cdr:cNvPr id="5" name="TextBox 1">
          <a:extLst xmlns:a="http://schemas.openxmlformats.org/drawingml/2006/main">
            <a:ext uri="{FF2B5EF4-FFF2-40B4-BE49-F238E27FC236}">
              <a16:creationId xmlns:a16="http://schemas.microsoft.com/office/drawing/2014/main" id="{F1894957-7F1A-F35A-FFEE-1D9B367CE6E1}"/>
            </a:ext>
          </a:extLst>
        </cdr:cNvPr>
        <cdr:cNvSpPr txBox="1"/>
      </cdr:nvSpPr>
      <cdr:spPr>
        <a:xfrm xmlns:a="http://schemas.openxmlformats.org/drawingml/2006/main">
          <a:off x="2906298" y="1374580"/>
          <a:ext cx="669680" cy="415681"/>
        </a:xfrm>
        <a:prstGeom xmlns:a="http://schemas.openxmlformats.org/drawingml/2006/main" prst="rect">
          <a:avLst/>
        </a:prstGeom>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000" kern="1200"/>
            <a:t>Series B</a:t>
          </a:r>
        </a:p>
      </cdr:txBody>
    </cdr:sp>
  </cdr:relSizeAnchor>
</c:userShape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E1239B8-FAFC-4617-B602-6E070B2FE799}">
  <we:reference id="WA200009404" version="1.0.0.8" store="Omex" storeType="OMEX"/>
  <we:alternateReferences>
    <we:reference id="WA200009404" version="1.0.0.8" store="WA200009404" storeType="OMEX"/>
  </we:alternateReferences>
  <we:properties>
    <we:property name="claude.fileId" value="&quot;37060039-b41e-4394-a66d-8fafaf61aecc&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9.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77F5CC-AB30-4952-AA79-430E82B70DE6}">
  <sheetPr>
    <tabColor rgb="FF1F3864"/>
  </sheetPr>
  <dimension ref="B1:F35"/>
  <sheetViews>
    <sheetView showGridLines="0" tabSelected="1" topLeftCell="A17" workbookViewId="0">
      <selection activeCell="G12" sqref="G12"/>
    </sheetView>
  </sheetViews>
  <sheetFormatPr defaultRowHeight="14.4" x14ac:dyDescent="0.3"/>
  <cols>
    <col min="1" max="1" width="5.5546875" customWidth="1"/>
    <col min="2" max="2" width="37" customWidth="1"/>
    <col min="3" max="4" width="16.77734375" bestFit="1" customWidth="1"/>
    <col min="5" max="5" width="7.33203125" bestFit="1" customWidth="1"/>
    <col min="6" max="6" width="22.109375" bestFit="1" customWidth="1"/>
  </cols>
  <sheetData>
    <row r="1" spans="2:6" ht="23.4" x14ac:dyDescent="0.45">
      <c r="B1" s="714" t="s">
        <v>501</v>
      </c>
      <c r="C1" s="714"/>
      <c r="D1" s="714"/>
      <c r="E1" s="714"/>
      <c r="F1" s="76" t="str">
        <f>"Active scenario: "&amp;'01_Dashboard'!B29</f>
        <v>Active scenario: Base</v>
      </c>
    </row>
    <row r="2" spans="2:6" x14ac:dyDescent="0.3">
      <c r="B2" s="715" t="s">
        <v>575</v>
      </c>
      <c r="C2" s="715"/>
      <c r="D2" s="715"/>
      <c r="E2" s="715"/>
      <c r="F2" s="77"/>
    </row>
    <row r="3" spans="2:6" x14ac:dyDescent="0.3">
      <c r="B3" s="77"/>
      <c r="C3" s="77"/>
      <c r="D3" s="77"/>
      <c r="E3" s="77"/>
      <c r="F3" s="77"/>
    </row>
    <row r="4" spans="2:6" x14ac:dyDescent="0.3">
      <c r="B4" s="78" t="s">
        <v>502</v>
      </c>
      <c r="C4" s="77"/>
      <c r="D4" s="77"/>
      <c r="E4" s="77"/>
      <c r="F4" s="77"/>
    </row>
    <row r="5" spans="2:6" ht="75" customHeight="1" x14ac:dyDescent="0.3">
      <c r="B5" s="713" t="s">
        <v>503</v>
      </c>
      <c r="C5" s="713"/>
      <c r="D5" s="713"/>
      <c r="E5" s="713"/>
      <c r="F5" s="713"/>
    </row>
    <row r="6" spans="2:6" ht="15" thickBot="1" x14ac:dyDescent="0.35">
      <c r="B6" s="77"/>
      <c r="C6" s="77"/>
      <c r="D6" s="77"/>
      <c r="E6" s="77"/>
      <c r="F6" s="77"/>
    </row>
    <row r="7" spans="2:6" ht="15" thickBot="1" x14ac:dyDescent="0.35">
      <c r="B7" s="79" t="s">
        <v>504</v>
      </c>
      <c r="C7" s="77"/>
      <c r="D7" s="77"/>
      <c r="E7" s="77"/>
      <c r="F7" s="77"/>
    </row>
    <row r="8" spans="2:6" ht="18" customHeight="1" x14ac:dyDescent="0.3">
      <c r="B8" s="80" t="s">
        <v>505</v>
      </c>
      <c r="C8" s="81" t="s">
        <v>216</v>
      </c>
      <c r="D8" s="81" t="s">
        <v>415</v>
      </c>
      <c r="E8" s="81" t="s">
        <v>379</v>
      </c>
      <c r="F8" s="81" t="s">
        <v>138</v>
      </c>
    </row>
    <row r="9" spans="2:6" ht="30" customHeight="1" thickBot="1" x14ac:dyDescent="0.5">
      <c r="B9" s="82">
        <f>'03_KPIs'!AK5</f>
        <v>34306211.832317397</v>
      </c>
      <c r="C9" s="82">
        <f>'10_Income_Statement'!AN3</f>
        <v>46392969.928560875</v>
      </c>
      <c r="D9" s="83">
        <f>'03_KPIs'!AN18</f>
        <v>1.3228350988968514</v>
      </c>
      <c r="E9" s="84">
        <f>'03_KPIs'!AN9</f>
        <v>6.1050340186193068</v>
      </c>
      <c r="F9" s="85">
        <f>'40_Customers_Orders'!AK8</f>
        <v>217365.78663681325</v>
      </c>
    </row>
    <row r="10" spans="2:6" x14ac:dyDescent="0.3">
      <c r="B10" s="77"/>
      <c r="C10" s="77"/>
      <c r="D10" s="77"/>
      <c r="E10" s="77"/>
      <c r="F10" s="77"/>
    </row>
    <row r="11" spans="2:6" x14ac:dyDescent="0.3">
      <c r="B11" s="78" t="s">
        <v>506</v>
      </c>
      <c r="C11" s="77"/>
      <c r="D11" s="77"/>
      <c r="E11" s="77"/>
      <c r="F11" s="77"/>
    </row>
    <row r="12" spans="2:6" ht="48" customHeight="1" x14ac:dyDescent="0.3">
      <c r="B12" s="713" t="s">
        <v>623</v>
      </c>
      <c r="C12" s="713"/>
      <c r="D12" s="713"/>
      <c r="E12" s="713"/>
      <c r="F12" s="713"/>
    </row>
    <row r="13" spans="2:6" ht="15" thickBot="1" x14ac:dyDescent="0.35">
      <c r="B13" s="77"/>
      <c r="C13" s="77"/>
      <c r="D13" s="77"/>
      <c r="E13" s="77"/>
      <c r="F13" s="77"/>
    </row>
    <row r="14" spans="2:6" ht="15" thickBot="1" x14ac:dyDescent="0.35">
      <c r="B14" s="77"/>
      <c r="C14" s="86" t="s">
        <v>624</v>
      </c>
      <c r="D14" s="87" t="s">
        <v>510</v>
      </c>
      <c r="E14" s="77"/>
      <c r="F14" s="77"/>
    </row>
    <row r="15" spans="2:6" x14ac:dyDescent="0.3">
      <c r="B15" s="88" t="s">
        <v>507</v>
      </c>
      <c r="C15" s="89">
        <f>'02_Valuation'!B13</f>
        <v>10000000</v>
      </c>
      <c r="D15" s="90">
        <f>'02_Valuation'!B37</f>
        <v>40000000</v>
      </c>
      <c r="E15" s="77"/>
      <c r="F15" s="77"/>
    </row>
    <row r="16" spans="2:6" x14ac:dyDescent="0.3">
      <c r="B16" s="91" t="s">
        <v>508</v>
      </c>
      <c r="C16" s="89">
        <f>'02_Valuation'!B29</f>
        <v>38362220.775814943</v>
      </c>
      <c r="D16" s="90">
        <f>'02_Valuation'!B41</f>
        <v>135453367.83445531</v>
      </c>
      <c r="E16" s="77"/>
      <c r="F16" s="77"/>
    </row>
    <row r="17" spans="2:6" x14ac:dyDescent="0.3">
      <c r="B17" s="91" t="s">
        <v>509</v>
      </c>
      <c r="C17" s="89">
        <f>'02_Valuation'!B31</f>
        <v>48362220.775814943</v>
      </c>
      <c r="D17" s="90">
        <f>'02_Valuation'!B43</f>
        <v>175453367.83445531</v>
      </c>
      <c r="E17" s="77"/>
      <c r="F17" s="77"/>
    </row>
    <row r="18" spans="2:6" ht="15" thickBot="1" x14ac:dyDescent="0.35">
      <c r="B18" s="92" t="s">
        <v>215</v>
      </c>
      <c r="C18" s="93">
        <f>'02_Valuation'!B32</f>
        <v>0.20677296947043458</v>
      </c>
      <c r="D18" s="94">
        <f>'02_Valuation'!B44</f>
        <v>0.22798080477851534</v>
      </c>
      <c r="E18" s="77"/>
      <c r="F18" s="77"/>
    </row>
    <row r="19" spans="2:6" x14ac:dyDescent="0.3">
      <c r="B19" s="95" t="s">
        <v>627</v>
      </c>
      <c r="C19" s="96">
        <f>'02_Valuation'!D47</f>
        <v>0.50745791398202711</v>
      </c>
      <c r="D19" s="96">
        <f>'02_Valuation'!D48</f>
        <v>0.1322806406197288</v>
      </c>
      <c r="E19" s="96">
        <f>'02_Valuation'!D49</f>
        <v>0.1322806406197288</v>
      </c>
      <c r="F19" s="96">
        <f>'02_Valuation'!D50</f>
        <v>0.22798080477851534</v>
      </c>
    </row>
    <row r="20" spans="2:6" x14ac:dyDescent="0.3">
      <c r="B20" s="77"/>
      <c r="C20" s="77"/>
      <c r="D20" s="77"/>
      <c r="E20" s="77"/>
      <c r="F20" s="77"/>
    </row>
    <row r="21" spans="2:6" ht="15" thickBot="1" x14ac:dyDescent="0.35">
      <c r="B21" s="78" t="s">
        <v>511</v>
      </c>
      <c r="C21" s="77"/>
      <c r="D21" s="77"/>
      <c r="E21" s="77"/>
      <c r="F21" s="77"/>
    </row>
    <row r="22" spans="2:6" ht="15" thickBot="1" x14ac:dyDescent="0.35">
      <c r="B22" s="97"/>
      <c r="C22" s="98" t="s">
        <v>54</v>
      </c>
      <c r="D22" s="99" t="s">
        <v>53</v>
      </c>
      <c r="E22" s="100" t="s">
        <v>55</v>
      </c>
      <c r="F22" s="77"/>
    </row>
    <row r="23" spans="2:6" x14ac:dyDescent="0.3">
      <c r="B23" s="101" t="s">
        <v>216</v>
      </c>
      <c r="C23" s="102">
        <f>'22_Scenario_Compare'!B3</f>
        <v>17389178.21719658</v>
      </c>
      <c r="D23" s="103">
        <f>'22_Scenario_Compare'!C3</f>
        <v>46392969.928560875</v>
      </c>
      <c r="E23" s="104">
        <f>'22_Scenario_Compare'!D3</f>
        <v>74959127.127218992</v>
      </c>
      <c r="F23" s="77"/>
    </row>
    <row r="24" spans="2:6" x14ac:dyDescent="0.3">
      <c r="B24" s="101" t="s">
        <v>217</v>
      </c>
      <c r="C24" s="102">
        <f>'22_Scenario_Compare'!B4</f>
        <v>14281929.723163756</v>
      </c>
      <c r="D24" s="103">
        <f>'22_Scenario_Compare'!C4</f>
        <v>34306211.832317397</v>
      </c>
      <c r="E24" s="104">
        <f>'22_Scenario_Compare'!D4</f>
        <v>52444969.141447172</v>
      </c>
      <c r="F24" s="77"/>
    </row>
    <row r="25" spans="2:6" x14ac:dyDescent="0.3">
      <c r="B25" s="101" t="s">
        <v>475</v>
      </c>
      <c r="C25" s="105">
        <f>'22_Scenario_Compare'!B8</f>
        <v>-1.4058057484693987</v>
      </c>
      <c r="D25" s="106">
        <f>'22_Scenario_Compare'!C8</f>
        <v>-0.23287445785008232</v>
      </c>
      <c r="E25" s="107">
        <f>'22_Scenario_Compare'!D8</f>
        <v>7.8667703374177861E-2</v>
      </c>
      <c r="F25" s="77"/>
    </row>
    <row r="26" spans="2:6" x14ac:dyDescent="0.3">
      <c r="B26" s="101" t="s">
        <v>479</v>
      </c>
      <c r="C26" s="108">
        <f>'22_Scenario_Compare'!B12</f>
        <v>2.8514273291652867</v>
      </c>
      <c r="D26" s="109">
        <f>'22_Scenario_Compare'!C12</f>
        <v>5.3070258503542842</v>
      </c>
      <c r="E26" s="110">
        <f>'22_Scenario_Compare'!D12</f>
        <v>7.9470848956702236</v>
      </c>
      <c r="F26" s="77"/>
    </row>
    <row r="27" spans="2:6" ht="15" thickBot="1" x14ac:dyDescent="0.35">
      <c r="B27" s="111" t="s">
        <v>512</v>
      </c>
      <c r="C27" s="112">
        <f>'22_Scenario_Compare'!B20</f>
        <v>0.5529385138388716</v>
      </c>
      <c r="D27" s="113">
        <f>'22_Scenario_Compare'!C20</f>
        <v>0.34268743947947766</v>
      </c>
      <c r="E27" s="114">
        <f>'22_Scenario_Compare'!D20</f>
        <v>0.2565328937754201</v>
      </c>
      <c r="F27" s="77"/>
    </row>
    <row r="28" spans="2:6" x14ac:dyDescent="0.3">
      <c r="B28" s="77"/>
      <c r="C28" s="77"/>
      <c r="D28" s="77"/>
      <c r="E28" s="77"/>
      <c r="F28" s="77"/>
    </row>
    <row r="29" spans="2:6" x14ac:dyDescent="0.3">
      <c r="B29" s="78" t="s">
        <v>513</v>
      </c>
      <c r="C29" s="77"/>
      <c r="D29" s="77"/>
      <c r="E29" s="77"/>
      <c r="F29" s="77"/>
    </row>
    <row r="30" spans="2:6" ht="49.95" customHeight="1" x14ac:dyDescent="0.3">
      <c r="B30" s="115" t="s">
        <v>514</v>
      </c>
      <c r="C30" s="711" t="s">
        <v>626</v>
      </c>
      <c r="D30" s="711"/>
      <c r="E30" s="711"/>
      <c r="F30" s="711"/>
    </row>
    <row r="31" spans="2:6" ht="49.95" customHeight="1" x14ac:dyDescent="0.3">
      <c r="B31" s="115" t="s">
        <v>514</v>
      </c>
      <c r="C31" s="711" t="s">
        <v>517</v>
      </c>
      <c r="D31" s="711"/>
      <c r="E31" s="711"/>
      <c r="F31" s="711"/>
    </row>
    <row r="32" spans="2:6" ht="53.4" customHeight="1" x14ac:dyDescent="0.3">
      <c r="B32" s="115" t="s">
        <v>514</v>
      </c>
      <c r="C32" s="711" t="s">
        <v>625</v>
      </c>
      <c r="D32" s="711"/>
      <c r="E32" s="711"/>
      <c r="F32" s="711"/>
    </row>
    <row r="33" spans="2:6" ht="34.950000000000003" customHeight="1" x14ac:dyDescent="0.3">
      <c r="B33" s="115" t="s">
        <v>514</v>
      </c>
      <c r="C33" s="711" t="s">
        <v>515</v>
      </c>
      <c r="D33" s="711"/>
      <c r="E33" s="711"/>
      <c r="F33" s="711"/>
    </row>
    <row r="34" spans="2:6" x14ac:dyDescent="0.3">
      <c r="B34" s="77"/>
      <c r="C34" s="77"/>
      <c r="D34" s="77"/>
      <c r="E34" s="77"/>
      <c r="F34" s="77"/>
    </row>
    <row r="35" spans="2:6" x14ac:dyDescent="0.3">
      <c r="B35" s="712" t="s">
        <v>591</v>
      </c>
      <c r="C35" s="712"/>
      <c r="D35" s="712"/>
      <c r="E35" s="712"/>
      <c r="F35" s="712"/>
    </row>
  </sheetData>
  <mergeCells count="9">
    <mergeCell ref="C32:F32"/>
    <mergeCell ref="C33:F33"/>
    <mergeCell ref="B35:F35"/>
    <mergeCell ref="B5:F5"/>
    <mergeCell ref="B1:E1"/>
    <mergeCell ref="B2:E2"/>
    <mergeCell ref="B12:F12"/>
    <mergeCell ref="C30:F30"/>
    <mergeCell ref="C31:F3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C089FD-9AC2-4097-BB49-788E5F7CDCA8}">
  <sheetPr>
    <tabColor rgb="FF1F3864"/>
  </sheetPr>
  <dimension ref="A1:K34"/>
  <sheetViews>
    <sheetView showGridLines="0" zoomScale="78" zoomScaleNormal="70" workbookViewId="0">
      <selection activeCell="B29" sqref="B29"/>
    </sheetView>
  </sheetViews>
  <sheetFormatPr defaultRowHeight="14.4" x14ac:dyDescent="0.3"/>
  <cols>
    <col min="1" max="1" width="29.109375" bestFit="1" customWidth="1"/>
    <col min="2" max="6" width="18.21875" customWidth="1"/>
    <col min="7" max="7" width="9.77734375" customWidth="1"/>
    <col min="8" max="8" width="22.6640625" customWidth="1"/>
    <col min="9" max="9" width="12" customWidth="1"/>
    <col min="10" max="11" width="18.21875" customWidth="1"/>
    <col min="12" max="12" width="13.6640625" customWidth="1"/>
    <col min="13" max="13" width="20.33203125" customWidth="1"/>
    <col min="14" max="16" width="13" customWidth="1"/>
    <col min="17" max="17" width="16.6640625" customWidth="1"/>
    <col min="18" max="20" width="13" customWidth="1"/>
    <col min="21" max="21" width="20.33203125" customWidth="1"/>
    <col min="22" max="24" width="13" customWidth="1"/>
  </cols>
  <sheetData>
    <row r="1" spans="1:11" ht="28.05" customHeight="1" thickBot="1" x14ac:dyDescent="0.55000000000000004">
      <c r="A1" s="726" t="s">
        <v>482</v>
      </c>
      <c r="B1" s="727"/>
      <c r="C1" s="727"/>
      <c r="D1" s="727"/>
      <c r="E1" s="727"/>
      <c r="F1" s="727"/>
      <c r="G1" s="727"/>
      <c r="H1" s="727"/>
      <c r="I1" s="727"/>
      <c r="J1" s="727"/>
      <c r="K1" s="728"/>
    </row>
    <row r="2" spans="1:11" ht="18" customHeight="1" x14ac:dyDescent="0.3">
      <c r="A2" s="716" t="s">
        <v>217</v>
      </c>
      <c r="B2" s="717"/>
      <c r="C2" s="720" t="s">
        <v>473</v>
      </c>
      <c r="D2" s="721"/>
      <c r="E2" s="720" t="s">
        <v>474</v>
      </c>
      <c r="F2" s="717"/>
      <c r="G2" s="720" t="s">
        <v>224</v>
      </c>
      <c r="H2" s="721"/>
      <c r="I2" s="717"/>
      <c r="J2" s="720" t="s">
        <v>483</v>
      </c>
      <c r="K2" s="729"/>
    </row>
    <row r="3" spans="1:11" ht="36" customHeight="1" thickBot="1" x14ac:dyDescent="0.6">
      <c r="A3" s="718">
        <f>'03_KPIs'!AK5</f>
        <v>34306211.832317397</v>
      </c>
      <c r="B3" s="719"/>
      <c r="C3" s="722">
        <f>'03_KPIs'!AN18</f>
        <v>1.3228350988968514</v>
      </c>
      <c r="D3" s="723"/>
      <c r="E3" s="724">
        <f>'03_KPIs'!AN9</f>
        <v>6.1050340186193068</v>
      </c>
      <c r="F3" s="725"/>
      <c r="G3" s="724">
        <f>'03_KPIs'!M13</f>
        <v>8.0012589083211996</v>
      </c>
      <c r="H3" s="732"/>
      <c r="I3" s="725"/>
      <c r="J3" s="730">
        <f>'03_KPIs'!M14</f>
        <v>8.7086900851378157</v>
      </c>
      <c r="K3" s="731"/>
    </row>
    <row r="4" spans="1:11" ht="19.95" customHeight="1" x14ac:dyDescent="0.3">
      <c r="A4" s="353" t="s">
        <v>484</v>
      </c>
      <c r="B4" s="77"/>
      <c r="C4" s="77"/>
      <c r="D4" s="77"/>
      <c r="E4" s="77"/>
      <c r="F4" s="77"/>
      <c r="G4" s="78" t="s">
        <v>485</v>
      </c>
      <c r="H4" s="77"/>
      <c r="I4" s="77"/>
      <c r="J4" s="77"/>
      <c r="K4" s="354"/>
    </row>
    <row r="5" spans="1:11" x14ac:dyDescent="0.3">
      <c r="A5" s="355"/>
      <c r="B5" s="77"/>
      <c r="C5" s="77"/>
      <c r="D5" s="77"/>
      <c r="E5" s="77"/>
      <c r="F5" s="77"/>
      <c r="G5" s="77"/>
      <c r="H5" s="77"/>
      <c r="I5" s="77"/>
      <c r="J5" s="77"/>
      <c r="K5" s="354"/>
    </row>
    <row r="6" spans="1:11" x14ac:dyDescent="0.3">
      <c r="A6" s="355"/>
      <c r="B6" s="77"/>
      <c r="C6" s="77"/>
      <c r="D6" s="77"/>
      <c r="E6" s="77"/>
      <c r="F6" s="77"/>
      <c r="G6" s="77"/>
      <c r="H6" s="77"/>
      <c r="I6" s="77"/>
      <c r="J6" s="77"/>
      <c r="K6" s="354"/>
    </row>
    <row r="7" spans="1:11" x14ac:dyDescent="0.3">
      <c r="A7" s="355"/>
      <c r="B7" s="77"/>
      <c r="C7" s="77"/>
      <c r="D7" s="77"/>
      <c r="E7" s="77"/>
      <c r="F7" s="77"/>
      <c r="G7" s="77"/>
      <c r="H7" s="77"/>
      <c r="I7" s="77"/>
      <c r="J7" s="77"/>
      <c r="K7" s="354"/>
    </row>
    <row r="8" spans="1:11" x14ac:dyDescent="0.3">
      <c r="A8" s="355"/>
      <c r="B8" s="77"/>
      <c r="C8" s="77"/>
      <c r="D8" s="77"/>
      <c r="E8" s="77"/>
      <c r="F8" s="77"/>
      <c r="G8" s="77"/>
      <c r="H8" s="77"/>
      <c r="I8" s="77"/>
      <c r="J8" s="77"/>
      <c r="K8" s="354"/>
    </row>
    <row r="9" spans="1:11" x14ac:dyDescent="0.3">
      <c r="A9" s="355"/>
      <c r="B9" s="77"/>
      <c r="C9" s="77"/>
      <c r="D9" s="77"/>
      <c r="E9" s="77"/>
      <c r="F9" s="77"/>
      <c r="G9" s="77"/>
      <c r="H9" s="77"/>
      <c r="I9" s="77"/>
      <c r="J9" s="77"/>
      <c r="K9" s="354"/>
    </row>
    <row r="10" spans="1:11" x14ac:dyDescent="0.3">
      <c r="A10" s="355"/>
      <c r="B10" s="77"/>
      <c r="C10" s="77"/>
      <c r="D10" s="77"/>
      <c r="E10" s="77"/>
      <c r="F10" s="77"/>
      <c r="G10" s="77"/>
      <c r="H10" s="77"/>
      <c r="I10" s="77"/>
      <c r="J10" s="77"/>
      <c r="K10" s="354"/>
    </row>
    <row r="11" spans="1:11" x14ac:dyDescent="0.3">
      <c r="A11" s="355"/>
      <c r="B11" s="77"/>
      <c r="C11" s="77"/>
      <c r="D11" s="77"/>
      <c r="E11" s="77"/>
      <c r="F11" s="77"/>
      <c r="G11" s="77"/>
      <c r="H11" s="77"/>
      <c r="I11" s="77"/>
      <c r="J11" s="77"/>
      <c r="K11" s="354"/>
    </row>
    <row r="12" spans="1:11" x14ac:dyDescent="0.3">
      <c r="A12" s="355"/>
      <c r="B12" s="77"/>
      <c r="C12" s="77"/>
      <c r="D12" s="77"/>
      <c r="E12" s="77"/>
      <c r="F12" s="77"/>
      <c r="G12" s="77"/>
      <c r="H12" s="77"/>
      <c r="I12" s="77"/>
      <c r="J12" s="77"/>
      <c r="K12" s="354"/>
    </row>
    <row r="13" spans="1:11" x14ac:dyDescent="0.3">
      <c r="A13" s="355"/>
      <c r="B13" s="77"/>
      <c r="C13" s="77"/>
      <c r="D13" s="77"/>
      <c r="E13" s="77"/>
      <c r="F13" s="77"/>
      <c r="G13" s="77"/>
      <c r="H13" s="77"/>
      <c r="I13" s="77"/>
      <c r="J13" s="77"/>
      <c r="K13" s="354"/>
    </row>
    <row r="14" spans="1:11" x14ac:dyDescent="0.3">
      <c r="A14" s="355"/>
      <c r="B14" s="77"/>
      <c r="C14" s="77"/>
      <c r="D14" s="77"/>
      <c r="E14" s="77"/>
      <c r="F14" s="77"/>
      <c r="G14" s="77"/>
      <c r="H14" s="77"/>
      <c r="I14" s="77"/>
      <c r="J14" s="77"/>
      <c r="K14" s="354"/>
    </row>
    <row r="15" spans="1:11" ht="19.95" customHeight="1" thickBot="1" x14ac:dyDescent="0.35">
      <c r="A15" s="353" t="s">
        <v>486</v>
      </c>
      <c r="B15" s="77"/>
      <c r="C15" s="77"/>
      <c r="D15" s="78" t="s">
        <v>220</v>
      </c>
      <c r="E15" s="77"/>
      <c r="F15" s="77"/>
      <c r="G15" s="77"/>
      <c r="H15" s="78" t="s">
        <v>490</v>
      </c>
      <c r="I15" s="77"/>
      <c r="J15" s="77"/>
      <c r="K15" s="354"/>
    </row>
    <row r="16" spans="1:11" ht="18.600000000000001" customHeight="1" thickBot="1" x14ac:dyDescent="0.35">
      <c r="A16" s="355"/>
      <c r="B16" s="77"/>
      <c r="C16" s="77"/>
      <c r="D16" s="116"/>
      <c r="E16" s="99" t="s">
        <v>265</v>
      </c>
      <c r="F16" s="100" t="s">
        <v>266</v>
      </c>
      <c r="G16" s="77"/>
      <c r="H16" s="116" t="s">
        <v>211</v>
      </c>
      <c r="I16" s="99" t="s">
        <v>54</v>
      </c>
      <c r="J16" s="99" t="s">
        <v>53</v>
      </c>
      <c r="K16" s="356" t="s">
        <v>55</v>
      </c>
    </row>
    <row r="17" spans="1:11" ht="15" customHeight="1" x14ac:dyDescent="0.3">
      <c r="A17" s="355"/>
      <c r="B17" s="77"/>
      <c r="C17" s="77"/>
      <c r="D17" s="117" t="s">
        <v>147</v>
      </c>
      <c r="E17" s="118">
        <f>'02_Valuation'!B12</f>
        <v>12</v>
      </c>
      <c r="F17" s="119">
        <f>'02_Valuation'!B36</f>
        <v>19</v>
      </c>
      <c r="G17" s="77"/>
      <c r="H17" s="117" t="s">
        <v>217</v>
      </c>
      <c r="I17" s="103">
        <v>14281929.723163756</v>
      </c>
      <c r="J17" s="103">
        <v>34306211.832317397</v>
      </c>
      <c r="K17" s="357">
        <v>52444969.141447172</v>
      </c>
    </row>
    <row r="18" spans="1:11" x14ac:dyDescent="0.3">
      <c r="A18" s="355"/>
      <c r="B18" s="77"/>
      <c r="C18" s="77"/>
      <c r="D18" s="117" t="s">
        <v>232</v>
      </c>
      <c r="E18" s="103">
        <f>'02_Valuation'!B13</f>
        <v>10000000</v>
      </c>
      <c r="F18" s="104">
        <f>'02_Valuation'!B37</f>
        <v>40000000</v>
      </c>
      <c r="G18" s="77"/>
      <c r="H18" s="117" t="s">
        <v>475</v>
      </c>
      <c r="I18" s="106">
        <v>-1.4058057484693987</v>
      </c>
      <c r="J18" s="106">
        <v>-0.23287445785008232</v>
      </c>
      <c r="K18" s="358">
        <v>7.8667703374177861E-2</v>
      </c>
    </row>
    <row r="19" spans="1:11" x14ac:dyDescent="0.3">
      <c r="A19" s="355"/>
      <c r="B19" s="77"/>
      <c r="C19" s="77"/>
      <c r="D19" s="117" t="s">
        <v>476</v>
      </c>
      <c r="E19" s="103">
        <f>'02_Valuation'!B29</f>
        <v>38362220.775814943</v>
      </c>
      <c r="F19" s="104">
        <f>'02_Valuation'!B41</f>
        <v>135453367.83445531</v>
      </c>
      <c r="G19" s="77"/>
      <c r="H19" s="117" t="s">
        <v>479</v>
      </c>
      <c r="I19" s="109">
        <v>2.8514273291652867</v>
      </c>
      <c r="J19" s="109">
        <v>5.3070258503542842</v>
      </c>
      <c r="K19" s="337">
        <v>7.9470848956702236</v>
      </c>
    </row>
    <row r="20" spans="1:11" x14ac:dyDescent="0.3">
      <c r="A20" s="355"/>
      <c r="B20" s="77"/>
      <c r="C20" s="77"/>
      <c r="D20" s="117" t="s">
        <v>477</v>
      </c>
      <c r="E20" s="103">
        <f>'02_Valuation'!B31</f>
        <v>48362220.775814943</v>
      </c>
      <c r="F20" s="104">
        <f>'02_Valuation'!B43</f>
        <v>175453367.83445531</v>
      </c>
      <c r="G20" s="77"/>
      <c r="H20" s="117" t="s">
        <v>491</v>
      </c>
      <c r="I20" s="120">
        <v>8.5441093407833666</v>
      </c>
      <c r="J20" s="120">
        <v>8.7086900851378157</v>
      </c>
      <c r="K20" s="359">
        <v>9.4661992831495638</v>
      </c>
    </row>
    <row r="21" spans="1:11" ht="15" thickBot="1" x14ac:dyDescent="0.35">
      <c r="A21" s="355"/>
      <c r="B21" s="77"/>
      <c r="C21" s="77"/>
      <c r="D21" s="121" t="s">
        <v>210</v>
      </c>
      <c r="E21" s="113">
        <f>'02_Valuation'!B32</f>
        <v>0.20677296947043458</v>
      </c>
      <c r="F21" s="114">
        <f>'02_Valuation'!B44</f>
        <v>0.22798080477851534</v>
      </c>
      <c r="G21" s="77"/>
      <c r="H21" s="121" t="s">
        <v>646</v>
      </c>
      <c r="I21" s="113">
        <v>0.5529385138388716</v>
      </c>
      <c r="J21" s="113">
        <v>0.34268743947947766</v>
      </c>
      <c r="K21" s="360">
        <v>0.2565328937754201</v>
      </c>
    </row>
    <row r="22" spans="1:11" x14ac:dyDescent="0.3">
      <c r="A22" s="355"/>
      <c r="B22" s="77"/>
      <c r="C22" s="77"/>
      <c r="D22" s="77"/>
      <c r="E22" s="77"/>
      <c r="F22" s="77"/>
      <c r="G22" s="77"/>
      <c r="H22" s="77"/>
      <c r="I22" s="77"/>
      <c r="J22" s="77"/>
      <c r="K22" s="354"/>
    </row>
    <row r="23" spans="1:11" ht="15" thickBot="1" x14ac:dyDescent="0.35">
      <c r="A23" s="353" t="s">
        <v>494</v>
      </c>
      <c r="B23" s="77"/>
      <c r="C23" s="77"/>
      <c r="D23" s="361" t="s">
        <v>487</v>
      </c>
      <c r="E23" s="77"/>
      <c r="F23" s="77"/>
      <c r="G23" s="77"/>
      <c r="H23" s="77"/>
      <c r="I23" s="77"/>
      <c r="J23" s="77"/>
      <c r="K23" s="354"/>
    </row>
    <row r="24" spans="1:11" ht="19.2" customHeight="1" thickBot="1" x14ac:dyDescent="0.35">
      <c r="A24" s="362"/>
      <c r="B24" s="99" t="s">
        <v>476</v>
      </c>
      <c r="C24" s="99" t="s">
        <v>477</v>
      </c>
      <c r="D24" s="363" t="s">
        <v>478</v>
      </c>
      <c r="E24" s="122">
        <f>'02_Valuation'!D47</f>
        <v>0.50745791398202711</v>
      </c>
      <c r="F24" s="77"/>
      <c r="G24" s="77"/>
      <c r="H24" s="77"/>
      <c r="I24" s="77"/>
      <c r="J24" s="77"/>
      <c r="K24" s="354"/>
    </row>
    <row r="25" spans="1:11" ht="19.2" customHeight="1" x14ac:dyDescent="0.3">
      <c r="A25" s="364" t="s">
        <v>629</v>
      </c>
      <c r="B25" s="103">
        <f>'02_Valuation'!B29</f>
        <v>38362220.775814943</v>
      </c>
      <c r="C25" s="103">
        <f>'02_Valuation'!B31</f>
        <v>48362220.775814943</v>
      </c>
      <c r="D25" s="363" t="s">
        <v>488</v>
      </c>
      <c r="E25" s="122">
        <f>'02_Valuation'!D48</f>
        <v>0.1322806406197288</v>
      </c>
      <c r="F25" s="77"/>
      <c r="G25" s="77"/>
      <c r="H25" s="77"/>
      <c r="I25" s="77"/>
      <c r="J25" s="77"/>
      <c r="K25" s="354"/>
    </row>
    <row r="26" spans="1:11" ht="19.2" customHeight="1" x14ac:dyDescent="0.3">
      <c r="A26" s="364" t="s">
        <v>495</v>
      </c>
      <c r="B26" s="103">
        <f>'02_Valuation'!B41</f>
        <v>135453367.83445531</v>
      </c>
      <c r="C26" s="103">
        <f>'02_Valuation'!B43</f>
        <v>175453367.83445531</v>
      </c>
      <c r="D26" s="363" t="s">
        <v>630</v>
      </c>
      <c r="E26" s="122">
        <f>'02_Valuation'!D49</f>
        <v>0.1322806406197288</v>
      </c>
      <c r="F26" s="77"/>
      <c r="G26" s="77"/>
      <c r="H26" s="78" t="s">
        <v>497</v>
      </c>
      <c r="I26" s="77"/>
      <c r="J26" s="77"/>
      <c r="K26" s="354"/>
    </row>
    <row r="27" spans="1:11" ht="19.95" customHeight="1" thickBot="1" x14ac:dyDescent="0.35">
      <c r="A27" s="365" t="str">
        <f>"Implied @ M36 ("&amp;'02_Valuation'!B5&amp;"x Run-Rate Rev)"</f>
        <v>Implied @ M36 (15x Run-Rate Rev)</v>
      </c>
      <c r="B27" s="123">
        <f>'03_KPIs'!AK5*'02_Valuation'!B5</f>
        <v>514593177.48476094</v>
      </c>
      <c r="C27" s="124" t="s">
        <v>496</v>
      </c>
      <c r="D27" s="366" t="s">
        <v>489</v>
      </c>
      <c r="E27" s="122">
        <f>'02_Valuation'!D50</f>
        <v>0.22798080477851534</v>
      </c>
      <c r="F27" s="77"/>
      <c r="G27" s="77"/>
      <c r="H27" s="367"/>
      <c r="I27" s="368" t="s">
        <v>138</v>
      </c>
      <c r="J27" s="368" t="s">
        <v>498</v>
      </c>
      <c r="K27" s="354"/>
    </row>
    <row r="28" spans="1:11" x14ac:dyDescent="0.3">
      <c r="A28" s="355"/>
      <c r="B28" s="77"/>
      <c r="C28" s="77"/>
      <c r="D28" s="369" t="s">
        <v>481</v>
      </c>
      <c r="E28" s="77"/>
      <c r="F28" s="77"/>
      <c r="G28" s="77"/>
      <c r="H28" s="46" t="s">
        <v>15</v>
      </c>
      <c r="I28" s="125">
        <f>'40_Customers_Orders'!M8</f>
        <v>12832.772307007614</v>
      </c>
      <c r="J28" s="370">
        <f>'10_Income_Statement'!M3</f>
        <v>305881.49413440633</v>
      </c>
      <c r="K28" s="354"/>
    </row>
    <row r="29" spans="1:11" ht="18" x14ac:dyDescent="0.35">
      <c r="A29" s="353" t="s">
        <v>480</v>
      </c>
      <c r="B29" s="371" t="s">
        <v>53</v>
      </c>
      <c r="C29" s="77"/>
      <c r="D29" s="372" t="s">
        <v>500</v>
      </c>
      <c r="E29" s="77"/>
      <c r="F29" s="77"/>
      <c r="G29" s="77"/>
      <c r="H29" s="46" t="s">
        <v>27</v>
      </c>
      <c r="I29" s="125">
        <f>'40_Customers_Orders'!Y8</f>
        <v>93754.294247173864</v>
      </c>
      <c r="J29" s="370">
        <f>'10_Income_Statement'!Y3</f>
        <v>2250692.2428264613</v>
      </c>
      <c r="K29" s="354"/>
    </row>
    <row r="30" spans="1:11" ht="14.4" customHeight="1" x14ac:dyDescent="0.3">
      <c r="A30" s="355"/>
      <c r="B30" s="373" t="s">
        <v>492</v>
      </c>
      <c r="C30" s="77"/>
      <c r="D30" s="372" t="s">
        <v>499</v>
      </c>
      <c r="E30" s="77"/>
      <c r="F30" s="77"/>
      <c r="G30" s="77"/>
      <c r="H30" s="46" t="s">
        <v>39</v>
      </c>
      <c r="I30" s="125">
        <f>'40_Customers_Orders'!AK8</f>
        <v>217365.78663681325</v>
      </c>
      <c r="J30" s="370">
        <f>'10_Income_Statement'!AK3</f>
        <v>5265090.2440959737</v>
      </c>
      <c r="K30" s="354"/>
    </row>
    <row r="31" spans="1:11" ht="15" thickBot="1" x14ac:dyDescent="0.35">
      <c r="A31" s="377"/>
      <c r="B31" s="375"/>
      <c r="C31" s="375"/>
      <c r="D31" s="374" t="s">
        <v>493</v>
      </c>
      <c r="E31" s="375"/>
      <c r="F31" s="375"/>
      <c r="G31" s="375"/>
      <c r="H31" s="375"/>
      <c r="I31" s="375"/>
      <c r="J31" s="375"/>
      <c r="K31" s="378"/>
    </row>
    <row r="32" spans="1:11" x14ac:dyDescent="0.3">
      <c r="D32" s="4"/>
    </row>
    <row r="33" spans="4:4" x14ac:dyDescent="0.3">
      <c r="D33" s="4"/>
    </row>
    <row r="34" spans="4:4" x14ac:dyDescent="0.3">
      <c r="D34" s="4"/>
    </row>
  </sheetData>
  <mergeCells count="11">
    <mergeCell ref="A1:K1"/>
    <mergeCell ref="J2:K2"/>
    <mergeCell ref="J3:K3"/>
    <mergeCell ref="G2:I2"/>
    <mergeCell ref="G3:I3"/>
    <mergeCell ref="A2:B2"/>
    <mergeCell ref="A3:B3"/>
    <mergeCell ref="C2:D2"/>
    <mergeCell ref="C3:D3"/>
    <mergeCell ref="E2:F2"/>
    <mergeCell ref="E3:F3"/>
  </mergeCells>
  <dataValidations count="1">
    <dataValidation type="list" allowBlank="1" showInputMessage="1" showErrorMessage="1" errorTitle="Invalid scenario" error="Scenario must be Base, Downside, or Upside. Typos break the INDEX/MATCH chain in 31, 32, 35 effective columns." promptTitle="Scenario" prompt="Choose Base, Downside, or Upside." sqref="B29" xr:uid="{71A20F73-5A7D-4218-8257-5D4482D7AED9}">
      <formula1>"Base,Downside,Upside"</formula1>
    </dataValidation>
  </dataValidation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F3D766-EDAD-48B1-8768-4A92B38A2205}">
  <sheetPr>
    <tabColor rgb="FF1F3864"/>
  </sheetPr>
  <dimension ref="A1:F72"/>
  <sheetViews>
    <sheetView showGridLines="0" workbookViewId="0">
      <pane ySplit="2" topLeftCell="A47" activePane="bottomLeft" state="frozen"/>
      <selection pane="bottomLeft" activeCell="C45" sqref="C45"/>
    </sheetView>
  </sheetViews>
  <sheetFormatPr defaultRowHeight="14.4" x14ac:dyDescent="0.3"/>
  <cols>
    <col min="1" max="1" width="45.33203125" customWidth="1"/>
    <col min="2" max="7" width="20.33203125" customWidth="1"/>
  </cols>
  <sheetData>
    <row r="1" spans="1:6" ht="24" customHeight="1" x14ac:dyDescent="0.3">
      <c r="A1" s="126" t="s">
        <v>427</v>
      </c>
      <c r="B1" s="126"/>
      <c r="C1" s="126"/>
      <c r="D1" s="126"/>
      <c r="E1" s="126"/>
      <c r="F1" s="126"/>
    </row>
    <row r="2" spans="1:6" x14ac:dyDescent="0.3">
      <c r="A2" s="452" t="s">
        <v>428</v>
      </c>
      <c r="B2" s="46"/>
      <c r="C2" s="46"/>
      <c r="D2" s="46"/>
      <c r="E2" s="46"/>
      <c r="F2" s="46"/>
    </row>
    <row r="3" spans="1:6" ht="15" thickBot="1" x14ac:dyDescent="0.35">
      <c r="A3" s="46"/>
      <c r="B3" s="46"/>
      <c r="C3" s="46"/>
      <c r="D3" s="46"/>
      <c r="E3" s="46"/>
      <c r="F3" s="46"/>
    </row>
    <row r="4" spans="1:6" x14ac:dyDescent="0.3">
      <c r="A4" s="453" t="s">
        <v>429</v>
      </c>
      <c r="B4" s="454"/>
      <c r="C4" s="46"/>
      <c r="D4" s="46"/>
      <c r="E4" s="46"/>
      <c r="F4" s="46"/>
    </row>
    <row r="5" spans="1:6" x14ac:dyDescent="0.3">
      <c r="A5" s="127" t="s">
        <v>209</v>
      </c>
      <c r="B5" s="21">
        <f>'38_Inputs_Valuation'!B4</f>
        <v>15</v>
      </c>
      <c r="C5" s="46"/>
      <c r="D5" s="46"/>
      <c r="E5" s="46"/>
      <c r="F5" s="46"/>
    </row>
    <row r="6" spans="1:6" x14ac:dyDescent="0.3">
      <c r="A6" s="127" t="s">
        <v>430</v>
      </c>
      <c r="B6" s="21">
        <f>'38_Inputs_Valuation'!B5</f>
        <v>5</v>
      </c>
      <c r="C6" s="46"/>
      <c r="D6" s="46"/>
      <c r="E6" s="46"/>
      <c r="F6" s="46"/>
    </row>
    <row r="7" spans="1:6" x14ac:dyDescent="0.3">
      <c r="A7" s="127" t="s">
        <v>431</v>
      </c>
      <c r="B7" s="22">
        <f>'38_Inputs_Valuation'!B6</f>
        <v>0.25</v>
      </c>
      <c r="C7" s="46"/>
      <c r="D7" s="46"/>
      <c r="E7" s="46"/>
      <c r="F7" s="46"/>
    </row>
    <row r="8" spans="1:6" x14ac:dyDescent="0.3">
      <c r="A8" s="127" t="s">
        <v>432</v>
      </c>
      <c r="B8" s="22">
        <f>'38_Inputs_Valuation'!B7</f>
        <v>0.03</v>
      </c>
      <c r="C8" s="46"/>
      <c r="D8" s="46"/>
      <c r="E8" s="46"/>
      <c r="F8" s="46"/>
    </row>
    <row r="9" spans="1:6" ht="15" thickBot="1" x14ac:dyDescent="0.35">
      <c r="A9" s="128" t="s">
        <v>471</v>
      </c>
      <c r="B9" s="23">
        <f>'38_Inputs_Valuation'!B8</f>
        <v>0.15</v>
      </c>
      <c r="C9" s="46"/>
      <c r="D9" s="46"/>
      <c r="E9" s="46"/>
      <c r="F9" s="46"/>
    </row>
    <row r="10" spans="1:6" ht="15" thickBot="1" x14ac:dyDescent="0.35">
      <c r="A10" s="46"/>
      <c r="B10" s="46"/>
      <c r="C10" s="46"/>
      <c r="D10" s="46"/>
      <c r="E10" s="46"/>
      <c r="F10" s="46"/>
    </row>
    <row r="11" spans="1:6" x14ac:dyDescent="0.3">
      <c r="A11" s="453" t="s">
        <v>611</v>
      </c>
      <c r="B11" s="454"/>
      <c r="C11" s="46"/>
      <c r="D11" s="46"/>
      <c r="E11" s="46"/>
      <c r="F11" s="46"/>
    </row>
    <row r="12" spans="1:6" x14ac:dyDescent="0.3">
      <c r="A12" s="127" t="s">
        <v>433</v>
      </c>
      <c r="B12" s="326">
        <f>'36_Inputs_Funding'!B13</f>
        <v>12</v>
      </c>
      <c r="C12" s="46"/>
      <c r="D12" s="46"/>
      <c r="E12" s="46"/>
      <c r="F12" s="46"/>
    </row>
    <row r="13" spans="1:6" x14ac:dyDescent="0.3">
      <c r="A13" s="127" t="s">
        <v>434</v>
      </c>
      <c r="B13" s="455">
        <f>'36_Inputs_Funding'!C13</f>
        <v>10000000</v>
      </c>
      <c r="C13" s="46"/>
      <c r="D13" s="46"/>
      <c r="E13" s="46"/>
      <c r="F13" s="46"/>
    </row>
    <row r="14" spans="1:6" x14ac:dyDescent="0.3">
      <c r="A14" s="127" t="s">
        <v>612</v>
      </c>
      <c r="B14" s="455" cm="1">
        <f t="array" ref="B14">INDEX('03_KPIs'!B5:AK5,1,B12)</f>
        <v>1965872.4563499847</v>
      </c>
      <c r="C14" s="46"/>
      <c r="D14" s="46"/>
      <c r="E14" s="46"/>
      <c r="F14" s="46"/>
    </row>
    <row r="15" spans="1:6" ht="15" thickBot="1" x14ac:dyDescent="0.35">
      <c r="A15" s="128" t="s">
        <v>613</v>
      </c>
      <c r="B15" s="456" cm="1">
        <f t="array" ref="B15">INDEX('03_KPIs'!B4:AK4,1,B12)</f>
        <v>692969.70457841118</v>
      </c>
      <c r="C15" s="46"/>
      <c r="D15" s="46"/>
      <c r="E15" s="46"/>
      <c r="F15" s="46"/>
    </row>
    <row r="16" spans="1:6" ht="15" thickBot="1" x14ac:dyDescent="0.35">
      <c r="A16" s="46"/>
      <c r="B16" s="46"/>
      <c r="C16" s="46"/>
      <c r="D16" s="46"/>
      <c r="E16" s="46"/>
      <c r="F16" s="46"/>
    </row>
    <row r="17" spans="1:6" x14ac:dyDescent="0.3">
      <c r="A17" s="129" t="s">
        <v>435</v>
      </c>
      <c r="B17" s="457"/>
      <c r="C17" s="46"/>
      <c r="D17" s="46"/>
      <c r="E17" s="46"/>
      <c r="F17" s="46"/>
    </row>
    <row r="18" spans="1:6" x14ac:dyDescent="0.3">
      <c r="A18" s="127" t="s">
        <v>589</v>
      </c>
      <c r="B18" s="455">
        <f>B14*B5</f>
        <v>29488086.845249772</v>
      </c>
      <c r="C18" s="46"/>
      <c r="D18" s="46"/>
      <c r="E18" s="46"/>
      <c r="F18" s="46"/>
    </row>
    <row r="19" spans="1:6" x14ac:dyDescent="0.3">
      <c r="A19" s="127" t="s">
        <v>614</v>
      </c>
      <c r="B19" s="455" cm="1">
        <f t="array" ref="B19">-INDEX('03_KPIs'!B15:AK15,1,B12)</f>
        <v>8874133.9305651728</v>
      </c>
      <c r="C19" s="46"/>
      <c r="D19" s="46"/>
      <c r="E19" s="46"/>
      <c r="F19" s="46"/>
    </row>
    <row r="20" spans="1:6" ht="15" thickBot="1" x14ac:dyDescent="0.35">
      <c r="A20" s="128" t="s">
        <v>436</v>
      </c>
      <c r="B20" s="458">
        <f>B18+B19</f>
        <v>38362220.775814943</v>
      </c>
      <c r="C20" s="46"/>
      <c r="D20" s="46"/>
      <c r="E20" s="46"/>
      <c r="F20" s="46"/>
    </row>
    <row r="21" spans="1:6" ht="15" thickBot="1" x14ac:dyDescent="0.35">
      <c r="A21" s="46"/>
      <c r="B21" s="46"/>
      <c r="C21" s="46"/>
      <c r="D21" s="46"/>
      <c r="E21" s="46"/>
      <c r="F21" s="46"/>
    </row>
    <row r="22" spans="1:6" x14ac:dyDescent="0.3">
      <c r="A22" s="129" t="s">
        <v>437</v>
      </c>
      <c r="B22" s="457"/>
      <c r="C22" s="46"/>
      <c r="D22" s="46"/>
      <c r="E22" s="46"/>
      <c r="F22" s="46"/>
    </row>
    <row r="23" spans="1:6" x14ac:dyDescent="0.3">
      <c r="A23" s="127" t="s">
        <v>616</v>
      </c>
      <c r="B23" s="455" cm="1">
        <f t="array" ref="B23">INDEX('41_Revenue_COGS'!B18:AK18,1,B12)*12</f>
        <v>3670577.9296128759</v>
      </c>
      <c r="C23" s="46"/>
      <c r="D23" s="46"/>
      <c r="E23" s="46"/>
      <c r="F23" s="46"/>
    </row>
    <row r="24" spans="1:6" x14ac:dyDescent="0.3">
      <c r="A24" s="127" t="s">
        <v>590</v>
      </c>
      <c r="B24" s="455">
        <f>B23*B6</f>
        <v>18352889.648064379</v>
      </c>
      <c r="C24" s="46"/>
      <c r="D24" s="46"/>
      <c r="E24" s="46"/>
      <c r="F24" s="46"/>
    </row>
    <row r="25" spans="1:6" x14ac:dyDescent="0.3">
      <c r="A25" s="127" t="s">
        <v>615</v>
      </c>
      <c r="B25" s="455">
        <f>B19</f>
        <v>8874133.9305651728</v>
      </c>
      <c r="C25" s="46"/>
      <c r="D25" s="46"/>
      <c r="E25" s="46"/>
      <c r="F25" s="46"/>
    </row>
    <row r="26" spans="1:6" ht="15" thickBot="1" x14ac:dyDescent="0.35">
      <c r="A26" s="128" t="s">
        <v>438</v>
      </c>
      <c r="B26" s="459">
        <f>B24+B25</f>
        <v>27227023.578629553</v>
      </c>
      <c r="C26" s="46"/>
      <c r="D26" s="46"/>
      <c r="E26" s="46"/>
      <c r="F26" s="46"/>
    </row>
    <row r="27" spans="1:6" ht="15" thickBot="1" x14ac:dyDescent="0.35">
      <c r="A27" s="46"/>
      <c r="B27" s="46"/>
      <c r="C27" s="46"/>
      <c r="D27" s="46"/>
      <c r="E27" s="46"/>
      <c r="F27" s="46"/>
    </row>
    <row r="28" spans="1:6" ht="15" thickBot="1" x14ac:dyDescent="0.35">
      <c r="A28" s="460" t="s">
        <v>439</v>
      </c>
      <c r="B28" s="461"/>
      <c r="C28" s="46"/>
      <c r="D28" s="46"/>
      <c r="E28" s="46"/>
      <c r="F28" s="46"/>
    </row>
    <row r="29" spans="1:6" x14ac:dyDescent="0.3">
      <c r="A29" s="132" t="s">
        <v>440</v>
      </c>
      <c r="B29" s="462">
        <f>B20</f>
        <v>38362220.775814943</v>
      </c>
      <c r="C29" s="46"/>
      <c r="D29" s="46"/>
      <c r="E29" s="46"/>
      <c r="F29" s="46"/>
    </row>
    <row r="30" spans="1:6" x14ac:dyDescent="0.3">
      <c r="A30" s="132" t="s">
        <v>441</v>
      </c>
      <c r="B30" s="463">
        <f>B13</f>
        <v>10000000</v>
      </c>
      <c r="C30" s="46"/>
      <c r="D30" s="46"/>
      <c r="E30" s="46"/>
      <c r="F30" s="46"/>
    </row>
    <row r="31" spans="1:6" x14ac:dyDescent="0.3">
      <c r="A31" s="464" t="s">
        <v>442</v>
      </c>
      <c r="B31" s="463">
        <f>B29+B30</f>
        <v>48362220.775814943</v>
      </c>
      <c r="C31" s="46"/>
      <c r="D31" s="46"/>
      <c r="E31" s="46"/>
      <c r="F31" s="46"/>
    </row>
    <row r="32" spans="1:6" x14ac:dyDescent="0.3">
      <c r="A32" s="46" t="s">
        <v>617</v>
      </c>
      <c r="B32" s="134">
        <f>B30/B31</f>
        <v>0.20677296947043458</v>
      </c>
      <c r="C32" s="46"/>
      <c r="D32" s="46"/>
      <c r="E32" s="46"/>
      <c r="F32" s="46"/>
    </row>
    <row r="33" spans="1:6" x14ac:dyDescent="0.3">
      <c r="A33" s="46" t="s">
        <v>618</v>
      </c>
      <c r="B33" s="134">
        <f>B29/B31</f>
        <v>0.79322703052956545</v>
      </c>
      <c r="C33" s="46"/>
      <c r="D33" s="46"/>
      <c r="E33" s="46"/>
      <c r="F33" s="46"/>
    </row>
    <row r="34" spans="1:6" ht="15" thickBot="1" x14ac:dyDescent="0.35">
      <c r="A34" s="46" t="s">
        <v>621</v>
      </c>
      <c r="B34" s="376">
        <v>0.2</v>
      </c>
      <c r="C34" s="46"/>
      <c r="D34" s="46"/>
      <c r="E34" s="46"/>
      <c r="F34" s="46"/>
    </row>
    <row r="35" spans="1:6" x14ac:dyDescent="0.3">
      <c r="A35" s="453" t="s">
        <v>444</v>
      </c>
      <c r="B35" s="454"/>
      <c r="C35" s="46"/>
      <c r="D35" s="46"/>
      <c r="E35" s="46"/>
      <c r="F35" s="46"/>
    </row>
    <row r="36" spans="1:6" x14ac:dyDescent="0.3">
      <c r="A36" s="127" t="s">
        <v>433</v>
      </c>
      <c r="B36" s="326">
        <f>'36_Inputs_Funding'!B14</f>
        <v>19</v>
      </c>
      <c r="C36" s="46"/>
      <c r="D36" s="46"/>
      <c r="E36" s="46"/>
      <c r="F36" s="46"/>
    </row>
    <row r="37" spans="1:6" x14ac:dyDescent="0.3">
      <c r="A37" s="127" t="s">
        <v>434</v>
      </c>
      <c r="B37" s="455">
        <f>'36_Inputs_Funding'!C14</f>
        <v>40000000</v>
      </c>
      <c r="C37" s="46"/>
      <c r="D37" s="46"/>
      <c r="E37" s="46"/>
      <c r="F37" s="46"/>
    </row>
    <row r="38" spans="1:6" x14ac:dyDescent="0.3">
      <c r="A38" s="127" t="s">
        <v>445</v>
      </c>
      <c r="B38" s="455" cm="1">
        <f t="array" ref="B38">INDEX('03_KPIs'!B5:AK5,1,B36)</f>
        <v>6651431.2277295962</v>
      </c>
      <c r="C38" s="46"/>
      <c r="D38" s="46"/>
      <c r="E38" s="46"/>
      <c r="F38" s="46"/>
    </row>
    <row r="39" spans="1:6" x14ac:dyDescent="0.3">
      <c r="A39" s="127" t="s">
        <v>589</v>
      </c>
      <c r="B39" s="455">
        <f>B38*B5</f>
        <v>99771468.41594395</v>
      </c>
      <c r="C39" s="46"/>
      <c r="D39" s="46"/>
      <c r="E39" s="46"/>
      <c r="F39" s="46"/>
    </row>
    <row r="40" spans="1:6" x14ac:dyDescent="0.3">
      <c r="A40" s="127" t="s">
        <v>446</v>
      </c>
      <c r="B40" s="455" cm="1">
        <f t="array" ref="B40">-INDEX('03_KPIs'!B15:AK15,1,B36)</f>
        <v>35681899.418511361</v>
      </c>
      <c r="C40" s="46"/>
      <c r="D40" s="46"/>
      <c r="E40" s="46"/>
      <c r="F40" s="46"/>
    </row>
    <row r="41" spans="1:6" x14ac:dyDescent="0.3">
      <c r="A41" s="127" t="s">
        <v>440</v>
      </c>
      <c r="B41" s="465">
        <f>B39+B40</f>
        <v>135453367.83445531</v>
      </c>
      <c r="C41" s="46"/>
      <c r="D41" s="46"/>
      <c r="E41" s="46"/>
      <c r="F41" s="46"/>
    </row>
    <row r="42" spans="1:6" x14ac:dyDescent="0.3">
      <c r="A42" s="127" t="s">
        <v>447</v>
      </c>
      <c r="B42" s="455">
        <f>B37</f>
        <v>40000000</v>
      </c>
      <c r="C42" s="46"/>
      <c r="D42" s="46"/>
      <c r="E42" s="46"/>
      <c r="F42" s="46"/>
    </row>
    <row r="43" spans="1:6" x14ac:dyDescent="0.3">
      <c r="A43" s="127" t="s">
        <v>442</v>
      </c>
      <c r="B43" s="455">
        <f>B41+B42</f>
        <v>175453367.83445531</v>
      </c>
      <c r="C43" s="46"/>
      <c r="D43" s="46"/>
      <c r="E43" s="46"/>
      <c r="F43" s="46"/>
    </row>
    <row r="44" spans="1:6" ht="15" thickBot="1" x14ac:dyDescent="0.35">
      <c r="A44" s="128" t="s">
        <v>448</v>
      </c>
      <c r="B44" s="131">
        <f>B42/B43</f>
        <v>0.22798080477851534</v>
      </c>
      <c r="C44" s="46"/>
      <c r="D44" s="46"/>
      <c r="E44" s="46"/>
      <c r="F44" s="46"/>
    </row>
    <row r="45" spans="1:6" ht="15" thickBot="1" x14ac:dyDescent="0.35">
      <c r="A45" s="46"/>
      <c r="B45" s="46"/>
      <c r="C45" s="46"/>
      <c r="D45" s="46"/>
      <c r="E45" s="46"/>
      <c r="F45" s="46"/>
    </row>
    <row r="46" spans="1:6" x14ac:dyDescent="0.3">
      <c r="A46" s="466" t="s">
        <v>619</v>
      </c>
      <c r="B46" s="467" t="s">
        <v>449</v>
      </c>
      <c r="C46" s="468" t="s">
        <v>450</v>
      </c>
      <c r="D46" s="469" t="s">
        <v>451</v>
      </c>
      <c r="E46" s="46"/>
      <c r="F46" s="46"/>
    </row>
    <row r="47" spans="1:6" x14ac:dyDescent="0.3">
      <c r="A47" s="132" t="s">
        <v>452</v>
      </c>
      <c r="B47" s="133">
        <v>1</v>
      </c>
      <c r="C47" s="134">
        <f>B29/($B$29+$B$30+'36_Inputs_Funding'!$C$4/(1-$B$34))</f>
        <v>0.65731256052052234</v>
      </c>
      <c r="D47" s="130">
        <f>C47*(1-B44)</f>
        <v>0.50745791398202711</v>
      </c>
      <c r="E47" s="46"/>
      <c r="F47" s="46"/>
    </row>
    <row r="48" spans="1:6" x14ac:dyDescent="0.3">
      <c r="A48" s="132" t="s">
        <v>453</v>
      </c>
      <c r="B48" s="133">
        <v>0</v>
      </c>
      <c r="C48" s="134">
        <f>B30/($B$29+$B$30+'36_Inputs_Funding'!$C$4/(1-$B$34))</f>
        <v>0.17134371973973886</v>
      </c>
      <c r="D48" s="130">
        <f>C48*(1-B44)</f>
        <v>0.1322806406197288</v>
      </c>
      <c r="E48" s="46"/>
      <c r="F48" s="46"/>
    </row>
    <row r="49" spans="1:6" x14ac:dyDescent="0.3">
      <c r="A49" s="132" t="s">
        <v>620</v>
      </c>
      <c r="B49" s="133">
        <v>0</v>
      </c>
      <c r="C49" s="134">
        <f>('36_Inputs_Funding'!$C$4/(1-$B$34))/($B$29+$B$30+'36_Inputs_Funding'!$C$4/(1-$B$34))</f>
        <v>0.17134371973973886</v>
      </c>
      <c r="D49" s="130">
        <f>C49*(1-B44)</f>
        <v>0.1322806406197288</v>
      </c>
      <c r="E49" s="46"/>
      <c r="F49" s="46"/>
    </row>
    <row r="50" spans="1:6" ht="15" thickBot="1" x14ac:dyDescent="0.35">
      <c r="A50" s="135" t="s">
        <v>454</v>
      </c>
      <c r="B50" s="136">
        <v>0</v>
      </c>
      <c r="C50" s="137">
        <v>0</v>
      </c>
      <c r="D50" s="131">
        <f>B44</f>
        <v>0.22798080477851534</v>
      </c>
      <c r="E50" s="46"/>
      <c r="F50" s="46"/>
    </row>
    <row r="51" spans="1:6" ht="15" thickBot="1" x14ac:dyDescent="0.35">
      <c r="A51" s="46" t="s">
        <v>162</v>
      </c>
      <c r="B51" s="344">
        <f>SUM(B47:B50)</f>
        <v>1</v>
      </c>
      <c r="C51" s="344">
        <f>SUM(C47:C50)</f>
        <v>1</v>
      </c>
      <c r="D51" s="344">
        <f>SUM(D47:D50)</f>
        <v>1</v>
      </c>
      <c r="E51" s="46"/>
      <c r="F51" s="46"/>
    </row>
    <row r="52" spans="1:6" x14ac:dyDescent="0.3">
      <c r="A52" s="466" t="s">
        <v>455</v>
      </c>
      <c r="B52" s="470"/>
      <c r="C52" s="471"/>
      <c r="D52" s="454"/>
      <c r="E52" s="454"/>
      <c r="F52" s="454"/>
    </row>
    <row r="53" spans="1:6" x14ac:dyDescent="0.3">
      <c r="A53" s="132" t="s">
        <v>456</v>
      </c>
      <c r="B53" s="334">
        <v>11</v>
      </c>
      <c r="C53" s="335">
        <v>13</v>
      </c>
      <c r="D53" s="336">
        <v>15</v>
      </c>
      <c r="E53" s="337">
        <v>17</v>
      </c>
      <c r="F53" s="337">
        <v>19</v>
      </c>
    </row>
    <row r="54" spans="1:6" x14ac:dyDescent="0.3">
      <c r="A54" s="132" t="s">
        <v>440</v>
      </c>
      <c r="B54" s="472">
        <f>$B$14*B53+$B$19</f>
        <v>30498730.950415008</v>
      </c>
      <c r="C54" s="463">
        <f>$B$14*C53+$B$19</f>
        <v>34430475.863114975</v>
      </c>
      <c r="D54" s="473">
        <f>$B$14*D53+$B$19</f>
        <v>38362220.775814943</v>
      </c>
      <c r="E54" s="455">
        <f>$B$14*E53+$B$19</f>
        <v>42293965.688514911</v>
      </c>
      <c r="F54" s="455">
        <f>$B$14*F53+$B$19</f>
        <v>46225710.601214878</v>
      </c>
    </row>
    <row r="55" spans="1:6" ht="15" thickBot="1" x14ac:dyDescent="0.35">
      <c r="A55" s="135" t="s">
        <v>443</v>
      </c>
      <c r="B55" s="136">
        <f>$B$13/(B54+$B$13)</f>
        <v>0.24692131741717022</v>
      </c>
      <c r="C55" s="137">
        <f>$B$13/(C54+$B$13)</f>
        <v>0.22507073817549947</v>
      </c>
      <c r="D55" s="138">
        <f>$B$13/(D54+$B$13)</f>
        <v>0.20677296947043458</v>
      </c>
      <c r="E55" s="131">
        <f>$B$13/(E54+$B$13)</f>
        <v>0.19122665241271336</v>
      </c>
      <c r="F55" s="131">
        <f>$B$13/(F54+$B$13)</f>
        <v>0.17785457743568167</v>
      </c>
    </row>
    <row r="56" spans="1:6" x14ac:dyDescent="0.3">
      <c r="A56" s="452" t="s">
        <v>628</v>
      </c>
      <c r="B56" s="46"/>
      <c r="C56" s="46"/>
      <c r="D56" s="46"/>
      <c r="E56" s="46"/>
      <c r="F56" s="46"/>
    </row>
    <row r="57" spans="1:6" ht="15" thickBot="1" x14ac:dyDescent="0.35">
      <c r="A57" s="46"/>
      <c r="B57" s="46"/>
      <c r="C57" s="46"/>
      <c r="D57" s="46"/>
      <c r="E57" s="46"/>
      <c r="F57" s="46"/>
    </row>
    <row r="58" spans="1:6" x14ac:dyDescent="0.3">
      <c r="A58" s="466" t="s">
        <v>457</v>
      </c>
      <c r="B58" s="467" t="s">
        <v>458</v>
      </c>
      <c r="C58" s="468" t="s">
        <v>459</v>
      </c>
      <c r="D58" s="469" t="s">
        <v>460</v>
      </c>
      <c r="E58" s="469" t="s">
        <v>461</v>
      </c>
      <c r="F58" s="469" t="s">
        <v>462</v>
      </c>
    </row>
    <row r="59" spans="1:6" x14ac:dyDescent="0.3">
      <c r="A59" s="132" t="s">
        <v>604</v>
      </c>
      <c r="B59" s="472">
        <f>'10_Income_Statement'!AL10*(1-'37_Inputs_Tax'!$B$2)+'10_Income_Statement'!AL9+'11_Cash_Flow'!AL5+'11_Cash_Flow'!AL6+'11_Cash_Flow'!AL7+'11_Cash_Flow'!AL8+'11_Cash_Flow'!AL9+'11_Cash_Flow'!AL10</f>
        <v>-14002701.932803128</v>
      </c>
      <c r="C59" s="463">
        <f>'10_Income_Statement'!AM10*(1-'37_Inputs_Tax'!$B$2)+'10_Income_Statement'!AM9+'11_Cash_Flow'!AM5+'11_Cash_Flow'!AM6+'11_Cash_Flow'!AM7+'11_Cash_Flow'!AM8+'11_Cash_Flow'!AM9+'11_Cash_Flow'!AM10</f>
        <v>-22551724.45979692</v>
      </c>
      <c r="D59" s="455">
        <f>'10_Income_Statement'!AN10*(1-'37_Inputs_Tax'!$B$2)+'10_Income_Statement'!AN9+'11_Cash_Flow'!AN5+'11_Cash_Flow'!AN6+'11_Cash_Flow'!AN7+'11_Cash_Flow'!AN8+'11_Cash_Flow'!AN9+'11_Cash_Flow'!AN10</f>
        <v>-20326343.938519597</v>
      </c>
      <c r="E59" s="455">
        <f>'10_Income_Statement'!AN3*(1+'38_Inputs_Valuation'!B11)*'38_Inputs_Valuation'!B8</f>
        <v>11134312.782854611</v>
      </c>
      <c r="F59" s="455">
        <f>'10_Income_Statement'!AN3*(1+'38_Inputs_Valuation'!B11)*(1+'38_Inputs_Valuation'!B12)*'38_Inputs_Valuation'!B8</f>
        <v>15031322.256853726</v>
      </c>
    </row>
    <row r="60" spans="1:6" x14ac:dyDescent="0.3">
      <c r="A60" s="132" t="s">
        <v>463</v>
      </c>
      <c r="B60" s="327">
        <f>1/(1+$B$7)^1</f>
        <v>0.8</v>
      </c>
      <c r="C60" s="328">
        <f>1/(1+$B$7)^2</f>
        <v>0.64</v>
      </c>
      <c r="D60" s="329">
        <f>1/(1+$B$7)^3</f>
        <v>0.51200000000000001</v>
      </c>
      <c r="E60" s="329">
        <f>1/(1+$B$7)^4</f>
        <v>0.40960000000000002</v>
      </c>
      <c r="F60" s="329">
        <f>1/(1+$B$7)^5</f>
        <v>0.32768000000000003</v>
      </c>
    </row>
    <row r="61" spans="1:6" ht="15" thickBot="1" x14ac:dyDescent="0.35">
      <c r="A61" s="135" t="s">
        <v>464</v>
      </c>
      <c r="B61" s="474">
        <f>B59*B60</f>
        <v>-11202161.546242503</v>
      </c>
      <c r="C61" s="475">
        <f>C59*C60</f>
        <v>-14433103.654270029</v>
      </c>
      <c r="D61" s="456">
        <f>D59*D60</f>
        <v>-10407088.096522033</v>
      </c>
      <c r="E61" s="456">
        <f>E59*E60</f>
        <v>4560614.5158572486</v>
      </c>
      <c r="F61" s="456">
        <f>F59*F60</f>
        <v>4925463.6771258293</v>
      </c>
    </row>
    <row r="62" spans="1:6" ht="15" thickBot="1" x14ac:dyDescent="0.35">
      <c r="A62" s="46"/>
      <c r="B62" s="46"/>
      <c r="C62" s="46"/>
      <c r="D62" s="46"/>
      <c r="E62" s="46"/>
      <c r="F62" s="46"/>
    </row>
    <row r="63" spans="1:6" x14ac:dyDescent="0.3">
      <c r="A63" s="139" t="s">
        <v>465</v>
      </c>
      <c r="B63" s="462">
        <f>SUM(B61:F61)</f>
        <v>-26556275.104051482</v>
      </c>
      <c r="C63" s="46"/>
      <c r="D63" s="46"/>
      <c r="E63" s="46"/>
      <c r="F63" s="46"/>
    </row>
    <row r="64" spans="1:6" x14ac:dyDescent="0.3">
      <c r="A64" s="132" t="s">
        <v>466</v>
      </c>
      <c r="B64" s="463">
        <f>F59*(1+B8)/(B7-B8)</f>
        <v>70373917.83890608</v>
      </c>
      <c r="C64" s="46"/>
      <c r="D64" s="46"/>
      <c r="E64" s="46"/>
      <c r="F64" s="476"/>
    </row>
    <row r="65" spans="1:6" x14ac:dyDescent="0.3">
      <c r="A65" s="132" t="s">
        <v>467</v>
      </c>
      <c r="B65" s="463">
        <f>B64*F60</f>
        <v>23060125.397452746</v>
      </c>
      <c r="C65" s="46"/>
      <c r="D65" s="46"/>
      <c r="E65" s="46"/>
      <c r="F65" s="46"/>
    </row>
    <row r="66" spans="1:6" x14ac:dyDescent="0.3">
      <c r="A66" s="132" t="s">
        <v>468</v>
      </c>
      <c r="B66" s="463">
        <f>B63+B65</f>
        <v>-3496149.7065987363</v>
      </c>
      <c r="C66" s="46"/>
      <c r="D66" s="46"/>
      <c r="E66" s="46"/>
      <c r="F66" s="46"/>
    </row>
    <row r="67" spans="1:6" x14ac:dyDescent="0.3">
      <c r="A67" s="132" t="s">
        <v>469</v>
      </c>
      <c r="B67" s="463">
        <f>'36_Inputs_Funding'!B2</f>
        <v>6500000</v>
      </c>
      <c r="C67" s="46"/>
      <c r="D67" s="46"/>
      <c r="E67" s="46"/>
      <c r="F67" s="46"/>
    </row>
    <row r="68" spans="1:6" ht="15" thickBot="1" x14ac:dyDescent="0.35">
      <c r="A68" s="135" t="s">
        <v>470</v>
      </c>
      <c r="B68" s="477">
        <f>B66+B67</f>
        <v>3003850.2934012637</v>
      </c>
      <c r="C68" s="46"/>
      <c r="D68" s="46"/>
      <c r="E68" s="46"/>
      <c r="F68" s="46"/>
    </row>
    <row r="69" spans="1:6" x14ac:dyDescent="0.3">
      <c r="A69" s="452" t="s">
        <v>729</v>
      </c>
      <c r="B69" s="46"/>
      <c r="C69" s="46"/>
      <c r="D69" s="46"/>
      <c r="E69" s="46"/>
      <c r="F69" s="46"/>
    </row>
    <row r="70" spans="1:6" x14ac:dyDescent="0.3">
      <c r="A70" s="46" t="s">
        <v>472</v>
      </c>
      <c r="B70" s="46"/>
      <c r="C70" s="46"/>
      <c r="D70" s="46"/>
      <c r="E70" s="46"/>
      <c r="F70" s="46"/>
    </row>
    <row r="71" spans="1:6" x14ac:dyDescent="0.3">
      <c r="A71" s="452" t="s">
        <v>518</v>
      </c>
      <c r="B71" s="46"/>
      <c r="C71" s="46"/>
      <c r="D71" s="46"/>
      <c r="E71" s="46"/>
      <c r="F71" s="46"/>
    </row>
    <row r="72" spans="1:6" x14ac:dyDescent="0.3">
      <c r="A72" s="478" t="s">
        <v>730</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57A824-5F5D-42DE-B3A6-3636D03B6EF3}">
  <sheetPr>
    <tabColor rgb="FF1F3864"/>
  </sheetPr>
  <dimension ref="A1:AN100"/>
  <sheetViews>
    <sheetView showGridLines="0" workbookViewId="0">
      <pane xSplit="1" ySplit="2" topLeftCell="AL3" activePane="bottomRight" state="frozen"/>
      <selection pane="topRight" activeCell="B1" sqref="B1"/>
      <selection pane="bottomLeft" activeCell="A3" sqref="A3"/>
      <selection pane="bottomRight" activeCell="AR10" sqref="AR10"/>
    </sheetView>
  </sheetViews>
  <sheetFormatPr defaultRowHeight="14.4" x14ac:dyDescent="0.3"/>
  <cols>
    <col min="1" max="1" width="29.109375" bestFit="1" customWidth="1"/>
    <col min="2" max="5" width="13.109375" bestFit="1" customWidth="1"/>
    <col min="6" max="7" width="12.44140625" bestFit="1" customWidth="1"/>
    <col min="8" max="11" width="13.109375" bestFit="1" customWidth="1"/>
    <col min="12" max="12" width="12.44140625" bestFit="1" customWidth="1"/>
    <col min="13" max="17" width="13.109375" bestFit="1" customWidth="1"/>
    <col min="18" max="19" width="12.44140625" bestFit="1" customWidth="1"/>
    <col min="20" max="31" width="14.109375" bestFit="1" customWidth="1"/>
    <col min="32" max="33" width="13.109375" bestFit="1" customWidth="1"/>
    <col min="34" max="37" width="13.5546875" bestFit="1" customWidth="1"/>
    <col min="38" max="38" width="13.109375" bestFit="1" customWidth="1"/>
    <col min="39" max="39" width="14.109375" bestFit="1" customWidth="1"/>
    <col min="40" max="40" width="13.5546875" bestFit="1" customWidth="1"/>
  </cols>
  <sheetData>
    <row r="1" spans="1:40" ht="24" customHeight="1" thickBot="1" x14ac:dyDescent="0.35">
      <c r="A1" s="140" t="str" cm="1">
        <f t="array" ref="A1:AK2">'23_Time'!A1:AK2</f>
        <v>Month Index</v>
      </c>
      <c r="B1" s="141">
        <v>1</v>
      </c>
      <c r="C1" s="141">
        <v>2</v>
      </c>
      <c r="D1" s="141">
        <v>3</v>
      </c>
      <c r="E1" s="141">
        <v>4</v>
      </c>
      <c r="F1" s="141">
        <v>5</v>
      </c>
      <c r="G1" s="141">
        <v>6</v>
      </c>
      <c r="H1" s="141">
        <v>7</v>
      </c>
      <c r="I1" s="141">
        <v>8</v>
      </c>
      <c r="J1" s="141">
        <v>9</v>
      </c>
      <c r="K1" s="141">
        <v>10</v>
      </c>
      <c r="L1" s="141">
        <v>11</v>
      </c>
      <c r="M1" s="141">
        <v>12</v>
      </c>
      <c r="N1" s="141">
        <v>13</v>
      </c>
      <c r="O1" s="141">
        <v>14</v>
      </c>
      <c r="P1" s="141">
        <v>15</v>
      </c>
      <c r="Q1" s="141">
        <v>16</v>
      </c>
      <c r="R1" s="141">
        <v>17</v>
      </c>
      <c r="S1" s="141">
        <v>18</v>
      </c>
      <c r="T1" s="141">
        <v>19</v>
      </c>
      <c r="U1" s="141">
        <v>20</v>
      </c>
      <c r="V1" s="141">
        <v>21</v>
      </c>
      <c r="W1" s="141">
        <v>22</v>
      </c>
      <c r="X1" s="141">
        <v>23</v>
      </c>
      <c r="Y1" s="141">
        <v>24</v>
      </c>
      <c r="Z1" s="141">
        <v>25</v>
      </c>
      <c r="AA1" s="141">
        <v>26</v>
      </c>
      <c r="AB1" s="141">
        <v>27</v>
      </c>
      <c r="AC1" s="141">
        <v>28</v>
      </c>
      <c r="AD1" s="141">
        <v>29</v>
      </c>
      <c r="AE1" s="141">
        <v>30</v>
      </c>
      <c r="AF1" s="141">
        <v>31</v>
      </c>
      <c r="AG1" s="141">
        <v>32</v>
      </c>
      <c r="AH1" s="141">
        <v>33</v>
      </c>
      <c r="AI1" s="141">
        <v>34</v>
      </c>
      <c r="AJ1" s="141">
        <v>35</v>
      </c>
      <c r="AK1" s="142">
        <v>36</v>
      </c>
      <c r="AL1" s="141"/>
      <c r="AM1" s="141"/>
      <c r="AN1" s="142"/>
    </row>
    <row r="2" spans="1:40" ht="15" thickBot="1" x14ac:dyDescent="0.35">
      <c r="A2" s="128" t="str">
        <v>Month Label</v>
      </c>
      <c r="B2" s="143" t="str">
        <v>M1</v>
      </c>
      <c r="C2" s="143" t="str">
        <v>M2</v>
      </c>
      <c r="D2" s="143" t="str">
        <v>M3</v>
      </c>
      <c r="E2" s="143" t="str">
        <v>M4</v>
      </c>
      <c r="F2" s="143" t="str">
        <v>M5</v>
      </c>
      <c r="G2" s="143" t="str">
        <v>M6</v>
      </c>
      <c r="H2" s="143" t="str">
        <v>M7</v>
      </c>
      <c r="I2" s="143" t="str">
        <v>M8</v>
      </c>
      <c r="J2" s="143" t="str">
        <v>M9</v>
      </c>
      <c r="K2" s="143" t="str">
        <v>M10</v>
      </c>
      <c r="L2" s="143" t="str">
        <v>M11</v>
      </c>
      <c r="M2" s="143" t="str">
        <v>M12</v>
      </c>
      <c r="N2" s="143" t="str">
        <v>M13</v>
      </c>
      <c r="O2" s="143" t="str">
        <v>M14</v>
      </c>
      <c r="P2" s="143" t="str">
        <v>M15</v>
      </c>
      <c r="Q2" s="143" t="str">
        <v>M16</v>
      </c>
      <c r="R2" s="143" t="str">
        <v>M17</v>
      </c>
      <c r="S2" s="143" t="str">
        <v>M18</v>
      </c>
      <c r="T2" s="143" t="str">
        <v>M19</v>
      </c>
      <c r="U2" s="143" t="str">
        <v>M20</v>
      </c>
      <c r="V2" s="143" t="str">
        <v>M21</v>
      </c>
      <c r="W2" s="143" t="str">
        <v>M22</v>
      </c>
      <c r="X2" s="143" t="str">
        <v>M23</v>
      </c>
      <c r="Y2" s="143" t="str">
        <v>M24</v>
      </c>
      <c r="Z2" s="143" t="str">
        <v>M25</v>
      </c>
      <c r="AA2" s="143" t="str">
        <v>M26</v>
      </c>
      <c r="AB2" s="143" t="str">
        <v>M27</v>
      </c>
      <c r="AC2" s="143" t="str">
        <v>M28</v>
      </c>
      <c r="AD2" s="143" t="str">
        <v>M29</v>
      </c>
      <c r="AE2" s="143" t="str">
        <v>M30</v>
      </c>
      <c r="AF2" s="143" t="str">
        <v>M31</v>
      </c>
      <c r="AG2" s="143" t="str">
        <v>M32</v>
      </c>
      <c r="AH2" s="143" t="str">
        <v>M33</v>
      </c>
      <c r="AI2" s="143" t="str">
        <v>M34</v>
      </c>
      <c r="AJ2" s="143" t="str">
        <v>M35</v>
      </c>
      <c r="AK2" s="144" t="str">
        <v>M36</v>
      </c>
      <c r="AL2" s="145" t="s">
        <v>259</v>
      </c>
      <c r="AM2" s="146" t="s">
        <v>260</v>
      </c>
      <c r="AN2" s="147" t="s">
        <v>261</v>
      </c>
    </row>
    <row r="3" spans="1:40" x14ac:dyDescent="0.3">
      <c r="A3" s="129" t="s">
        <v>195</v>
      </c>
      <c r="B3" s="148">
        <v>0</v>
      </c>
      <c r="C3" s="149">
        <f>('41_Revenue_COGS'!C18/'41_Revenue_COGS'!B18)-1</f>
        <v>1.0087849381522997</v>
      </c>
      <c r="D3" s="149">
        <f>('41_Revenue_COGS'!D18/'41_Revenue_COGS'!C18)-1</f>
        <v>0.50700004274550925</v>
      </c>
      <c r="E3" s="149">
        <f>('41_Revenue_COGS'!E18/'41_Revenue_COGS'!D18)-1</f>
        <v>0.33991596674478619</v>
      </c>
      <c r="F3" s="149">
        <f>('41_Revenue_COGS'!F18/'41_Revenue_COGS'!E18)-1</f>
        <v>0.25650410334420948</v>
      </c>
      <c r="G3" s="149">
        <f>('41_Revenue_COGS'!G18/'41_Revenue_COGS'!F18)-1</f>
        <v>0.20655871673788306</v>
      </c>
      <c r="H3" s="149">
        <f>('41_Revenue_COGS'!H18/'41_Revenue_COGS'!G18)-1</f>
        <v>0.17334455389631986</v>
      </c>
      <c r="I3" s="149">
        <f>('41_Revenue_COGS'!I18/'41_Revenue_COGS'!H18)-1</f>
        <v>0.14968936038883029</v>
      </c>
      <c r="J3" s="149">
        <f>('41_Revenue_COGS'!J18/'41_Revenue_COGS'!I18)-1</f>
        <v>0.14752959458897408</v>
      </c>
      <c r="K3" s="149">
        <f>('41_Revenue_COGS'!K18/'41_Revenue_COGS'!J18)-1</f>
        <v>0.12232201838520962</v>
      </c>
      <c r="L3" s="149">
        <f>('41_Revenue_COGS'!L18/'41_Revenue_COGS'!K18)-1</f>
        <v>0.11070842911841816</v>
      </c>
      <c r="M3" s="149">
        <f>('41_Revenue_COGS'!M18/'41_Revenue_COGS'!L18)-1</f>
        <v>0.10129464147737699</v>
      </c>
      <c r="N3" s="149">
        <f>('41_Revenue_COGS'!N18/'41_Revenue_COGS'!M18)-1</f>
        <v>0.33617710766613951</v>
      </c>
      <c r="O3" s="149">
        <f>('41_Revenue_COGS'!O18/'41_Revenue_COGS'!N18)-1</f>
        <v>0.2517558486872975</v>
      </c>
      <c r="P3" s="149">
        <f>('41_Revenue_COGS'!P18/'41_Revenue_COGS'!O18)-1</f>
        <v>0.20137850981043903</v>
      </c>
      <c r="Q3" s="149">
        <f>('41_Revenue_COGS'!Q18/'41_Revenue_COGS'!P18)-1</f>
        <v>0.16794606637206466</v>
      </c>
      <c r="R3" s="149">
        <f>('41_Revenue_COGS'!R18/'41_Revenue_COGS'!Q18)-1</f>
        <v>0.14416887149995827</v>
      </c>
      <c r="S3" s="149">
        <f>('41_Revenue_COGS'!S18/'41_Revenue_COGS'!R18)-1</f>
        <v>0.12641455058792106</v>
      </c>
      <c r="T3" s="149">
        <f>('41_Revenue_COGS'!T18/'41_Revenue_COGS'!S18)-1</f>
        <v>0.11266993477174148</v>
      </c>
      <c r="U3" s="149">
        <f>('41_Revenue_COGS'!U18/'41_Revenue_COGS'!T18)-1</f>
        <v>0.2374428652092142</v>
      </c>
      <c r="V3" s="149">
        <f>('41_Revenue_COGS'!V18/'41_Revenue_COGS'!U18)-1</f>
        <v>0.19168735319565511</v>
      </c>
      <c r="W3" s="149">
        <f>('41_Revenue_COGS'!W18/'41_Revenue_COGS'!V18)-1</f>
        <v>0.16079478713108908</v>
      </c>
      <c r="X3" s="149">
        <f>('41_Revenue_COGS'!X18/'41_Revenue_COGS'!W18)-1</f>
        <v>0.13856224812274709</v>
      </c>
      <c r="Y3" s="149">
        <f>('41_Revenue_COGS'!Y18/'41_Revenue_COGS'!X18)-1</f>
        <v>0.12181736792721098</v>
      </c>
      <c r="Z3" s="149">
        <f>('41_Revenue_COGS'!Z18/'41_Revenue_COGS'!Y18)-1</f>
        <v>0.10876891325586446</v>
      </c>
      <c r="AA3" s="149">
        <f>('41_Revenue_COGS'!AA18/'41_Revenue_COGS'!Z18)-1</f>
        <v>9.8328882527093375E-2</v>
      </c>
      <c r="AB3" s="149">
        <f>('41_Revenue_COGS'!AB18/'41_Revenue_COGS'!AA18)-1</f>
        <v>8.9798196936659691E-2</v>
      </c>
      <c r="AC3" s="149">
        <f>('41_Revenue_COGS'!AC18/'41_Revenue_COGS'!AB18)-1</f>
        <v>8.2707138207033015E-2</v>
      </c>
      <c r="AD3" s="149">
        <f>('41_Revenue_COGS'!AD18/'41_Revenue_COGS'!AC18)-1</f>
        <v>7.672838753743072E-2</v>
      </c>
      <c r="AE3" s="149">
        <f>('41_Revenue_COGS'!AE18/'41_Revenue_COGS'!AD18)-1</f>
        <v>7.162684286154275E-2</v>
      </c>
      <c r="AF3" s="149">
        <f>('41_Revenue_COGS'!AF18/'41_Revenue_COGS'!AE18)-1</f>
        <v>6.7229262205252383E-2</v>
      </c>
      <c r="AG3" s="149">
        <f>('41_Revenue_COGS'!AG18/'41_Revenue_COGS'!AF18)-1</f>
        <v>6.3405159282364787E-2</v>
      </c>
      <c r="AH3" s="149">
        <f>('41_Revenue_COGS'!AH18/'41_Revenue_COGS'!AG18)-1</f>
        <v>6.005436839689926E-2</v>
      </c>
      <c r="AI3" s="149">
        <f>('41_Revenue_COGS'!AI18/'41_Revenue_COGS'!AH18)-1</f>
        <v>5.7098711669093527E-2</v>
      </c>
      <c r="AJ3" s="149">
        <f>('41_Revenue_COGS'!AJ18/'41_Revenue_COGS'!AI18)-1</f>
        <v>5.4476271919165375E-2</v>
      </c>
      <c r="AK3" s="149">
        <f>('41_Revenue_COGS'!AK18/'41_Revenue_COGS'!AJ18)-1</f>
        <v>5.213736767156063E-2</v>
      </c>
      <c r="AL3" s="303"/>
      <c r="AM3" s="149">
        <f>('41_Revenue_COGS'!AM18/'41_Revenue_COGS'!AL18)-1</f>
        <v>6.2119969983740306</v>
      </c>
      <c r="AN3" s="304">
        <f>('41_Revenue_COGS'!AN18/'41_Revenue_COGS'!AM18)-1</f>
        <v>2.3521485795708061</v>
      </c>
    </row>
    <row r="4" spans="1:40" x14ac:dyDescent="0.3">
      <c r="A4" s="150" t="s">
        <v>294</v>
      </c>
      <c r="B4" s="151">
        <f>'41_Revenue_COGS'!B10*12</f>
        <v>54245.454545454544</v>
      </c>
      <c r="C4" s="152">
        <f>'41_Revenue_COGS'!C10*12</f>
        <v>108967.45205413428</v>
      </c>
      <c r="D4" s="152">
        <f>'41_Revenue_COGS'!D10*12</f>
        <v>164213.95490344957</v>
      </c>
      <c r="E4" s="152">
        <f>'41_Revenue_COGS'!E10*12</f>
        <v>220032.90013744036</v>
      </c>
      <c r="F4" s="152">
        <f>'41_Revenue_COGS'!F10*12</f>
        <v>276472.24189342046</v>
      </c>
      <c r="G4" s="152">
        <f>'41_Revenue_COGS'!G10*12</f>
        <v>333579.99339257105</v>
      </c>
      <c r="H4" s="152">
        <f>'41_Revenue_COGS'!H10*12</f>
        <v>391404.26853594359</v>
      </c>
      <c r="I4" s="152">
        <f>'41_Revenue_COGS'!I10*12</f>
        <v>449993.32314654696</v>
      </c>
      <c r="J4" s="152">
        <f>'41_Revenue_COGS'!J10*12</f>
        <v>509395.59589744848</v>
      </c>
      <c r="K4" s="152">
        <f>'41_Revenue_COGS'!K10*12</f>
        <v>569659.74896511948</v>
      </c>
      <c r="L4" s="152">
        <f>'41_Revenue_COGS'!L10*12</f>
        <v>630834.70844659605</v>
      </c>
      <c r="M4" s="152">
        <f>'41_Revenue_COGS'!M10*12</f>
        <v>692969.70457841118</v>
      </c>
      <c r="N4" s="152">
        <f>'41_Revenue_COGS'!N10*12</f>
        <v>925810.95656895731</v>
      </c>
      <c r="O4" s="152">
        <f>'41_Revenue_COGS'!O10*12</f>
        <v>1158053.948583609</v>
      </c>
      <c r="P4" s="152">
        <f>'41_Revenue_COGS'!P10*12</f>
        <v>1389914.0421458243</v>
      </c>
      <c r="Q4" s="152">
        <f>'41_Revenue_COGS'!Q10*12</f>
        <v>1621603.9972939356</v>
      </c>
      <c r="R4" s="152">
        <f>'41_Revenue_COGS'!R10*12</f>
        <v>1853334.1869517709</v>
      </c>
      <c r="S4" s="152">
        <f>'41_Revenue_COGS'!S10*12</f>
        <v>2085312.806924813</v>
      </c>
      <c r="T4" s="152">
        <f>'41_Revenue_COGS'!T10*12</f>
        <v>2317746.0817525936</v>
      </c>
      <c r="U4" s="152">
        <f>'41_Revenue_COGS'!U10*12</f>
        <v>2870242.8003702522</v>
      </c>
      <c r="V4" s="152">
        <f>'41_Revenue_COGS'!V10*12</f>
        <v>3420481.1334466897</v>
      </c>
      <c r="W4" s="152">
        <f>'41_Revenue_COGS'!W10*12</f>
        <v>3968973.1134427013</v>
      </c>
      <c r="X4" s="152">
        <f>'41_Revenue_COGS'!X10*12</f>
        <v>4516223.8184794392</v>
      </c>
      <c r="Y4" s="152">
        <f>'41_Revenue_COGS'!Y10*12</f>
        <v>5062731.8893473884</v>
      </c>
      <c r="Z4" s="152">
        <f>'41_Revenue_COGS'!Z10*12</f>
        <v>5608990.035367908</v>
      </c>
      <c r="AA4" s="152">
        <f>'41_Revenue_COGS'!AA10*12</f>
        <v>6155485.5296695558</v>
      </c>
      <c r="AB4" s="152">
        <f>'41_Revenue_COGS'!AB10*12</f>
        <v>6702700.6944261091</v>
      </c>
      <c r="AC4" s="152">
        <f>'41_Revenue_COGS'!AC10*12</f>
        <v>7251113.3765886165</v>
      </c>
      <c r="AD4" s="152">
        <f>'41_Revenue_COGS'!AD10*12</f>
        <v>7801197.4146297518</v>
      </c>
      <c r="AE4" s="152">
        <f>'41_Revenue_COGS'!AE10*12</f>
        <v>8353423.0968054254</v>
      </c>
      <c r="AF4" s="152">
        <f>'41_Revenue_COGS'!AF10*12</f>
        <v>8908257.6114257034</v>
      </c>
      <c r="AG4" s="152">
        <f>'41_Revenue_COGS'!AG10*12</f>
        <v>9466165.4896149412</v>
      </c>
      <c r="AH4" s="152">
        <f>'41_Revenue_COGS'!AH10*12</f>
        <v>10027609.041029211</v>
      </c>
      <c r="AI4" s="152">
        <f>'41_Revenue_COGS'!AI10*12</f>
        <v>10593048.782988127</v>
      </c>
      <c r="AJ4" s="152">
        <f>'41_Revenue_COGS'!AJ10*12</f>
        <v>11162943.863467328</v>
      </c>
      <c r="AK4" s="152">
        <f>'41_Revenue_COGS'!AK10*12</f>
        <v>11737752.478387916</v>
      </c>
      <c r="AL4" s="153">
        <f>M4</f>
        <v>692969.70457841118</v>
      </c>
      <c r="AM4" s="152">
        <f>Y4</f>
        <v>5062731.8893473884</v>
      </c>
      <c r="AN4" s="154">
        <f>AK4</f>
        <v>11737752.478387916</v>
      </c>
    </row>
    <row r="5" spans="1:40" ht="15" thickBot="1" x14ac:dyDescent="0.35">
      <c r="A5" s="24" t="s">
        <v>295</v>
      </c>
      <c r="B5" s="25">
        <f>('41_Revenue_COGS'!B10+'41_Revenue_COGS'!B8+'41_Revenue_COGS'!B17)*12</f>
        <v>150681.81818181818</v>
      </c>
      <c r="C5" s="25">
        <f>('41_Revenue_COGS'!C10+'41_Revenue_COGS'!C8+'41_Revenue_COGS'!C17)*12</f>
        <v>302687.36681703967</v>
      </c>
      <c r="D5" s="25">
        <f>('41_Revenue_COGS'!D10+'41_Revenue_COGS'!D8+'41_Revenue_COGS'!D17)*12</f>
        <v>456149.87473180436</v>
      </c>
      <c r="E5" s="25">
        <f>('41_Revenue_COGS'!E10+'41_Revenue_COGS'!E8+'41_Revenue_COGS'!E17)*12</f>
        <v>611202.50038177881</v>
      </c>
      <c r="F5" s="25">
        <f>('41_Revenue_COGS'!F10+'41_Revenue_COGS'!F8+'41_Revenue_COGS'!F17)*12</f>
        <v>767978.44970394578</v>
      </c>
      <c r="G5" s="25">
        <f>('41_Revenue_COGS'!G10+'41_Revenue_COGS'!G8+'41_Revenue_COGS'!G17)*12</f>
        <v>926611.09275714192</v>
      </c>
      <c r="H5" s="25">
        <f>('41_Revenue_COGS'!H10+'41_Revenue_COGS'!H8+'41_Revenue_COGS'!H17)*12</f>
        <v>1087234.07926651</v>
      </c>
      <c r="I5" s="25">
        <f>('41_Revenue_COGS'!I10+'41_Revenue_COGS'!I8+'41_Revenue_COGS'!I17)*12</f>
        <v>1249981.4531848528</v>
      </c>
      <c r="J5" s="25">
        <f>('41_Revenue_COGS'!J10+'41_Revenue_COGS'!J8+'41_Revenue_COGS'!J17)*12</f>
        <v>1420591.1179366733</v>
      </c>
      <c r="K5" s="25">
        <f>('41_Revenue_COGS'!K10+'41_Revenue_COGS'!K8+'41_Revenue_COGS'!K17)*12</f>
        <v>1599394.2059552306</v>
      </c>
      <c r="L5" s="25">
        <f>('41_Revenue_COGS'!L10+'41_Revenue_COGS'!L8+'41_Revenue_COGS'!L17)*12</f>
        <v>1781112.9201254065</v>
      </c>
      <c r="M5" s="25">
        <f>('41_Revenue_COGS'!M10+'41_Revenue_COGS'!M8+'41_Revenue_COGS'!M17)*12</f>
        <v>1965872.4563499847</v>
      </c>
      <c r="N5" s="25">
        <f>('41_Revenue_COGS'!N10+'41_Revenue_COGS'!N8+'41_Revenue_COGS'!N17)*12</f>
        <v>2627047.2482936643</v>
      </c>
      <c r="O5" s="25">
        <f>('41_Revenue_COGS'!O10+'41_Revenue_COGS'!O8+'41_Revenue_COGS'!O17)*12</f>
        <v>3290476.6722871615</v>
      </c>
      <c r="P5" s="25">
        <f>('41_Revenue_COGS'!P10+'41_Revenue_COGS'!P8+'41_Revenue_COGS'!P17)*12</f>
        <v>3956421.7899321327</v>
      </c>
      <c r="Q5" s="25">
        <f>('41_Revenue_COGS'!Q10+'41_Revenue_COGS'!Q8+'41_Revenue_COGS'!Q17)*12</f>
        <v>4625169.2428908758</v>
      </c>
      <c r="R5" s="25">
        <f>('41_Revenue_COGS'!R10+'41_Revenue_COGS'!R8+'41_Revenue_COGS'!R17)*12</f>
        <v>5297029.0596183287</v>
      </c>
      <c r="S5" s="25">
        <f>('41_Revenue_COGS'!S10+'41_Revenue_COGS'!S8+'41_Revenue_COGS'!S17)*12</f>
        <v>5972332.6870059902</v>
      </c>
      <c r="T5" s="25">
        <f>('41_Revenue_COGS'!T10+'41_Revenue_COGS'!T8+'41_Revenue_COGS'!T17)*12</f>
        <v>6651431.2277295962</v>
      </c>
      <c r="U5" s="25">
        <f>('41_Revenue_COGS'!U10+'41_Revenue_COGS'!U8+'41_Revenue_COGS'!U17)*12</f>
        <v>8225441.5737620769</v>
      </c>
      <c r="V5" s="25">
        <f>('41_Revenue_COGS'!V10+'41_Revenue_COGS'!V8+'41_Revenue_COGS'!V17)*12</f>
        <v>9802033.942296369</v>
      </c>
      <c r="W5" s="25">
        <f>('41_Revenue_COGS'!W10+'41_Revenue_COGS'!W8+'41_Revenue_COGS'!W17)*12</f>
        <v>11381848.650626071</v>
      </c>
      <c r="X5" s="25">
        <f>('41_Revenue_COGS'!X10+'41_Revenue_COGS'!X8+'41_Revenue_COGS'!X17)*12</f>
        <v>12965583.052909199</v>
      </c>
      <c r="Y5" s="25">
        <f>('41_Revenue_COGS'!Y10+'41_Revenue_COGS'!Y8+'41_Revenue_COGS'!Y17)*12</f>
        <v>14553986.466122959</v>
      </c>
      <c r="Z5" s="25">
        <f>('41_Revenue_COGS'!Z10+'41_Revenue_COGS'!Z8+'41_Revenue_COGS'!Z17)*12</f>
        <v>16147855.618820144</v>
      </c>
      <c r="AA5" s="25">
        <f>('41_Revenue_COGS'!AA10+'41_Revenue_COGS'!AA8+'41_Revenue_COGS'!AA17)*12</f>
        <v>17748030.577862509</v>
      </c>
      <c r="AB5" s="25">
        <f>('41_Revenue_COGS'!AB10+'41_Revenue_COGS'!AB8+'41_Revenue_COGS'!AB17)*12</f>
        <v>19355391.112141844</v>
      </c>
      <c r="AC5" s="25">
        <f>('41_Revenue_COGS'!AC10+'41_Revenue_COGS'!AC8+'41_Revenue_COGS'!AC17)*12</f>
        <v>20970853.45581308</v>
      </c>
      <c r="AD5" s="25">
        <f>('41_Revenue_COGS'!AD10+'41_Revenue_COGS'!AD8+'41_Revenue_COGS'!AD17)*12</f>
        <v>22595367.436782576</v>
      </c>
      <c r="AE5" s="25">
        <f>('41_Revenue_COGS'!AE10+'41_Revenue_COGS'!AE8+'41_Revenue_COGS'!AE17)*12</f>
        <v>24229913.939143572</v>
      </c>
      <c r="AF5" s="25">
        <f>('41_Revenue_COGS'!AF10+'41_Revenue_COGS'!AF8+'41_Revenue_COGS'!AF17)*12</f>
        <v>25875502.670951962</v>
      </c>
      <c r="AG5" s="25">
        <f>('41_Revenue_COGS'!AG10+'41_Revenue_COGS'!AG8+'41_Revenue_COGS'!AG17)*12</f>
        <v>27533170.211210132</v>
      </c>
      <c r="AH5" s="25">
        <f>('41_Revenue_COGS'!AH10+'41_Revenue_COGS'!AH8+'41_Revenue_COGS'!AH17)*12</f>
        <v>29203978.31219317</v>
      </c>
      <c r="AI5" s="25">
        <f>('41_Revenue_COGS'!AI10+'41_Revenue_COGS'!AI8+'41_Revenue_COGS'!AI17)*12</f>
        <v>30889012.435328349</v>
      </c>
      <c r="AJ5" s="25">
        <f>('41_Revenue_COGS'!AJ10+'41_Revenue_COGS'!AJ8+'41_Revenue_COGS'!AJ17)*12</f>
        <v>32589380.500740364</v>
      </c>
      <c r="AK5" s="25">
        <f>('41_Revenue_COGS'!AK10+'41_Revenue_COGS'!AK8+'41_Revenue_COGS'!AK17)*12</f>
        <v>34306211.832317397</v>
      </c>
      <c r="AL5" s="26">
        <f>M5</f>
        <v>1965872.4563499847</v>
      </c>
      <c r="AM5" s="25">
        <f>Y5</f>
        <v>14553986.466122959</v>
      </c>
      <c r="AN5" s="27">
        <f>AK5</f>
        <v>34306211.832317397</v>
      </c>
    </row>
    <row r="6" spans="1:40" x14ac:dyDescent="0.3">
      <c r="A6" s="129" t="s">
        <v>207</v>
      </c>
      <c r="B6" s="155">
        <f>'10_Income_Statement'!B6/'40_Customers_Orders'!B8</f>
        <v>18.799999999999997</v>
      </c>
      <c r="C6" s="155">
        <f>'10_Income_Statement'!C6/'40_Customers_Orders'!C8</f>
        <v>18.799999999999997</v>
      </c>
      <c r="D6" s="155">
        <f>'10_Income_Statement'!D6/'40_Customers_Orders'!D8</f>
        <v>18.8</v>
      </c>
      <c r="E6" s="155">
        <f>'10_Income_Statement'!E6/'40_Customers_Orders'!E8</f>
        <v>18.8</v>
      </c>
      <c r="F6" s="155">
        <f>'10_Income_Statement'!F6/'40_Customers_Orders'!F8</f>
        <v>18.799999999999997</v>
      </c>
      <c r="G6" s="155">
        <f>'10_Income_Statement'!G6/'40_Customers_Orders'!G8</f>
        <v>18.799999999999997</v>
      </c>
      <c r="H6" s="155">
        <f>'10_Income_Statement'!H6/'40_Customers_Orders'!H8</f>
        <v>18.799999999999997</v>
      </c>
      <c r="I6" s="155">
        <f>'10_Income_Statement'!I6/'40_Customers_Orders'!I8</f>
        <v>18.8</v>
      </c>
      <c r="J6" s="155">
        <f>'10_Income_Statement'!J6/'40_Customers_Orders'!J8</f>
        <v>19.119499999999999</v>
      </c>
      <c r="K6" s="155">
        <f>'10_Income_Statement'!K6/'40_Customers_Orders'!K8</f>
        <v>19.204338199027696</v>
      </c>
      <c r="L6" s="155">
        <f>'10_Income_Statement'!L6/'40_Customers_Orders'!L8</f>
        <v>19.275401325017373</v>
      </c>
      <c r="M6" s="155">
        <f>'10_Income_Statement'!M6/'40_Customers_Orders'!M8</f>
        <v>19.335963641883769</v>
      </c>
      <c r="N6" s="155">
        <f>'10_Income_Statement'!N6/'40_Customers_Orders'!N8</f>
        <v>19.339035118284396</v>
      </c>
      <c r="O6" s="155">
        <f>'10_Income_Statement'!O6/'40_Customers_Orders'!O8</f>
        <v>19.356230765330515</v>
      </c>
      <c r="P6" s="155">
        <f>'10_Income_Statement'!P6/'40_Customers_Orders'!P8</f>
        <v>19.379351884241689</v>
      </c>
      <c r="Q6" s="155">
        <f>'10_Income_Statement'!Q6/'40_Customers_Orders'!Q8</f>
        <v>19.404984143934794</v>
      </c>
      <c r="R6" s="155">
        <f>'10_Income_Statement'!R6/'40_Customers_Orders'!R8</f>
        <v>19.431485497921582</v>
      </c>
      <c r="S6" s="155">
        <f>'10_Income_Statement'!S6/'40_Customers_Orders'!S8</f>
        <v>19.45799311176722</v>
      </c>
      <c r="T6" s="155">
        <f>'10_Income_Statement'!T6/'40_Customers_Orders'!T8</f>
        <v>19.48402917706591</v>
      </c>
      <c r="U6" s="155">
        <f>'10_Income_Statement'!U6/'40_Customers_Orders'!U8</f>
        <v>19.465942837015248</v>
      </c>
      <c r="V6" s="155">
        <f>'10_Income_Statement'!V6/'40_Customers_Orders'!V8</f>
        <v>19.465598899528654</v>
      </c>
      <c r="W6" s="155">
        <f>'10_Income_Statement'!W6/'40_Customers_Orders'!W8</f>
        <v>19.474677724911661</v>
      </c>
      <c r="X6" s="155">
        <f>'10_Income_Statement'!X6/'40_Customers_Orders'!X8</f>
        <v>19.489006250167542</v>
      </c>
      <c r="Y6" s="155">
        <f>'10_Income_Statement'!Y6/'40_Customers_Orders'!Y8</f>
        <v>19.506284308351095</v>
      </c>
      <c r="Z6" s="155">
        <f>'10_Income_Statement'!Z6/'40_Customers_Orders'!Z8</f>
        <v>19.525157671255222</v>
      </c>
      <c r="AA6" s="155">
        <f>'10_Income_Statement'!AA6/'40_Customers_Orders'!AA8</f>
        <v>19.544790894304761</v>
      </c>
      <c r="AB6" s="155">
        <f>'10_Income_Statement'!AB6/'40_Customers_Orders'!AB8</f>
        <v>19.564651555464653</v>
      </c>
      <c r="AC6" s="155">
        <f>'10_Income_Statement'!AC6/'40_Customers_Orders'!AC8</f>
        <v>19.584393190409052</v>
      </c>
      <c r="AD6" s="155">
        <f>'10_Income_Statement'!AD6/'40_Customers_Orders'!AD8</f>
        <v>19.603788027827683</v>
      </c>
      <c r="AE6" s="155">
        <f>'10_Income_Statement'!AE6/'40_Customers_Orders'!AE8</f>
        <v>19.622686481047975</v>
      </c>
      <c r="AF6" s="155">
        <f>'10_Income_Statement'!AF6/'40_Customers_Orders'!AF8</f>
        <v>19.640991780697782</v>
      </c>
      <c r="AG6" s="155">
        <f>'10_Income_Statement'!AG6/'40_Customers_Orders'!AG8</f>
        <v>19.658643557560023</v>
      </c>
      <c r="AH6" s="155">
        <f>'10_Income_Statement'!AH6/'40_Customers_Orders'!AH8</f>
        <v>19.675606916579671</v>
      </c>
      <c r="AI6" s="155">
        <f>'10_Income_Statement'!AI6/'40_Customers_Orders'!AI8</f>
        <v>19.691864989634059</v>
      </c>
      <c r="AJ6" s="155">
        <f>'10_Income_Statement'!AJ6/'40_Customers_Orders'!AJ8</f>
        <v>19.707413754563117</v>
      </c>
      <c r="AK6" s="155">
        <f>'10_Income_Statement'!AK6/'40_Customers_Orders'!AK8</f>
        <v>19.722258367151298</v>
      </c>
      <c r="AL6" s="156">
        <f>AVERAGEIF('23_Time'!$B$3:$AK$3, 1,B6:AK6)</f>
        <v>18.9446002638274</v>
      </c>
      <c r="AM6" s="157">
        <f>AVERAGEIF('23_Time'!$B$3:$AK$3, 2,B6:AK6)</f>
        <v>19.437884976543359</v>
      </c>
      <c r="AN6" s="158">
        <f>AVERAGEIF('23_Time'!$B$3:$AK$3, 3,B6:AK6)</f>
        <v>19.628520598874605</v>
      </c>
    </row>
    <row r="7" spans="1:40" x14ac:dyDescent="0.3">
      <c r="A7" s="127" t="s">
        <v>196</v>
      </c>
      <c r="B7" s="159">
        <f>B6/'32_Inputs_GrowthRetention'!$C$4</f>
        <v>537.142857142857</v>
      </c>
      <c r="C7" s="159">
        <f>C6/'32_Inputs_GrowthRetention'!$C$4</f>
        <v>537.142857142857</v>
      </c>
      <c r="D7" s="159">
        <f>D6/'32_Inputs_GrowthRetention'!$C$4</f>
        <v>537.14285714285711</v>
      </c>
      <c r="E7" s="159">
        <f>E6/'32_Inputs_GrowthRetention'!$C$4</f>
        <v>537.14285714285711</v>
      </c>
      <c r="F7" s="159">
        <f>F6/'32_Inputs_GrowthRetention'!$C$4</f>
        <v>537.142857142857</v>
      </c>
      <c r="G7" s="159">
        <f>G6/'32_Inputs_GrowthRetention'!$C$4</f>
        <v>537.142857142857</v>
      </c>
      <c r="H7" s="159">
        <f>H6/'32_Inputs_GrowthRetention'!$C$4</f>
        <v>537.142857142857</v>
      </c>
      <c r="I7" s="159">
        <f>I6/'32_Inputs_GrowthRetention'!$C$4</f>
        <v>537.14285714285711</v>
      </c>
      <c r="J7" s="159">
        <f>J6/'32_Inputs_GrowthRetention'!$C$4</f>
        <v>546.27142857142849</v>
      </c>
      <c r="K7" s="159">
        <f>K6/'32_Inputs_GrowthRetention'!$C$4</f>
        <v>548.69537711507701</v>
      </c>
      <c r="L7" s="159">
        <f>L6/'32_Inputs_GrowthRetention'!$C$4</f>
        <v>550.72575214335347</v>
      </c>
      <c r="M7" s="159">
        <f>M6/'32_Inputs_GrowthRetention'!$C$4</f>
        <v>552.45610405382195</v>
      </c>
      <c r="N7" s="159">
        <f>N6/'32_Inputs_GrowthRetention'!$C$4</f>
        <v>552.54386052241125</v>
      </c>
      <c r="O7" s="159">
        <f>O6/'32_Inputs_GrowthRetention'!$C$4</f>
        <v>553.03516472372894</v>
      </c>
      <c r="P7" s="159">
        <f>P6/'32_Inputs_GrowthRetention'!$C$4</f>
        <v>553.69576812119112</v>
      </c>
      <c r="Q7" s="159">
        <f>Q6/'32_Inputs_GrowthRetention'!$C$4</f>
        <v>554.42811839813692</v>
      </c>
      <c r="R7" s="159">
        <f>R6/'32_Inputs_GrowthRetention'!$C$4</f>
        <v>555.18529994061657</v>
      </c>
      <c r="S7" s="159">
        <f>S6/'32_Inputs_GrowthRetention'!$C$4</f>
        <v>555.94266033620625</v>
      </c>
      <c r="T7" s="159">
        <f>T6/'32_Inputs_GrowthRetention'!$C$4</f>
        <v>556.68654791616882</v>
      </c>
      <c r="U7" s="159">
        <f>U6/'32_Inputs_GrowthRetention'!$C$4</f>
        <v>556.16979534329278</v>
      </c>
      <c r="V7" s="159">
        <f>V6/'32_Inputs_GrowthRetention'!$C$4</f>
        <v>556.15996855796152</v>
      </c>
      <c r="W7" s="159">
        <f>W6/'32_Inputs_GrowthRetention'!$C$4</f>
        <v>556.4193635689046</v>
      </c>
      <c r="X7" s="159">
        <f>X6/'32_Inputs_GrowthRetention'!$C$4</f>
        <v>556.8287500047868</v>
      </c>
      <c r="Y7" s="159">
        <f>Y6/'32_Inputs_GrowthRetention'!$C$4</f>
        <v>557.32240881003122</v>
      </c>
      <c r="Z7" s="159">
        <f>Z6/'32_Inputs_GrowthRetention'!$C$4</f>
        <v>557.86164775014913</v>
      </c>
      <c r="AA7" s="159">
        <f>AA6/'32_Inputs_GrowthRetention'!$C$4</f>
        <v>558.42259698013595</v>
      </c>
      <c r="AB7" s="159">
        <f>AB6/'32_Inputs_GrowthRetention'!$C$4</f>
        <v>558.9900444418472</v>
      </c>
      <c r="AC7" s="159">
        <f>AC6/'32_Inputs_GrowthRetention'!$C$4</f>
        <v>559.55409115454427</v>
      </c>
      <c r="AD7" s="159">
        <f>AD6/'32_Inputs_GrowthRetention'!$C$4</f>
        <v>560.10822936650516</v>
      </c>
      <c r="AE7" s="159">
        <f>AE6/'32_Inputs_GrowthRetention'!$C$4</f>
        <v>560.64818517279923</v>
      </c>
      <c r="AF7" s="159">
        <f>AF6/'32_Inputs_GrowthRetention'!$C$4</f>
        <v>561.17119373422224</v>
      </c>
      <c r="AG7" s="159">
        <f>AG6/'32_Inputs_GrowthRetention'!$C$4</f>
        <v>561.67553021600054</v>
      </c>
      <c r="AH7" s="159">
        <f>AH6/'32_Inputs_GrowthRetention'!$C$4</f>
        <v>562.16019761656196</v>
      </c>
      <c r="AI7" s="159">
        <f>AI6/'32_Inputs_GrowthRetention'!$C$4</f>
        <v>562.62471398954449</v>
      </c>
      <c r="AJ7" s="159">
        <f>AJ6/'32_Inputs_GrowthRetention'!$C$4</f>
        <v>563.06896441608899</v>
      </c>
      <c r="AK7" s="159">
        <f>AK6/'32_Inputs_GrowthRetention'!$C$4</f>
        <v>563.4930962043228</v>
      </c>
      <c r="AL7" s="160">
        <f>M7</f>
        <v>552.45610405382195</v>
      </c>
      <c r="AM7" s="159">
        <f>Y7</f>
        <v>557.32240881003122</v>
      </c>
      <c r="AN7" s="161">
        <f>AK7</f>
        <v>563.4930962043228</v>
      </c>
    </row>
    <row r="8" spans="1:40" x14ac:dyDescent="0.3">
      <c r="A8" s="127" t="s">
        <v>197</v>
      </c>
      <c r="B8" s="159">
        <f>'42_OPEX'!B9/B6</f>
        <v>5.8510638297872353</v>
      </c>
      <c r="C8" s="159">
        <f>'42_OPEX'!C9/C6</f>
        <v>5.8218085106382986</v>
      </c>
      <c r="D8" s="159">
        <f>'42_OPEX'!D9/D6</f>
        <v>5.7926994680851056</v>
      </c>
      <c r="E8" s="159">
        <f>'42_OPEX'!E9/E6</f>
        <v>5.7637359707446798</v>
      </c>
      <c r="F8" s="159">
        <f>'42_OPEX'!F9/F6</f>
        <v>5.7349172908909578</v>
      </c>
      <c r="G8" s="159">
        <f>'42_OPEX'!G9/G6</f>
        <v>5.7062427044365025</v>
      </c>
      <c r="H8" s="159">
        <f>'42_OPEX'!H9/H6</f>
        <v>5.6777114909143203</v>
      </c>
      <c r="I8" s="159">
        <f>'42_OPEX'!I9/I6</f>
        <v>5.6493229334597483</v>
      </c>
      <c r="J8" s="159">
        <f>'42_OPEX'!J9/J6</f>
        <v>5.5271442659744272</v>
      </c>
      <c r="K8" s="159">
        <f>'42_OPEX'!K9/K6</f>
        <v>5.4752135965120177</v>
      </c>
      <c r="L8" s="159">
        <f>'42_OPEX'!L9/L6</f>
        <v>5.4277528434879736</v>
      </c>
      <c r="M8" s="159">
        <f>'42_OPEX'!M9/M6</f>
        <v>5.3836987753736318</v>
      </c>
      <c r="N8" s="159">
        <f>'42_OPEX'!N9/N6</f>
        <v>5.3559295035692545</v>
      </c>
      <c r="O8" s="159">
        <f>'42_OPEX'!O9/O6</f>
        <v>5.3244155572567964</v>
      </c>
      <c r="P8" s="159">
        <f>'42_OPEX'!P9/P6</f>
        <v>5.2914727875434888</v>
      </c>
      <c r="Q8" s="159">
        <f>'42_OPEX'!Q9/Q6</f>
        <v>5.2580608060897225</v>
      </c>
      <c r="R8" s="159">
        <f>'42_OPEX'!R9/R6</f>
        <v>5.224635226577246</v>
      </c>
      <c r="S8" s="159">
        <f>'42_OPEX'!S9/S6</f>
        <v>5.191430120195256</v>
      </c>
      <c r="T8" s="159">
        <f>'42_OPEX'!T9/T6</f>
        <v>5.1585704654811533</v>
      </c>
      <c r="U8" s="159">
        <f>'42_OPEX'!U9/U6</f>
        <v>5.137546617259698</v>
      </c>
      <c r="V8" s="159">
        <f>'42_OPEX'!V9/V6</f>
        <v>5.1119492055606592</v>
      </c>
      <c r="W8" s="159">
        <f>'42_OPEX'!W9/W6</f>
        <v>5.0840182551213964</v>
      </c>
      <c r="X8" s="159">
        <f>'42_OPEX'!X9/X6</f>
        <v>5.0548790285230538</v>
      </c>
      <c r="Y8" s="159">
        <f>'42_OPEX'!Y9/Y6</f>
        <v>5.0251495664839405</v>
      </c>
      <c r="Z8" s="159">
        <f>'42_OPEX'!Z9/Z6</f>
        <v>4.9951907071526245</v>
      </c>
      <c r="AA8" s="159">
        <f>'42_OPEX'!AA9/AA6</f>
        <v>4.9652220506818656</v>
      </c>
      <c r="AB8" s="159">
        <f>'42_OPEX'!AB9/AB6</f>
        <v>4.9353807971998442</v>
      </c>
      <c r="AC8" s="159">
        <f>'42_OPEX'!AC9/AC6</f>
        <v>4.9057537616148048</v>
      </c>
      <c r="AD8" s="159">
        <f>'42_OPEX'!AD9/AD6</f>
        <v>4.8763957952554788</v>
      </c>
      <c r="AE8" s="159">
        <f>'42_OPEX'!AE9/AE6</f>
        <v>4.8473408803782121</v>
      </c>
      <c r="AF8" s="159">
        <f>'42_OPEX'!AF9/AF6</f>
        <v>4.8186090685922709</v>
      </c>
      <c r="AG8" s="159">
        <f>'42_OPEX'!AG9/AG6</f>
        <v>4.7902109588252548</v>
      </c>
      <c r="AH8" s="159">
        <f>'42_OPEX'!AH9/AH6</f>
        <v>4.7621506646935146</v>
      </c>
      <c r="AI8" s="159">
        <f>'42_OPEX'!AI9/AI6</f>
        <v>4.7344278250097087</v>
      </c>
      <c r="AJ8" s="159">
        <f>'42_OPEX'!AJ9/AJ6</f>
        <v>4.7070389915629054</v>
      </c>
      <c r="AK8" s="159">
        <f>'42_OPEX'!AK9/AK6</f>
        <v>4.6799786019685747</v>
      </c>
      <c r="AL8" s="160">
        <f t="shared" ref="AL8:AL9" si="0">M8</f>
        <v>5.3836987753736318</v>
      </c>
      <c r="AM8" s="159">
        <f t="shared" ref="AM8:AM9" si="1">Y8</f>
        <v>5.0251495664839405</v>
      </c>
      <c r="AN8" s="161">
        <f t="shared" ref="AN8:AN9" si="2">AK8</f>
        <v>4.6799786019685747</v>
      </c>
    </row>
    <row r="9" spans="1:40" ht="15" thickBot="1" x14ac:dyDescent="0.35">
      <c r="A9" s="24" t="s">
        <v>198</v>
      </c>
      <c r="B9" s="28">
        <f>B7/'42_OPEX'!B9</f>
        <v>4.8831168831168821</v>
      </c>
      <c r="C9" s="28">
        <f>C7/'42_OPEX'!C9</f>
        <v>4.9076551589114388</v>
      </c>
      <c r="D9" s="28">
        <f>D7/'42_OPEX'!D9</f>
        <v>4.9323167426245629</v>
      </c>
      <c r="E9" s="28">
        <f>E7/'42_OPEX'!E9</f>
        <v>4.9571022538940337</v>
      </c>
      <c r="F9" s="28">
        <f>F7/'42_OPEX'!F9</f>
        <v>4.9820123154713896</v>
      </c>
      <c r="G9" s="28">
        <f>G7/'42_OPEX'!G9</f>
        <v>5.0070475532375776</v>
      </c>
      <c r="H9" s="28">
        <f>H7/'42_OPEX'!H9</f>
        <v>5.0322085962186707</v>
      </c>
      <c r="I9" s="28">
        <f>I7/'42_OPEX'!I9</f>
        <v>5.0574960766016801</v>
      </c>
      <c r="J9" s="28">
        <f>J7/'42_OPEX'!J9</f>
        <v>5.1692930736975198</v>
      </c>
      <c r="K9" s="28">
        <f>K7/'42_OPEX'!K9</f>
        <v>5.2183221837463991</v>
      </c>
      <c r="L9" s="28">
        <f>L7/'42_OPEX'!L9</f>
        <v>5.2639516564774249</v>
      </c>
      <c r="M9" s="28">
        <f>M7/'42_OPEX'!M9</f>
        <v>5.3070258503542842</v>
      </c>
      <c r="N9" s="28">
        <f>N7/'42_OPEX'!N9</f>
        <v>5.3345415678806507</v>
      </c>
      <c r="O9" s="28">
        <f>O7/'42_OPEX'!O9</f>
        <v>5.3661154476358925</v>
      </c>
      <c r="P9" s="28">
        <f>P7/'42_OPEX'!P9</f>
        <v>5.3995229151868243</v>
      </c>
      <c r="Q9" s="28">
        <f>Q7/'42_OPEX'!Q9</f>
        <v>5.4338338077676909</v>
      </c>
      <c r="R9" s="28">
        <f>R7/'42_OPEX'!R9</f>
        <v>5.4685977742691589</v>
      </c>
      <c r="S9" s="28">
        <f>S7/'42_OPEX'!S9</f>
        <v>5.5035756833714187</v>
      </c>
      <c r="T9" s="28">
        <f>T7/'42_OPEX'!T9</f>
        <v>5.5386329919530608</v>
      </c>
      <c r="U9" s="28">
        <f>U7/'42_OPEX'!U9</f>
        <v>5.5612981642720758</v>
      </c>
      <c r="V9" s="28">
        <f>V7/'42_OPEX'!V9</f>
        <v>5.5891456316407124</v>
      </c>
      <c r="W9" s="28">
        <f>W7/'42_OPEX'!W9</f>
        <v>5.6198516877171096</v>
      </c>
      <c r="X9" s="28">
        <f>X7/'42_OPEX'!X9</f>
        <v>5.6522477412830652</v>
      </c>
      <c r="Y9" s="28">
        <f>Y7/'42_OPEX'!Y9</f>
        <v>5.6856872006338675</v>
      </c>
      <c r="Z9" s="28">
        <f>Z7/'42_OPEX'!Z9</f>
        <v>5.7197873407549942</v>
      </c>
      <c r="AA9" s="28">
        <f>AA7/'42_OPEX'!AA9</f>
        <v>5.7543103369374791</v>
      </c>
      <c r="AB9" s="28">
        <f>AB7/'42_OPEX'!AB9</f>
        <v>5.7891031605178185</v>
      </c>
      <c r="AC9" s="28">
        <f>AC7/'42_OPEX'!AC9</f>
        <v>5.8240649571502008</v>
      </c>
      <c r="AD9" s="28">
        <f>AD7/'42_OPEX'!AD9</f>
        <v>5.8591282929140664</v>
      </c>
      <c r="AE9" s="28">
        <f>AE7/'42_OPEX'!AE9</f>
        <v>5.8942478518653907</v>
      </c>
      <c r="AF9" s="28">
        <f>AF7/'42_OPEX'!AF9</f>
        <v>5.9293933508026928</v>
      </c>
      <c r="AG9" s="28">
        <f>AG7/'42_OPEX'!AG9</f>
        <v>5.9645449473973455</v>
      </c>
      <c r="AH9" s="28">
        <f>AH7/'42_OPEX'!AH9</f>
        <v>5.9996901784852259</v>
      </c>
      <c r="AI9" s="28">
        <f>AI7/'42_OPEX'!AI9</f>
        <v>6.0348218681251051</v>
      </c>
      <c r="AJ9" s="28">
        <f>AJ7/'42_OPEX'!AJ9</f>
        <v>6.069936667752529</v>
      </c>
      <c r="AK9" s="28">
        <f>AK7/'42_OPEX'!AK9</f>
        <v>6.1050340186193068</v>
      </c>
      <c r="AL9" s="29">
        <f t="shared" si="0"/>
        <v>5.3070258503542842</v>
      </c>
      <c r="AM9" s="30">
        <f t="shared" si="1"/>
        <v>5.6856872006338675</v>
      </c>
      <c r="AN9" s="31">
        <f t="shared" si="2"/>
        <v>6.1050340186193068</v>
      </c>
    </row>
    <row r="10" spans="1:40" x14ac:dyDescent="0.3">
      <c r="A10" s="32" t="s">
        <v>199</v>
      </c>
      <c r="B10" s="33">
        <f>'10_Income_Statement'!B6/'10_Income_Statement'!B3</f>
        <v>0.80686695278969944</v>
      </c>
      <c r="C10" s="33">
        <f>'10_Income_Statement'!C6/'10_Income_Statement'!C3</f>
        <v>0.80686695278969944</v>
      </c>
      <c r="D10" s="33">
        <f>'10_Income_Statement'!D6/'10_Income_Statement'!D3</f>
        <v>0.80686695278969955</v>
      </c>
      <c r="E10" s="33">
        <f>'10_Income_Statement'!E6/'10_Income_Statement'!E3</f>
        <v>0.80686695278969967</v>
      </c>
      <c r="F10" s="33">
        <f>'10_Income_Statement'!F6/'10_Income_Statement'!F3</f>
        <v>0.80686695278969955</v>
      </c>
      <c r="G10" s="33">
        <f>'10_Income_Statement'!G6/'10_Income_Statement'!G3</f>
        <v>0.80686695278969955</v>
      </c>
      <c r="H10" s="33">
        <f>'10_Income_Statement'!H6/'10_Income_Statement'!H3</f>
        <v>0.80686695278969955</v>
      </c>
      <c r="I10" s="33">
        <f>'10_Income_Statement'!I6/'10_Income_Statement'!I3</f>
        <v>0.80686695278969944</v>
      </c>
      <c r="J10" s="33">
        <f>'10_Income_Statement'!J6/'10_Income_Statement'!J3</f>
        <v>0.80947945553462186</v>
      </c>
      <c r="K10" s="33">
        <f>'10_Income_Statement'!K6/'10_Income_Statement'!K3</f>
        <v>0.810161331558095</v>
      </c>
      <c r="L10" s="33">
        <f>'10_Income_Statement'!L6/'10_Income_Statement'!L3</f>
        <v>0.81072874697324548</v>
      </c>
      <c r="M10" s="33">
        <f>'10_Income_Statement'!M6/'10_Income_Statement'!M3</f>
        <v>0.81120964658241268</v>
      </c>
      <c r="N10" s="33">
        <f>'10_Income_Statement'!N6/'10_Income_Statement'!N3</f>
        <v>0.81123397076803139</v>
      </c>
      <c r="O10" s="33">
        <f>'10_Income_Statement'!O6/'10_Income_Statement'!O3</f>
        <v>0.8113700339225548</v>
      </c>
      <c r="P10" s="33">
        <f>'10_Income_Statement'!P6/'10_Income_Statement'!P3</f>
        <v>0.8115526743852034</v>
      </c>
      <c r="Q10" s="33">
        <f>'10_Income_Statement'!Q6/'10_Income_Statement'!Q3</f>
        <v>0.81175473813724541</v>
      </c>
      <c r="R10" s="33">
        <f>'10_Income_Statement'!R6/'10_Income_Statement'!R3</f>
        <v>0.81196319800578953</v>
      </c>
      <c r="S10" s="33">
        <f>'10_Income_Statement'!S6/'10_Income_Statement'!S3</f>
        <v>0.81217124577142563</v>
      </c>
      <c r="T10" s="33">
        <f>'10_Income_Statement'!T6/'10_Income_Statement'!T3</f>
        <v>0.81237514486085582</v>
      </c>
      <c r="U10" s="33">
        <f>'10_Income_Statement'!U6/'10_Income_Statement'!U3</f>
        <v>0.81223355030915867</v>
      </c>
      <c r="V10" s="33">
        <f>'10_Income_Statement'!V6/'10_Income_Statement'!V3</f>
        <v>0.81223085561661024</v>
      </c>
      <c r="W10" s="33">
        <f>'10_Income_Statement'!W6/'10_Income_Statement'!W3</f>
        <v>0.81230196077571759</v>
      </c>
      <c r="X10" s="33">
        <f>'10_Income_Statement'!X6/'10_Income_Statement'!X3</f>
        <v>0.81241407196813031</v>
      </c>
      <c r="Y10" s="33">
        <f>'10_Income_Statement'!Y6/'10_Income_Statement'!Y3</f>
        <v>0.81254908330671649</v>
      </c>
      <c r="Z10" s="33">
        <f>'10_Income_Statement'!Z6/'10_Income_Statement'!Z3</f>
        <v>0.81269633849754075</v>
      </c>
      <c r="AA10" s="33">
        <f>'10_Income_Statement'!AA6/'10_Income_Statement'!AA3</f>
        <v>0.81284927701052001</v>
      </c>
      <c r="AB10" s="33">
        <f>'10_Income_Statement'!AB6/'10_Income_Statement'!AB3</f>
        <v>0.81300373331280873</v>
      </c>
      <c r="AC10" s="33">
        <f>'10_Income_Statement'!AC6/'10_Income_Statement'!AC3</f>
        <v>0.81315701149605868</v>
      </c>
      <c r="AD10" s="33">
        <f>'10_Income_Statement'!AD6/'10_Income_Statement'!AD3</f>
        <v>0.81330735257027742</v>
      </c>
      <c r="AE10" s="33">
        <f>'10_Income_Statement'!AE6/'10_Income_Statement'!AE3</f>
        <v>0.81345361332223787</v>
      </c>
      <c r="AF10" s="33">
        <f>'10_Income_Statement'!AF6/'10_Income_Statement'!AF3</f>
        <v>0.81359506515394997</v>
      </c>
      <c r="AG10" s="33">
        <f>'10_Income_Statement'!AG6/'10_Income_Statement'!AG3</f>
        <v>0.81373126395617512</v>
      </c>
      <c r="AH10" s="33">
        <f>'10_Income_Statement'!AH6/'10_Income_Statement'!AH3</f>
        <v>0.81386196360953023</v>
      </c>
      <c r="AI10" s="33">
        <f>'10_Income_Statement'!AI6/'10_Income_Statement'!AI3</f>
        <v>0.81398705713973685</v>
      </c>
      <c r="AJ10" s="33">
        <f>'10_Income_Statement'!AJ6/'10_Income_Statement'!AJ3</f>
        <v>0.81410653588916559</v>
      </c>
      <c r="AK10" s="33">
        <f>'10_Income_Statement'!AK6/'10_Income_Statement'!AK3</f>
        <v>0.81422046071052501</v>
      </c>
      <c r="AL10" s="34">
        <f>'10_Income_Statement'!AL6/'10_Income_Statement'!AL3</f>
        <v>0.80885072403973135</v>
      </c>
      <c r="AM10" s="33">
        <f>'10_Income_Statement'!AM6/'10_Income_Statement'!AM3</f>
        <v>0.81219325601063752</v>
      </c>
      <c r="AN10" s="35">
        <f>'10_Income_Statement'!AN6/'10_Income_Statement'!AN3</f>
        <v>0.81360558224268542</v>
      </c>
    </row>
    <row r="11" spans="1:40" ht="15" thickBot="1" x14ac:dyDescent="0.35">
      <c r="A11" s="24" t="s">
        <v>200</v>
      </c>
      <c r="B11" s="36">
        <f>'10_Income_Statement'!B8/'10_Income_Statement'!B3</f>
        <v>-52.453420853319876</v>
      </c>
      <c r="C11" s="36">
        <f>'10_Income_Statement'!C8/'10_Income_Statement'!C3</f>
        <v>-25.839023628878497</v>
      </c>
      <c r="D11" s="36">
        <f>'10_Income_Statement'!D8/'10_Income_Statement'!D3</f>
        <v>-16.963850901573807</v>
      </c>
      <c r="E11" s="36">
        <f>'10_Income_Statement'!E8/'10_Income_Statement'!E3</f>
        <v>-12.523552231377705</v>
      </c>
      <c r="F11" s="36">
        <f>'10_Income_Statement'!F8/'10_Income_Statement'!F3</f>
        <v>-9.8572589654189002</v>
      </c>
      <c r="G11" s="36">
        <f>'10_Income_Statement'!G8/'10_Income_Statement'!G3</f>
        <v>-8.0780159424248765</v>
      </c>
      <c r="H11" s="36">
        <f>'10_Income_Statement'!H8/'10_Income_Statement'!H3</f>
        <v>-7.1325524695505882</v>
      </c>
      <c r="I11" s="36">
        <f>'10_Income_Statement'!I8/'10_Income_Statement'!I3</f>
        <v>-6.5846827286115071</v>
      </c>
      <c r="J11" s="36">
        <f>'10_Income_Statement'!J8/'10_Income_Statement'!J3</f>
        <v>-5.9112402131126283</v>
      </c>
      <c r="K11" s="36">
        <f>'10_Income_Statement'!K8/'10_Income_Statement'!K3</f>
        <v>-5.4643839881976053</v>
      </c>
      <c r="L11" s="36">
        <f>'10_Income_Statement'!L8/'10_Income_Statement'!L3</f>
        <v>-5.1463689385340317</v>
      </c>
      <c r="M11" s="36">
        <f>'10_Income_Statement'!M8/'10_Income_Statement'!M3</f>
        <v>-4.8329464628043883</v>
      </c>
      <c r="N11" s="36">
        <f>'10_Income_Statement'!N8/'10_Income_Statement'!N3</f>
        <v>-4.3776872121735018</v>
      </c>
      <c r="O11" s="36">
        <f>'10_Income_Statement'!O8/'10_Income_Statement'!O3</f>
        <v>-3.3983703386448822</v>
      </c>
      <c r="P11" s="36">
        <f>'10_Income_Statement'!P8/'10_Income_Statement'!P3</f>
        <v>-2.7241552284217048</v>
      </c>
      <c r="Q11" s="36">
        <f>'10_Income_Statement'!Q8/'10_Income_Statement'!Q3</f>
        <v>-2.2429947921197826</v>
      </c>
      <c r="R11" s="36">
        <f>'10_Income_Statement'!R8/'10_Income_Statement'!R3</f>
        <v>-1.8990378085042827</v>
      </c>
      <c r="S11" s="36">
        <f>'10_Income_Statement'!S8/'10_Income_Statement'!S3</f>
        <v>-1.6165326902269592</v>
      </c>
      <c r="T11" s="36">
        <f>'10_Income_Statement'!T8/'10_Income_Statement'!T3</f>
        <v>-1.3904289679346808</v>
      </c>
      <c r="U11" s="36">
        <f>'10_Income_Statement'!U8/'10_Income_Statement'!U3</f>
        <v>-1.6246901700876246</v>
      </c>
      <c r="V11" s="36">
        <f>'10_Income_Statement'!V8/'10_Income_Statement'!V3</f>
        <v>-1.2938543962095741</v>
      </c>
      <c r="W11" s="36">
        <f>'10_Income_Statement'!W8/'10_Income_Statement'!W3</f>
        <v>-1.0824534330378675</v>
      </c>
      <c r="X11" s="36">
        <f>'10_Income_Statement'!X8/'10_Income_Statement'!X3</f>
        <v>-0.90546847528476071</v>
      </c>
      <c r="Y11" s="36">
        <f>'10_Income_Statement'!Y8/'10_Income_Statement'!Y3</f>
        <v>-0.76081280318984068</v>
      </c>
      <c r="Z11" s="36">
        <f>'10_Income_Statement'!Z8/'10_Income_Statement'!Z3</f>
        <v>-0.63249256456927594</v>
      </c>
      <c r="AA11" s="36">
        <f>'10_Income_Statement'!AA8/'10_Income_Statement'!AA3</f>
        <v>-0.52450810418892224</v>
      </c>
      <c r="AB11" s="36">
        <f>'10_Income_Statement'!AB8/'10_Income_Statement'!AB3</f>
        <v>-0.44647860721328292</v>
      </c>
      <c r="AC11" s="36">
        <f>'10_Income_Statement'!AC8/'10_Income_Statement'!AC3</f>
        <v>-0.3723613567657425</v>
      </c>
      <c r="AD11" s="36">
        <f>'10_Income_Statement'!AD8/'10_Income_Statement'!AD3</f>
        <v>-0.31124234051788463</v>
      </c>
      <c r="AE11" s="36">
        <f>'10_Income_Statement'!AE8/'10_Income_Statement'!AE3</f>
        <v>-0.26300451884206733</v>
      </c>
      <c r="AF11" s="36">
        <f>'10_Income_Statement'!AF8/'10_Income_Statement'!AF3</f>
        <v>-0.21252883766189079</v>
      </c>
      <c r="AG11" s="36">
        <f>'10_Income_Statement'!AG8/'10_Income_Statement'!AG3</f>
        <v>-0.17217831692625299</v>
      </c>
      <c r="AH11" s="36">
        <f>'10_Income_Statement'!AH8/'10_Income_Statement'!AH3</f>
        <v>-0.1387190983022257</v>
      </c>
      <c r="AI11" s="36">
        <f>'10_Income_Statement'!AI8/'10_Income_Statement'!AI3</f>
        <v>-9.7966138638893488E-2</v>
      </c>
      <c r="AJ11" s="36">
        <f>'10_Income_Statement'!AJ8/'10_Income_Statement'!AJ3</f>
        <v>-6.806863347034206E-2</v>
      </c>
      <c r="AK11" s="36">
        <f>'10_Income_Statement'!AK8/'10_Income_Statement'!AK3</f>
        <v>-3.4334320778735133E-2</v>
      </c>
      <c r="AL11" s="37">
        <f>'10_Income_Statement'!AL8/'10_Income_Statement'!AL3</f>
        <v>-7.9450321723527182</v>
      </c>
      <c r="AM11" s="36">
        <f>'10_Income_Statement'!AM8/'10_Income_Statement'!AM3</f>
        <v>-1.5006902735634933</v>
      </c>
      <c r="AN11" s="38">
        <f>'10_Income_Statement'!AN8/'10_Income_Statement'!AN3</f>
        <v>-0.23287445785008232</v>
      </c>
    </row>
    <row r="12" spans="1:40" x14ac:dyDescent="0.3">
      <c r="A12" s="129" t="s">
        <v>201</v>
      </c>
      <c r="B12" s="162">
        <f>IF('10_Income_Statement'!B8&lt;0,-'10_Income_Statement'!B8,0)</f>
        <v>1227720</v>
      </c>
      <c r="C12" s="162">
        <f>IF('10_Income_Statement'!C8&lt;0,-'10_Income_Statement'!C8,0)</f>
        <v>1214884.6822934672</v>
      </c>
      <c r="D12" s="162">
        <f>IF('10_Income_Statement'!D8&lt;0,-'10_Income_Statement'!D8,0)</f>
        <v>1201978.4146981351</v>
      </c>
      <c r="E12" s="162">
        <f>IF('10_Income_Statement'!E8&lt;0,-'10_Income_Statement'!E8,0)</f>
        <v>1188987.573288538</v>
      </c>
      <c r="F12" s="162">
        <f>IF('10_Income_Statement'!F8&lt;0,-'10_Income_Statement'!F8,0)</f>
        <v>1175898.5685680704</v>
      </c>
      <c r="G12" s="162">
        <f>IF('10_Income_Statement'!G8&lt;0,-'10_Income_Statement'!G8,0)</f>
        <v>1162697.832583162</v>
      </c>
      <c r="H12" s="162">
        <f>IF('10_Income_Statement'!H8&lt;0,-'10_Income_Statement'!H8,0)</f>
        <v>1204571.8061820627</v>
      </c>
      <c r="I12" s="162">
        <f>IF('10_Income_Statement'!I8&lt;0,-'10_Income_Statement'!I8,0)</f>
        <v>1278506.9264052974</v>
      </c>
      <c r="J12" s="162">
        <f>IF('10_Income_Statement'!J8&lt;0,-'10_Income_Statement'!J8,0)</f>
        <v>1317075.6900527081</v>
      </c>
      <c r="K12" s="162">
        <f>IF('10_Income_Statement'!K8&lt;0,-'10_Income_Statement'!K8,0)</f>
        <v>1366440.7944011104</v>
      </c>
      <c r="L12" s="162">
        <f>IF('10_Income_Statement'!L8&lt;0,-'10_Income_Statement'!L8,0)</f>
        <v>1429389.5212038271</v>
      </c>
      <c r="M12" s="162">
        <f>IF('10_Income_Statement'!M8&lt;0,-'10_Income_Statement'!M8,0)</f>
        <v>1478308.8851142002</v>
      </c>
      <c r="N12" s="162">
        <f>IF('10_Income_Statement'!N8&lt;0,-'10_Income_Statement'!N8,0)</f>
        <v>1789212.6397389486</v>
      </c>
      <c r="O12" s="162">
        <f>IF('10_Income_Statement'!O8&lt;0,-'10_Income_Statement'!O8,0)</f>
        <v>1738631.579089144</v>
      </c>
      <c r="P12" s="162">
        <f>IF('10_Income_Statement'!P8&lt;0,-'10_Income_Statement'!P8,0)</f>
        <v>1674358.9544255985</v>
      </c>
      <c r="Q12" s="162">
        <f>IF('10_Income_Statement'!Q8&lt;0,-'10_Income_Statement'!Q8,0)</f>
        <v>1610155.3211393079</v>
      </c>
      <c r="R12" s="162">
        <f>IF('10_Income_Statement'!R8&lt;0,-'10_Income_Statement'!R8,0)</f>
        <v>1559779.6351071573</v>
      </c>
      <c r="S12" s="162">
        <f>IF('10_Income_Statement'!S8&lt;0,-'10_Income_Statement'!S8,0)</f>
        <v>1495589.3980786442</v>
      </c>
      <c r="T12" s="162">
        <f>IF('10_Income_Statement'!T8&lt;0,-'10_Income_Statement'!T8,0)</f>
        <v>1431340.7863774924</v>
      </c>
      <c r="U12" s="162">
        <f>IF('10_Income_Statement'!U8&lt;0,-'10_Income_Statement'!U8,0)</f>
        <v>2069616.8348163408</v>
      </c>
      <c r="V12" s="162">
        <f>IF('10_Income_Statement'!V8&lt;0,-'10_Income_Statement'!V8,0)</f>
        <v>1964115.9920936595</v>
      </c>
      <c r="W12" s="162">
        <f>IF('10_Income_Statement'!W8&lt;0,-'10_Income_Statement'!W8,0)</f>
        <v>1907420.2861665813</v>
      </c>
      <c r="X12" s="162">
        <f>IF('10_Income_Statement'!X8&lt;0,-'10_Income_Statement'!X8,0)</f>
        <v>1816633.3769754448</v>
      </c>
      <c r="Y12" s="162">
        <f>IF('10_Income_Statement'!Y8&lt;0,-'10_Income_Statement'!Y8,0)</f>
        <v>1712355.4743824296</v>
      </c>
      <c r="Z12" s="162">
        <f>IF('10_Income_Statement'!Z8&lt;0,-'10_Income_Statement'!Z8,0)</f>
        <v>1578383.6719367346</v>
      </c>
      <c r="AA12" s="162">
        <f>IF('10_Income_Statement'!AA8&lt;0,-'10_Income_Statement'!AA8,0)</f>
        <v>1437612.2419569851</v>
      </c>
      <c r="AB12" s="162">
        <f>IF('10_Income_Statement'!AB8&lt;0,-'10_Income_Statement'!AB8,0)</f>
        <v>1333632.8952941694</v>
      </c>
      <c r="AC12" s="162">
        <f>IF('10_Income_Statement'!AC8&lt;0,-'10_Income_Statement'!AC8,0)</f>
        <v>1204235.0088471062</v>
      </c>
      <c r="AD12" s="162">
        <f>IF('10_Income_Statement'!AD8&lt;0,-'10_Income_Statement'!AD8,0)</f>
        <v>1083805.8236356275</v>
      </c>
      <c r="AE12" s="162">
        <f>IF('10_Income_Statement'!AE8&lt;0,-'10_Income_Statement'!AE8,0)</f>
        <v>981430.61599229835</v>
      </c>
      <c r="AF12" s="162">
        <f>IF('10_Income_Statement'!AF8&lt;0,-'10_Income_Statement'!AF8,0)</f>
        <v>846392.84420975856</v>
      </c>
      <c r="AG12" s="162">
        <f>IF('10_Income_Statement'!AG8&lt;0,-'10_Income_Statement'!AG8,0)</f>
        <v>729174.27277570963</v>
      </c>
      <c r="AH12" s="162">
        <f>IF('10_Income_Statement'!AH8&lt;0,-'10_Income_Statement'!AH8,0)</f>
        <v>622755.07614002377</v>
      </c>
      <c r="AI12" s="162">
        <f>IF('10_Income_Statement'!AI8&lt;0,-'10_Income_Statement'!AI8,0)</f>
        <v>464913.92378645949</v>
      </c>
      <c r="AJ12" s="162">
        <f>IF('10_Income_Statement'!AJ8&lt;0,-'10_Income_Statement'!AJ8,0)</f>
        <v>340628.04822413484</v>
      </c>
      <c r="AK12" s="162">
        <f>IF('10_Income_Statement'!AK8&lt;0,-'10_Income_Statement'!AK8,0)</f>
        <v>180773.29736978002</v>
      </c>
      <c r="AL12" s="160">
        <f t="shared" ref="AL12:AL13" si="3">M12</f>
        <v>1478308.8851142002</v>
      </c>
      <c r="AM12" s="159">
        <f t="shared" ref="AM12:AM13" si="4">Y12</f>
        <v>1712355.4743824296</v>
      </c>
      <c r="AN12" s="161">
        <f t="shared" ref="AN12:AN13" si="5">AK12</f>
        <v>180773.29736978002</v>
      </c>
    </row>
    <row r="13" spans="1:40" ht="15" thickBot="1" x14ac:dyDescent="0.35">
      <c r="A13" s="24" t="s">
        <v>202</v>
      </c>
      <c r="B13" s="28" t="str">
        <f>"N/A"</f>
        <v>N/A</v>
      </c>
      <c r="C13" s="28">
        <f t="shared" ref="C13:AK13" si="6">IF(C12&lt;=0,0,IF((C5-B5)&lt;=0,999,C12/(C5-B5)))</f>
        <v>7.9923706285808835</v>
      </c>
      <c r="D13" s="28">
        <f t="shared" si="6"/>
        <v>7.8323913184432739</v>
      </c>
      <c r="E13" s="28">
        <f t="shared" si="6"/>
        <v>7.6682840313367757</v>
      </c>
      <c r="F13" s="28">
        <f t="shared" si="6"/>
        <v>7.5005035762957233</v>
      </c>
      <c r="G13" s="28">
        <f t="shared" si="6"/>
        <v>7.3294992140631541</v>
      </c>
      <c r="H13" s="28">
        <f t="shared" si="6"/>
        <v>7.4993737344798292</v>
      </c>
      <c r="I13" s="28">
        <f t="shared" si="6"/>
        <v>7.8557760756666806</v>
      </c>
      <c r="J13" s="28">
        <f t="shared" si="6"/>
        <v>7.7198187568600458</v>
      </c>
      <c r="K13" s="28">
        <f t="shared" si="6"/>
        <v>7.6421543360553859</v>
      </c>
      <c r="L13" s="28">
        <f t="shared" si="6"/>
        <v>7.8659456057191406</v>
      </c>
      <c r="M13" s="28">
        <f t="shared" si="6"/>
        <v>8.0012589083211996</v>
      </c>
      <c r="N13" s="28">
        <f t="shared" si="6"/>
        <v>2.7061113967747246</v>
      </c>
      <c r="O13" s="28">
        <f t="shared" si="6"/>
        <v>2.6206730003373893</v>
      </c>
      <c r="P13" s="28">
        <f t="shared" si="6"/>
        <v>2.514259674050547</v>
      </c>
      <c r="Q13" s="28">
        <f t="shared" si="6"/>
        <v>2.4077180616023117</v>
      </c>
      <c r="R13" s="28">
        <f t="shared" si="6"/>
        <v>2.3215849441698317</v>
      </c>
      <c r="S13" s="28">
        <f t="shared" si="6"/>
        <v>2.2146917881430146</v>
      </c>
      <c r="T13" s="28">
        <f t="shared" si="6"/>
        <v>2.1077070565522682</v>
      </c>
      <c r="U13" s="28">
        <f t="shared" si="6"/>
        <v>1.3148686347793759</v>
      </c>
      <c r="V13" s="28">
        <f t="shared" si="6"/>
        <v>1.2457982363060882</v>
      </c>
      <c r="W13" s="28">
        <f t="shared" si="6"/>
        <v>1.2073696213293574</v>
      </c>
      <c r="X13" s="28">
        <f t="shared" si="6"/>
        <v>1.1470568387960549</v>
      </c>
      <c r="Y13" s="28">
        <f t="shared" si="6"/>
        <v>1.0780356300783076</v>
      </c>
      <c r="Z13" s="28">
        <f t="shared" si="6"/>
        <v>0.99028434628134587</v>
      </c>
      <c r="AA13" s="28">
        <f t="shared" si="6"/>
        <v>0.89840941069177438</v>
      </c>
      <c r="AB13" s="28">
        <f t="shared" si="6"/>
        <v>0.8297036457300524</v>
      </c>
      <c r="AC13" s="28">
        <f t="shared" si="6"/>
        <v>0.74544294614160378</v>
      </c>
      <c r="AD13" s="28">
        <f t="shared" si="6"/>
        <v>0.66715696899624188</v>
      </c>
      <c r="AE13" s="28">
        <f t="shared" si="6"/>
        <v>0.60042991409218749</v>
      </c>
      <c r="AF13" s="28">
        <f t="shared" si="6"/>
        <v>0.51434044719036831</v>
      </c>
      <c r="AG13" s="28">
        <f t="shared" si="6"/>
        <v>0.43987968339064315</v>
      </c>
      <c r="AH13" s="28">
        <f t="shared" si="6"/>
        <v>0.37272687137057742</v>
      </c>
      <c r="AI13" s="28">
        <f t="shared" si="6"/>
        <v>0.27590772044511436</v>
      </c>
      <c r="AJ13" s="28">
        <f t="shared" si="6"/>
        <v>0.20032606772204789</v>
      </c>
      <c r="AK13" s="28">
        <f t="shared" si="6"/>
        <v>0.10529473341083936</v>
      </c>
      <c r="AL13" s="29">
        <f t="shared" si="3"/>
        <v>8.0012589083211996</v>
      </c>
      <c r="AM13" s="30">
        <f t="shared" si="4"/>
        <v>1.0780356300783076</v>
      </c>
      <c r="AN13" s="31">
        <f t="shared" si="5"/>
        <v>0.10529473341083936</v>
      </c>
    </row>
    <row r="14" spans="1:40" x14ac:dyDescent="0.3">
      <c r="A14" s="32" t="s">
        <v>203</v>
      </c>
      <c r="B14" s="39">
        <f>IF('12_Balance Sheet'!B4&lt;=0,0,IF(B12&lt;=0,999,'12_Balance Sheet'!B4/'03_KPIs'!B12))</f>
        <v>4.9016489792855733</v>
      </c>
      <c r="C14" s="39">
        <f>IF('12_Balance Sheet'!C4&lt;=0,0,IF(C12&lt;=0,999,'12_Balance Sheet'!C4/'03_KPIs'!C12))</f>
        <v>3.9043252886934932</v>
      </c>
      <c r="D14" s="39">
        <f>IF('12_Balance Sheet'!D4&lt;=0,0,IF(D12&lt;=0,999,'12_Balance Sheet'!D4/'03_KPIs'!D12))</f>
        <v>2.8966478907665008</v>
      </c>
      <c r="E14" s="39">
        <f>IF('12_Balance Sheet'!E4&lt;=0,0,IF(E12&lt;=0,999,'12_Balance Sheet'!E4/'03_KPIs'!E12))</f>
        <v>2.7157376036422356</v>
      </c>
      <c r="F14" s="39">
        <f>IF('12_Balance Sheet'!F4&lt;=0,0,IF(F12&lt;=0,999,'12_Balance Sheet'!F4/'03_KPIs'!F12))</f>
        <v>3.3819907108732363</v>
      </c>
      <c r="G14" s="39">
        <f>IF('12_Balance Sheet'!G4&lt;=0,0,IF(G12&lt;=0,999,'12_Balance Sheet'!G4/'03_KPIs'!G12))</f>
        <v>2.3477158526767918</v>
      </c>
      <c r="H14" s="39">
        <f>IF('12_Balance Sheet'!H4&lt;=0,0,IF(H12&lt;=0,999,'12_Balance Sheet'!H4/'03_KPIs'!H12))</f>
        <v>8.6833102550953694</v>
      </c>
      <c r="I14" s="39">
        <f>IF('12_Balance Sheet'!I4&lt;=0,0,IF(I12&lt;=0,999,'12_Balance Sheet'!I4/'03_KPIs'!I12))</f>
        <v>7.1374653377751613</v>
      </c>
      <c r="J14" s="39">
        <f>IF('12_Balance Sheet'!J4&lt;=0,0,IF(J12&lt;=0,999,'12_Balance Sheet'!J4/'03_KPIs'!J12))</f>
        <v>5.8060266859668843</v>
      </c>
      <c r="K14" s="39">
        <f>IF('12_Balance Sheet'!K4&lt;=0,0,IF(K12&lt;=0,999,'12_Balance Sheet'!K4/'03_KPIs'!K12))</f>
        <v>4.4777351871424349</v>
      </c>
      <c r="L14" s="39">
        <f>IF('12_Balance Sheet'!L4&lt;=0,0,IF(L12&lt;=0,999,'12_Balance Sheet'!L4/'03_KPIs'!L12))</f>
        <v>3.1669711872908866</v>
      </c>
      <c r="M14" s="39">
        <f>IF('12_Balance Sheet'!M4&lt;=0,0,IF(M12&lt;=0,999,'12_Balance Sheet'!M4/'03_KPIs'!M12))</f>
        <v>8.7086900851378157</v>
      </c>
      <c r="N14" s="39">
        <f>IF('12_Balance Sheet'!N4&lt;=0,0,IF(N12&lt;=0,999,'12_Balance Sheet'!N4/'03_KPIs'!N12))</f>
        <v>6.2339652508584793</v>
      </c>
      <c r="O14" s="39">
        <f>IF('12_Balance Sheet'!O4&lt;=0,0,IF(O12&lt;=0,999,'12_Balance Sheet'!O4/'03_KPIs'!O12))</f>
        <v>5.2628813875732297</v>
      </c>
      <c r="P14" s="39">
        <f>IF('12_Balance Sheet'!P4&lt;=0,0,IF(P12&lt;=0,999,'12_Balance Sheet'!P4/'03_KPIs'!P12))</f>
        <v>4.2871719769814955</v>
      </c>
      <c r="Q14" s="39">
        <f>IF('12_Balance Sheet'!Q4&lt;=0,0,IF(Q12&lt;=0,999,'12_Balance Sheet'!Q4/'03_KPIs'!Q12))</f>
        <v>3.2587262223629141</v>
      </c>
      <c r="R14" s="39">
        <f>IF('12_Balance Sheet'!R4&lt;=0,0,IF(R12&lt;=0,999,'12_Balance Sheet'!R4/'03_KPIs'!R12))</f>
        <v>2.1487743202150136</v>
      </c>
      <c r="S14" s="39">
        <f>IF('12_Balance Sheet'!S4&lt;=0,0,IF(S12&lt;=0,999,'12_Balance Sheet'!S4/'03_KPIs'!S12))</f>
        <v>0.99874791364193138</v>
      </c>
      <c r="T14" s="39">
        <f>IF('12_Balance Sheet'!T4&lt;=0,0,IF(T12&lt;=0,999,'12_Balance Sheet'!T4/'03_KPIs'!T12))</f>
        <v>27.723586022403694</v>
      </c>
      <c r="U14" s="39">
        <f>IF('12_Balance Sheet'!U4&lt;=0,0,IF(U12&lt;=0,999,'12_Balance Sheet'!U4/'03_KPIs'!U12))</f>
        <v>18.249766363302069</v>
      </c>
      <c r="V14" s="39">
        <f>IF('12_Balance Sheet'!V4&lt;=0,0,IF(V12&lt;=0,999,'12_Balance Sheet'!V4/'03_KPIs'!V12))</f>
        <v>17.971611530653085</v>
      </c>
      <c r="W14" s="39">
        <f>IF('12_Balance Sheet'!W4&lt;=0,0,IF(W12&lt;=0,999,'12_Balance Sheet'!W4/'03_KPIs'!W12))</f>
        <v>17.219772885166339</v>
      </c>
      <c r="X14" s="39">
        <f>IF('12_Balance Sheet'!X4&lt;=0,0,IF(X12&lt;=0,999,'12_Balance Sheet'!X4/'03_KPIs'!X12))</f>
        <v>16.740210121845539</v>
      </c>
      <c r="Y14" s="39">
        <f>IF('12_Balance Sheet'!Y4&lt;=0,0,IF(Y12&lt;=0,999,'12_Balance Sheet'!Y4/'03_KPIs'!Y12))</f>
        <v>16.365263585035525</v>
      </c>
      <c r="Z14" s="39">
        <f>IF('12_Balance Sheet'!Z4&lt;=0,0,IF(Z12&lt;=0,999,'12_Balance Sheet'!Z4/'03_KPIs'!Z12))</f>
        <v>16.289086450935741</v>
      </c>
      <c r="AA14" s="39">
        <f>IF('12_Balance Sheet'!AA4&lt;=0,0,IF(AA12&lt;=0,999,'12_Balance Sheet'!AA4/'03_KPIs'!AA12))</f>
        <v>16.342804070069178</v>
      </c>
      <c r="AB14" s="39">
        <f>IF('12_Balance Sheet'!AB4&lt;=0,0,IF(AB12&lt;=0,999,'12_Balance Sheet'!AB4/'03_KPIs'!AB12))</f>
        <v>16.017633204099972</v>
      </c>
      <c r="AC14" s="39">
        <f>IF('12_Balance Sheet'!AC4&lt;=0,0,IF(AC12&lt;=0,999,'12_Balance Sheet'!AC4/'03_KPIs'!AC12))</f>
        <v>16.034378452106139</v>
      </c>
      <c r="AD14" s="39">
        <f>IF('12_Balance Sheet'!AD4&lt;=0,0,IF(AD12&lt;=0,999,'12_Balance Sheet'!AD4/'03_KPIs'!AD12))</f>
        <v>16.008460254828044</v>
      </c>
      <c r="AE14" s="39">
        <f>IF('12_Balance Sheet'!AE4&lt;=0,0,IF(AE12&lt;=0,999,'12_Balance Sheet'!AE4/'03_KPIs'!AE12))</f>
        <v>15.763517348679247</v>
      </c>
      <c r="AF14" s="39">
        <f>IF('12_Balance Sheet'!AF4&lt;=0,0,IF(AF12&lt;=0,999,'12_Balance Sheet'!AF4/'03_KPIs'!AF12))</f>
        <v>16.166424984094565</v>
      </c>
      <c r="AG14" s="39">
        <f>IF('12_Balance Sheet'!AG4&lt;=0,0,IF(AG12&lt;=0,999,'12_Balance Sheet'!AG4/'03_KPIs'!AG12))</f>
        <v>16.449207704562724</v>
      </c>
      <c r="AH14" s="39">
        <f>IF('12_Balance Sheet'!AH4&lt;=0,0,IF(AH12&lt;=0,999,'12_Balance Sheet'!AH4/'03_KPIs'!AH12))</f>
        <v>16.686028151368419</v>
      </c>
      <c r="AI14" s="39">
        <f>IF('12_Balance Sheet'!AI4&lt;=0,0,IF(AI12&lt;=0,999,'12_Balance Sheet'!AI4/'03_KPIs'!AI12))</f>
        <v>19.139374426321513</v>
      </c>
      <c r="AJ14" s="39">
        <f>IF('12_Balance Sheet'!AJ4&lt;=0,0,IF(AJ12&lt;=0,999,'12_Balance Sheet'!AJ4/'03_KPIs'!AJ12))</f>
        <v>22.091677624450753</v>
      </c>
      <c r="AK14" s="39">
        <f>IF('12_Balance Sheet'!AK4&lt;=0,0,IF(AK12&lt;=0,999,'12_Balance Sheet'!AK4/'03_KPIs'!AK12))</f>
        <v>34.706488144874228</v>
      </c>
      <c r="AL14" s="40">
        <f t="shared" ref="AL14" si="7">M14</f>
        <v>8.7086900851378157</v>
      </c>
      <c r="AM14" s="39">
        <f t="shared" ref="AM14" si="8">Y14</f>
        <v>16.365263585035525</v>
      </c>
      <c r="AN14" s="41">
        <f t="shared" ref="AN14" si="9">AK14</f>
        <v>34.706488144874228</v>
      </c>
    </row>
    <row r="15" spans="1:40" x14ac:dyDescent="0.3">
      <c r="A15" s="127" t="s">
        <v>204</v>
      </c>
      <c r="B15" s="159">
        <f>'12_Balance Sheet'!B12-'12_Balance Sheet'!B4</f>
        <v>-6017852.4848484844</v>
      </c>
      <c r="C15" s="159">
        <f>'12_Balance Sheet'!C12-'12_Balance Sheet'!C4</f>
        <v>-4743304.9879247444</v>
      </c>
      <c r="D15" s="159">
        <f>'12_Balance Sheet'!D12-'12_Balance Sheet'!D4</f>
        <v>-3481708.2396822153</v>
      </c>
      <c r="E15" s="159">
        <f>'12_Balance Sheet'!E12-'12_Balance Sheet'!E4</f>
        <v>-2228978.2630430111</v>
      </c>
      <c r="F15" s="159">
        <f>'12_Balance Sheet'!F12-'12_Balance Sheet'!F4</f>
        <v>-976878.03582634963</v>
      </c>
      <c r="G15" s="159">
        <f>'12_Balance Sheet'!G12-'12_Balance Sheet'!G4</f>
        <v>270315.86657156423</v>
      </c>
      <c r="H15" s="159">
        <f>'12_Balance Sheet'!H12-'12_Balance Sheet'!H4</f>
        <v>-6459670.7176194564</v>
      </c>
      <c r="I15" s="159">
        <f>'12_Balance Sheet'!I12-'12_Balance Sheet'!I4</f>
        <v>-5125298.8713232689</v>
      </c>
      <c r="J15" s="159">
        <f>'12_Balance Sheet'!J12-'12_Balance Sheet'!J4</f>
        <v>-3646976.6038842723</v>
      </c>
      <c r="K15" s="159">
        <f>'12_Balance Sheet'!K12-'12_Balance Sheet'!K4</f>
        <v>-2118560.0262367139</v>
      </c>
      <c r="L15" s="159">
        <f>'12_Balance Sheet'!L12-'12_Balance Sheet'!L4</f>
        <v>-526835.42906803638</v>
      </c>
      <c r="M15" s="159">
        <f>'12_Balance Sheet'!M12-'12_Balance Sheet'!M4</f>
        <v>-8874133.9305651728</v>
      </c>
      <c r="N15" s="159">
        <f>'12_Balance Sheet'!N12-'12_Balance Sheet'!N4</f>
        <v>-7153889.422529377</v>
      </c>
      <c r="O15" s="159">
        <f>'12_Balance Sheet'!O12-'12_Balance Sheet'!O4</f>
        <v>-5150211.7774353102</v>
      </c>
      <c r="P15" s="159">
        <f>'12_Balance Sheet'!P12-'12_Balance Sheet'!P4</f>
        <v>-3178264.7888214635</v>
      </c>
      <c r="Q15" s="159">
        <f>'12_Balance Sheet'!Q12-'12_Balance Sheet'!Q4</f>
        <v>-1247055.3670738414</v>
      </c>
      <c r="R15" s="159">
        <f>'12_Balance Sheet'!R12-'12_Balance Sheet'!R4</f>
        <v>648385.57488739584</v>
      </c>
      <c r="S15" s="159">
        <f>'12_Balance Sheet'!S12-'12_Balance Sheet'!S4</f>
        <v>2506283.2090039621</v>
      </c>
      <c r="T15" s="159">
        <f>'12_Balance Sheet'!T12-'12_Balance Sheet'!T4</f>
        <v>-35681899.418511361</v>
      </c>
      <c r="U15" s="159">
        <f>'12_Balance Sheet'!U12-'12_Balance Sheet'!U4</f>
        <v>-33770023.696954951</v>
      </c>
      <c r="V15" s="159">
        <f>'12_Balance Sheet'!V12-'12_Balance Sheet'!V4</f>
        <v>-31298329.611050531</v>
      </c>
      <c r="W15" s="159">
        <f>'12_Balance Sheet'!W12-'12_Balance Sheet'!W4</f>
        <v>-28845344.124347519</v>
      </c>
      <c r="X15" s="159">
        <f>'12_Balance Sheet'!X12-'12_Balance Sheet'!X4</f>
        <v>-26410824.444926787</v>
      </c>
      <c r="Y15" s="159">
        <f>'12_Balance Sheet'!Y12-'12_Balance Sheet'!Y4</f>
        <v>-24023148.689547006</v>
      </c>
      <c r="Z15" s="159">
        <f>'12_Balance Sheet'!Z12-'12_Balance Sheet'!Z4</f>
        <v>-21710428.084922865</v>
      </c>
      <c r="AA15" s="159">
        <f>'12_Balance Sheet'!AA12-'12_Balance Sheet'!AA4</f>
        <v>-19494615.19903589</v>
      </c>
      <c r="AB15" s="159">
        <f>'12_Balance Sheet'!AB12-'12_Balance Sheet'!AB4</f>
        <v>-17361642.545743871</v>
      </c>
      <c r="AC15" s="159">
        <f>'12_Balance Sheet'!AC12-'12_Balance Sheet'!AC4</f>
        <v>-15309159.877129886</v>
      </c>
      <c r="AD15" s="159">
        <f>'12_Balance Sheet'!AD12-'12_Balance Sheet'!AD4</f>
        <v>-13350062.451622117</v>
      </c>
      <c r="AE15" s="159">
        <f>'12_Balance Sheet'!AE12-'12_Balance Sheet'!AE4</f>
        <v>-11470798.541719556</v>
      </c>
      <c r="AF15" s="159">
        <f>'12_Balance Sheet'!AF12-'12_Balance Sheet'!AF4</f>
        <v>-9683146.4229915012</v>
      </c>
      <c r="AG15" s="159">
        <f>'12_Balance Sheet'!AG12-'12_Balance Sheet'!AG4</f>
        <v>-7994339.0657111239</v>
      </c>
      <c r="AH15" s="159">
        <f>'12_Balance Sheet'!AH12-'12_Balance Sheet'!AH4</f>
        <v>-6391308.7318800204</v>
      </c>
      <c r="AI15" s="159">
        <f>'12_Balance Sheet'!AI12-'12_Balance Sheet'!AI4</f>
        <v>-4898161.6633593515</v>
      </c>
      <c r="AJ15" s="159">
        <f>'12_Balance Sheet'!AJ12-'12_Balance Sheet'!AJ4</f>
        <v>-3525045.0312134521</v>
      </c>
      <c r="AK15" s="159">
        <f>'12_Balance Sheet'!AK12-'12_Balance Sheet'!AK4</f>
        <v>-2274006.3020740934</v>
      </c>
      <c r="AL15" s="160">
        <f>'12_Balance Sheet'!AL12-'12_Balance Sheet'!AL4</f>
        <v>-8874133.9305651728</v>
      </c>
      <c r="AM15" s="159">
        <f>'12_Balance Sheet'!AM12-'12_Balance Sheet'!AM4</f>
        <v>-24023148.689547006</v>
      </c>
      <c r="AN15" s="161">
        <f>'12_Balance Sheet'!AN12-'12_Balance Sheet'!AN4</f>
        <v>-2274006.3020740934</v>
      </c>
    </row>
    <row r="16" spans="1:40" ht="15" thickBot="1" x14ac:dyDescent="0.35">
      <c r="A16" s="128" t="s">
        <v>205</v>
      </c>
      <c r="B16" s="163">
        <f>IF(SUM('12_Balance Sheet'!B15:B16)&lt;=0,"n/m",'12_Balance Sheet'!B12/SUM('12_Balance Sheet'!B15:B16))</f>
        <v>0</v>
      </c>
      <c r="C16" s="163">
        <f>IF(SUM('12_Balance Sheet'!C15:C16)&lt;=0,"n/m",'12_Balance Sheet'!C12/SUM('12_Balance Sheet'!C15:C16))</f>
        <v>0</v>
      </c>
      <c r="D16" s="163">
        <f>IF(SUM('12_Balance Sheet'!D15:D16)&lt;=0,"n/m",'12_Balance Sheet'!D12/SUM('12_Balance Sheet'!D15:D16))</f>
        <v>0</v>
      </c>
      <c r="E16" s="163">
        <f>IF(SUM('12_Balance Sheet'!E15:E16)&lt;=0,"n/m",'12_Balance Sheet'!E12/SUM('12_Balance Sheet'!E15:E16))</f>
        <v>0.60514987054009706</v>
      </c>
      <c r="F16" s="163">
        <f>IF(SUM('12_Balance Sheet'!F15:F16)&lt;=0,"n/m",'12_Balance Sheet'!F12/SUM('12_Balance Sheet'!F15:F16))</f>
        <v>6.6145171155968541</v>
      </c>
      <c r="G16" s="163" t="str">
        <f>IF(SUM('12_Balance Sheet'!G15:G16)&lt;=0,"n/m",'12_Balance Sheet'!G12/SUM('12_Balance Sheet'!G15:G16))</f>
        <v>n/m</v>
      </c>
      <c r="H16" s="163" t="str">
        <f>IF(SUM('12_Balance Sheet'!H15:H16)&lt;=0,"n/m",'12_Balance Sheet'!H12/SUM('12_Balance Sheet'!H15:H16))</f>
        <v>n/m</v>
      </c>
      <c r="I16" s="163" t="str">
        <f>IF(SUM('12_Balance Sheet'!I15:I16)&lt;=0,"n/m",'12_Balance Sheet'!I12/SUM('12_Balance Sheet'!I15:I16))</f>
        <v>n/m</v>
      </c>
      <c r="J16" s="163" t="str">
        <f>IF(SUM('12_Balance Sheet'!J15:J16)&lt;=0,"n/m",'12_Balance Sheet'!J12/SUM('12_Balance Sheet'!J15:J16))</f>
        <v>n/m</v>
      </c>
      <c r="K16" s="163" t="str">
        <f>IF(SUM('12_Balance Sheet'!K15:K16)&lt;=0,"n/m",'12_Balance Sheet'!K12/SUM('12_Balance Sheet'!K15:K16))</f>
        <v>n/m</v>
      </c>
      <c r="L16" s="163" t="str">
        <f>IF(SUM('12_Balance Sheet'!L15:L16)&lt;=0,"n/m",'12_Balance Sheet'!L12/SUM('12_Balance Sheet'!L15:L16))</f>
        <v>n/m</v>
      </c>
      <c r="M16" s="163">
        <f>IF(SUM('12_Balance Sheet'!M15:M16)&lt;=0,"n/m",'12_Balance Sheet'!M12/SUM('12_Balance Sheet'!M15:M16))</f>
        <v>0.44901635668589346</v>
      </c>
      <c r="N16" s="163">
        <f>IF(SUM('12_Balance Sheet'!N15:N16)&lt;=0,"n/m",'12_Balance Sheet'!N12/SUM('12_Balance Sheet'!N15:N16))</f>
        <v>0.56603543037363035</v>
      </c>
      <c r="O16" s="163">
        <f>IF(SUM('12_Balance Sheet'!O15:O16)&lt;=0,"n/m",'12_Balance Sheet'!O12/SUM('12_Balance Sheet'!O15:O16))</f>
        <v>0.75845000788888783</v>
      </c>
      <c r="P16" s="163">
        <f>IF(SUM('12_Balance Sheet'!P15:P16)&lt;=0,"n/m",'12_Balance Sheet'!P12/SUM('12_Balance Sheet'!P15:P16))</f>
        <v>1.1287460958478179</v>
      </c>
      <c r="Q16" s="163">
        <f>IF(SUM('12_Balance Sheet'!Q15:Q16)&lt;=0,"n/m",'12_Balance Sheet'!Q12/SUM('12_Balance Sheet'!Q15:Q16))</f>
        <v>2.1319725770537667</v>
      </c>
      <c r="R16" s="163">
        <f>IF(SUM('12_Balance Sheet'!R15:R16)&lt;=0,"n/m",'12_Balance Sheet'!R12/SUM('12_Balance Sheet'!R15:R16))</f>
        <v>15.536716073562605</v>
      </c>
      <c r="S16" s="163" t="str">
        <f>IF(SUM('12_Balance Sheet'!S15:S16)&lt;=0,"n/m",'12_Balance Sheet'!S12/SUM('12_Balance Sheet'!S15:S16))</f>
        <v>n/m</v>
      </c>
      <c r="T16" s="163">
        <f>IF(SUM('12_Balance Sheet'!T15:T16)&lt;=0,"n/m",'12_Balance Sheet'!T12/SUM('12_Balance Sheet'!T15:T16))</f>
        <v>0.10750349067618518</v>
      </c>
      <c r="U16" s="163">
        <f>IF(SUM('12_Balance Sheet'!U15:U16)&lt;=0,"n/m",'12_Balance Sheet'!U12/SUM('12_Balance Sheet'!U15:U16))</f>
        <v>0.11404103947418076</v>
      </c>
      <c r="V16" s="163">
        <f>IF(SUM('12_Balance Sheet'!V15:V16)&lt;=0,"n/m",'12_Balance Sheet'!V12/SUM('12_Balance Sheet'!V15:V16))</f>
        <v>0.12104311608134279</v>
      </c>
      <c r="W16" s="163">
        <f>IF(SUM('12_Balance Sheet'!W15:W16)&lt;=0,"n/m",'12_Balance Sheet'!W12/SUM('12_Balance Sheet'!W15:W16))</f>
        <v>0.12873237376780663</v>
      </c>
      <c r="X16" s="163">
        <f>IF(SUM('12_Balance Sheet'!X15:X16)&lt;=0,"n/m",'12_Balance Sheet'!X12/SUM('12_Balance Sheet'!X15:X16))</f>
        <v>0.1370448684148885</v>
      </c>
      <c r="Y16" s="163">
        <f>IF(SUM('12_Balance Sheet'!Y15:Y16)&lt;=0,"n/m",'12_Balance Sheet'!Y12/SUM('12_Balance Sheet'!Y15:Y16))</f>
        <v>0.14595629609267663</v>
      </c>
      <c r="Z16" s="163">
        <f>IF(SUM('12_Balance Sheet'!Z15:Z16)&lt;=0,"n/m",'12_Balance Sheet'!Z12/SUM('12_Balance Sheet'!Z15:Z16))</f>
        <v>0.15530533008251024</v>
      </c>
      <c r="AA16" s="163">
        <f>IF(SUM('12_Balance Sheet'!AA15:AA16)&lt;=0,"n/m",'12_Balance Sheet'!AA12/SUM('12_Balance Sheet'!AA15:AA16))</f>
        <v>0.16498162789798398</v>
      </c>
      <c r="AB16" s="163">
        <f>IF(SUM('12_Balance Sheet'!AB15:AB16)&lt;=0,"n/m",'12_Balance Sheet'!AB12/SUM('12_Balance Sheet'!AB15:AB16))</f>
        <v>0.17515481709039743</v>
      </c>
      <c r="AC16" s="163">
        <f>IF(SUM('12_Balance Sheet'!AC15:AC16)&lt;=0,"n/m",'12_Balance Sheet'!AC12/SUM('12_Balance Sheet'!AC15:AC16))</f>
        <v>0.1855583676126222</v>
      </c>
      <c r="AD16" s="163">
        <f>IF(SUM('12_Balance Sheet'!AD15:AD16)&lt;=0,"n/m",'12_Balance Sheet'!AD12/SUM('12_Balance Sheet'!AD15:AD16))</f>
        <v>0.19612647607377734</v>
      </c>
      <c r="AE16" s="163">
        <f>IF(SUM('12_Balance Sheet'!AE15:AE16)&lt;=0,"n/m",'12_Balance Sheet'!AE12/SUM('12_Balance Sheet'!AE15:AE16))</f>
        <v>0.20688663877516322</v>
      </c>
      <c r="AF16" s="163">
        <f>IF(SUM('12_Balance Sheet'!AF15:AF16)&lt;=0,"n/m",'12_Balance Sheet'!AF12/SUM('12_Balance Sheet'!AF15:AF16))</f>
        <v>0.21730898519081765</v>
      </c>
      <c r="AG16" s="163">
        <f>IF(SUM('12_Balance Sheet'!AG15:AG16)&lt;=0,"n/m",'12_Balance Sheet'!AG12/SUM('12_Balance Sheet'!AG15:AG16))</f>
        <v>0.2273326759493568</v>
      </c>
      <c r="AH16" s="163">
        <f>IF(SUM('12_Balance Sheet'!AH15:AH16)&lt;=0,"n/m",'12_Balance Sheet'!AH12/SUM('12_Balance Sheet'!AH15:AH16))</f>
        <v>0.23684597600707458</v>
      </c>
      <c r="AI16" s="163">
        <f>IF(SUM('12_Balance Sheet'!AI15:AI16)&lt;=0,"n/m",'12_Balance Sheet'!AI12/SUM('12_Balance Sheet'!AI15:AI16))</f>
        <v>0.24482604473499925</v>
      </c>
      <c r="AJ16" s="163">
        <f>IF(SUM('12_Balance Sheet'!AJ15:AJ16)&lt;=0,"n/m",'12_Balance Sheet'!AJ12/SUM('12_Balance Sheet'!AJ15:AJ16))</f>
        <v>0.25140785553757244</v>
      </c>
      <c r="AK16" s="163">
        <f>IF(SUM('12_Balance Sheet'!AK15:AK16)&lt;=0,"n/m",'12_Balance Sheet'!AK12/SUM('12_Balance Sheet'!AK15:AK16))</f>
        <v>0.2557375246694002</v>
      </c>
      <c r="AL16" s="164">
        <f>IF(SUM('12_Balance Sheet'!AL15:AL16)&lt;=0,"n/m",'12_Balance Sheet'!AL12/SUM('12_Balance Sheet'!AL15:AL16))</f>
        <v>0.44901635668589346</v>
      </c>
      <c r="AM16" s="163">
        <f>IF(SUM('12_Balance Sheet'!AM15:AM16)&lt;=0,"n/m",'12_Balance Sheet'!AM12/SUM('12_Balance Sheet'!AM15:AM16))</f>
        <v>0.14595629609267663</v>
      </c>
      <c r="AN16" s="165">
        <f>IF(SUM('12_Balance Sheet'!AN15:AN16)&lt;=0,"n/m",'12_Balance Sheet'!AN12/SUM('12_Balance Sheet'!AN15:AN16))</f>
        <v>0.2557375246694002</v>
      </c>
    </row>
    <row r="17" spans="1:40" ht="15" thickBot="1" x14ac:dyDescent="0.35">
      <c r="A17" s="166" t="s">
        <v>206</v>
      </c>
      <c r="B17" s="167">
        <f>'12_Balance Sheet'!B6</f>
        <v>0</v>
      </c>
      <c r="C17" s="167">
        <f>'12_Balance Sheet'!C6</f>
        <v>0</v>
      </c>
      <c r="D17" s="167">
        <f>'12_Balance Sheet'!D6</f>
        <v>0</v>
      </c>
      <c r="E17" s="167">
        <f>'12_Balance Sheet'!E6</f>
        <v>0</v>
      </c>
      <c r="F17" s="167">
        <f>'12_Balance Sheet'!F6</f>
        <v>0</v>
      </c>
      <c r="G17" s="167">
        <f>'12_Balance Sheet'!G6</f>
        <v>0</v>
      </c>
      <c r="H17" s="167">
        <f>'12_Balance Sheet'!H6</f>
        <v>0</v>
      </c>
      <c r="I17" s="167">
        <f>'12_Balance Sheet'!I6</f>
        <v>0</v>
      </c>
      <c r="J17" s="167">
        <f>'12_Balance Sheet'!J6</f>
        <v>84899.265982908095</v>
      </c>
      <c r="K17" s="167">
        <f>'12_Balance Sheet'!K6</f>
        <v>172767.61864518566</v>
      </c>
      <c r="L17" s="167">
        <f>'12_Balance Sheet'!L6</f>
        <v>263509.43516585283</v>
      </c>
      <c r="M17" s="167">
        <f>'12_Balance Sheet'!M6</f>
        <v>357045.26633176696</v>
      </c>
      <c r="N17" s="167">
        <f>'12_Balance Sheet'!N6</f>
        <v>481593.32023227925</v>
      </c>
      <c r="O17" s="167">
        <f>'12_Balance Sheet'!O6</f>
        <v>634469.53497685748</v>
      </c>
      <c r="P17" s="167">
        <f>'12_Balance Sheet'!P6</f>
        <v>813249.41408642335</v>
      </c>
      <c r="Q17" s="167">
        <f>'12_Balance Sheet'!Q6</f>
        <v>1015745.962461544</v>
      </c>
      <c r="R17" s="167">
        <f>'12_Balance Sheet'!R6</f>
        <v>1239989.4967483771</v>
      </c>
      <c r="S17" s="167">
        <f>'12_Balance Sheet'!S6</f>
        <v>1484209.1731734811</v>
      </c>
      <c r="T17" s="167">
        <f>'12_Balance Sheet'!T6</f>
        <v>1746816.0890344568</v>
      </c>
      <c r="U17" s="167">
        <f>'12_Balance Sheet'!U6</f>
        <v>2079621.8816766276</v>
      </c>
      <c r="V17" s="167">
        <f>'12_Balance Sheet'!V6</f>
        <v>2476400.2471113573</v>
      </c>
      <c r="W17" s="167">
        <f>'12_Balance Sheet'!W6</f>
        <v>2931529.0787591944</v>
      </c>
      <c r="X17" s="167">
        <f>'12_Balance Sheet'!X6</f>
        <v>3439938.9586091684</v>
      </c>
      <c r="Y17" s="167">
        <f>'12_Balance Sheet'!Y6</f>
        <v>3997066.0269496362</v>
      </c>
      <c r="Z17" s="167">
        <f>'12_Balance Sheet'!Z6</f>
        <v>4598808.8639318179</v>
      </c>
      <c r="AA17" s="167">
        <f>'12_Balance Sheet'!AA6</f>
        <v>5241489.0468824264</v>
      </c>
      <c r="AB17" s="167">
        <f>'12_Balance Sheet'!AB6</f>
        <v>5921815.0753799099</v>
      </c>
      <c r="AC17" s="167">
        <f>'12_Balance Sheet'!AC6</f>
        <v>6636849.3818630204</v>
      </c>
      <c r="AD17" s="167">
        <f>'12_Balance Sheet'!AD6</f>
        <v>7383978.16914606</v>
      </c>
      <c r="AE17" s="167">
        <f>'12_Balance Sheet'!AE6</f>
        <v>8160883.8378514601</v>
      </c>
      <c r="AF17" s="167">
        <f>'12_Balance Sheet'!AF6</f>
        <v>8965519.7866014559</v>
      </c>
      <c r="AG17" s="167">
        <f>'12_Balance Sheet'!AG6</f>
        <v>9796087.3859871589</v>
      </c>
      <c r="AH17" s="167">
        <f>'12_Balance Sheet'!AH6</f>
        <v>10651014.943993097</v>
      </c>
      <c r="AI17" s="167">
        <f>'12_Balance Sheet'!AI6</f>
        <v>11528938.495825028</v>
      </c>
      <c r="AJ17" s="167">
        <f>'12_Balance Sheet'!AJ6</f>
        <v>12428684.265084164</v>
      </c>
      <c r="AK17" s="167">
        <f>'12_Balance Sheet'!AK6</f>
        <v>13349252.65605847</v>
      </c>
      <c r="AL17" s="164">
        <f>'12_Balance Sheet'!AL6</f>
        <v>357045.26633176696</v>
      </c>
      <c r="AM17" s="163">
        <f>'12_Balance Sheet'!AM6</f>
        <v>3997066.0269496362</v>
      </c>
      <c r="AN17" s="165">
        <f>'12_Balance Sheet'!AN6</f>
        <v>13349252.65605847</v>
      </c>
    </row>
    <row r="18" spans="1:40" x14ac:dyDescent="0.3">
      <c r="A18" s="42" t="s">
        <v>415</v>
      </c>
      <c r="B18" s="43" cm="1">
        <f t="array" ref="B18">IF(B$1&lt;13,B3*12,B5/INDEX($B5:$AK5,1,MAX(1,B$1-12))-1)+B11</f>
        <v>-52.453420853319876</v>
      </c>
      <c r="C18" s="43" cm="1">
        <f t="array" ref="C18">IF(C$1&lt;13,C3*12,C5/INDEX($B5:$AK5,1,MAX(1,C$1-12))-1)+C11</f>
        <v>-13.7336043710509</v>
      </c>
      <c r="D18" s="43" cm="1">
        <f t="array" ref="D18">IF(D$1&lt;13,D3*12,D5/INDEX($B5:$AK5,1,MAX(1,D$1-12))-1)+D11</f>
        <v>-10.879850388627695</v>
      </c>
      <c r="E18" s="43" cm="1">
        <f t="array" ref="E18">IF(E$1&lt;13,E3*12,E5/INDEX($B5:$AK5,1,MAX(1,E$1-12))-1)+E11</f>
        <v>-8.4445606304402716</v>
      </c>
      <c r="F18" s="43" cm="1">
        <f t="array" ref="F18">IF(F$1&lt;13,F3*12,F5/INDEX($B5:$AK5,1,MAX(1,F$1-12))-1)+F11</f>
        <v>-6.7792097252883865</v>
      </c>
      <c r="G18" s="43" cm="1">
        <f t="array" ref="G18">IF(G$1&lt;13,G3*12,G5/INDEX($B5:$AK5,1,MAX(1,G$1-12))-1)+G11</f>
        <v>-5.5993113415702798</v>
      </c>
      <c r="H18" s="43" cm="1">
        <f t="array" ref="H18">IF(H$1&lt;13,H3*12,H5/INDEX($B5:$AK5,1,MAX(1,H$1-12))-1)+H11</f>
        <v>-5.0524178227947498</v>
      </c>
      <c r="I18" s="43" cm="1">
        <f t="array" ref="I18">IF(I$1&lt;13,I3*12,I5/INDEX($B5:$AK5,1,MAX(1,I$1-12))-1)+I11</f>
        <v>-4.7884104039455435</v>
      </c>
      <c r="J18" s="43" cm="1">
        <f t="array" ref="J18">IF(J$1&lt;13,J3*12,J5/INDEX($B5:$AK5,1,MAX(1,J$1-12))-1)+J11</f>
        <v>-4.1408850780449393</v>
      </c>
      <c r="K18" s="43" cm="1">
        <f t="array" ref="K18">IF(K$1&lt;13,K3*12,K5/INDEX($B5:$AK5,1,MAX(1,K$1-12))-1)+K11</f>
        <v>-3.9965197675750899</v>
      </c>
      <c r="L18" s="43" cm="1">
        <f t="array" ref="L18">IF(L$1&lt;13,L3*12,L5/INDEX($B5:$AK5,1,MAX(1,L$1-12))-1)+L11</f>
        <v>-3.8178677891130137</v>
      </c>
      <c r="M18" s="43" cm="1">
        <f t="array" ref="M18">IF(M$1&lt;13,M3*12,M5/INDEX($B5:$AK5,1,MAX(1,M$1-12))-1)+M11</f>
        <v>-3.6174107650758645</v>
      </c>
      <c r="N18" s="43" cm="1">
        <f t="array" ref="N18">IF(N$1&lt;13,N3*12,N5/INDEX($B5:$AK5,1,MAX(1,N$1-12))-1)+N11</f>
        <v>12.056713832309338</v>
      </c>
      <c r="O18" s="43" cm="1">
        <f t="array" ref="O18">IF(O$1&lt;13,O3*12,O5/INDEX($B5:$AK5,1,MAX(1,O$1-12))-1)+O11</f>
        <v>6.4725051355737033</v>
      </c>
      <c r="P18" s="43" cm="1">
        <f t="array" ref="P18">IF(P$1&lt;13,P3*12,P5/INDEX($B5:$AK5,1,MAX(1,P$1-12))-1)+P11</f>
        <v>4.9493575994801589</v>
      </c>
      <c r="Q18" s="43" cm="1">
        <f t="array" ref="Q18">IF(Q$1&lt;13,Q3*12,Q5/INDEX($B5:$AK5,1,MAX(1,Q$1-12))-1)+Q11</f>
        <v>4.3243323048764353</v>
      </c>
      <c r="R18" s="43" cm="1">
        <f t="array" ref="R18">IF(R$1&lt;13,R3*12,R5/INDEX($B5:$AK5,1,MAX(1,R$1-12))-1)+R11</f>
        <v>3.9983289882597708</v>
      </c>
      <c r="S18" s="43" cm="1">
        <f t="array" ref="S18">IF(S$1&lt;13,S3*12,S5/INDEX($B5:$AK5,1,MAX(1,S$1-12))-1)+S11</f>
        <v>3.8288171805966735</v>
      </c>
      <c r="T18" s="43" cm="1">
        <f t="array" ref="T18">IF(T$1&lt;13,T3*12,T5/INDEX($B5:$AK5,1,MAX(1,T$1-12))-1)+T11</f>
        <v>3.7273255750584049</v>
      </c>
      <c r="U18" s="43" cm="1">
        <f t="array" ref="U18">IF(U$1&lt;13,U3*12,U5/INDEX($B5:$AK5,1,MAX(1,U$1-12))-1)+U11</f>
        <v>3.9557607260471213</v>
      </c>
      <c r="V18" s="43" cm="1">
        <f t="array" ref="V18">IF(V$1&lt;13,V3*12,V5/INDEX($B5:$AK5,1,MAX(1,V$1-12))-1)+V11</f>
        <v>4.6061140877080629</v>
      </c>
      <c r="W18" s="43" cm="1">
        <f t="array" ref="W18">IF(W$1&lt;13,W3*12,W5/INDEX($B5:$AK5,1,MAX(1,W$1-12))-1)+W11</f>
        <v>5.0338963750623282</v>
      </c>
      <c r="X18" s="43" cm="1">
        <f t="array" ref="X18">IF(X$1&lt;13,X3*12,X5/INDEX($B5:$AK5,1,MAX(1,X$1-12))-1)+X11</f>
        <v>5.3740155520369344</v>
      </c>
      <c r="Y18" s="43" cm="1">
        <f t="array" ref="Y18">IF(Y$1&lt;13,Y3*12,Y5/INDEX($B5:$AK5,1,MAX(1,Y$1-12))-1)+Y11</f>
        <v>5.6425090242827292</v>
      </c>
      <c r="Z18" s="43" cm="1">
        <f t="array" ref="Z18">IF(Z$1&lt;13,Z3*12,Z5/INDEX($B5:$AK5,1,MAX(1,Z$1-12))-1)+Z11</f>
        <v>4.5142775893777447</v>
      </c>
      <c r="AA18" s="43" cm="1">
        <f t="array" ref="AA18">IF(AA$1&lt;13,AA3*12,AA5/INDEX($B5:$AK5,1,MAX(1,AA$1-12))-1)+AA11</f>
        <v>3.8692485898909403</v>
      </c>
      <c r="AB18" s="43" cm="1">
        <f t="array" ref="AB18">IF(AB$1&lt;13,AB3*12,AB5/INDEX($B5:$AK5,1,MAX(1,AB$1-12))-1)+AB11</f>
        <v>3.44566690704794</v>
      </c>
      <c r="AC18" s="43" cm="1">
        <f t="array" ref="AC18">IF(AC$1&lt;13,AC3*12,AC5/INDEX($B5:$AK5,1,MAX(1,AC$1-12))-1)+AC11</f>
        <v>3.1617113126930811</v>
      </c>
      <c r="AD18" s="43" cm="1">
        <f t="array" ref="AD18">IF(AD$1&lt;13,AD3*12,AD5/INDEX($B5:$AK5,1,MAX(1,AD$1-12))-1)+AD11</f>
        <v>2.9544256749811013</v>
      </c>
      <c r="AE18" s="43" cm="1">
        <f t="array" ref="AE18">IF(AE$1&lt;13,AE3*12,AE5/INDEX($B5:$AK5,1,MAX(1,AE$1-12))-1)+AE11</f>
        <v>2.7940223095294696</v>
      </c>
      <c r="AF18" s="43" cm="1">
        <f t="array" ref="AF18">IF(AF$1&lt;13,AF3*12,AF5/INDEX($B5:$AK5,1,MAX(1,AF$1-12))-1)+AF11</f>
        <v>2.6776869347087007</v>
      </c>
      <c r="AG18" s="43" cm="1">
        <f t="array" ref="AG18">IF(AG$1&lt;13,AG3*12,AG5/INDEX($B5:$AK5,1,MAX(1,AG$1-12))-1)+AG11</f>
        <v>2.1751398743592834</v>
      </c>
      <c r="AH18" s="43" cm="1">
        <f t="array" ref="AH18">IF(AH$1&lt;13,AH3*12,AH5/INDEX($B5:$AK5,1,MAX(1,AH$1-12))-1)+AH11</f>
        <v>1.8406603329580802</v>
      </c>
      <c r="AI18" s="43" cm="1">
        <f t="array" ref="AI18">IF(AI$1&lt;13,AI3*12,AI5/INDEX($B5:$AK5,1,MAX(1,AI$1-12))-1)+AI11</f>
        <v>1.6159174652894779</v>
      </c>
      <c r="AJ18" s="43" cm="1">
        <f t="array" ref="AJ18">IF(AJ$1&lt;13,AJ3*12,AJ5/INDEX($B5:$AK5,1,MAX(1,AJ$1-12))-1)+AJ11</f>
        <v>1.4454612531341795</v>
      </c>
      <c r="AK18" s="43" cm="1">
        <f t="array" ref="AK18">IF(AK$1&lt;13,AK3*12,AK5/INDEX($B5:$AK5,1,MAX(1,AK$1-12))-1)+AK11</f>
        <v>1.3228350988968514</v>
      </c>
      <c r="AL18" s="44">
        <f t="shared" ref="AL18:AL23" si="10">M18</f>
        <v>-3.6174107650758645</v>
      </c>
      <c r="AM18" s="43">
        <f t="shared" ref="AM18:AM23" si="11">Y18</f>
        <v>5.6425090242827292</v>
      </c>
      <c r="AN18" s="45">
        <f t="shared" ref="AN18:AN23" si="12">AK18</f>
        <v>1.3228350988968514</v>
      </c>
    </row>
    <row r="19" spans="1:40" x14ac:dyDescent="0.3">
      <c r="A19" s="127" t="s">
        <v>416</v>
      </c>
      <c r="B19" s="122">
        <f>(1-'32_Inputs_GrowthRetention'!$B$4)^12</f>
        <v>0.65212036074823387</v>
      </c>
      <c r="C19" s="122">
        <f>(1-'32_Inputs_GrowthRetention'!$B$4)^12</f>
        <v>0.65212036074823387</v>
      </c>
      <c r="D19" s="122">
        <f>(1-'32_Inputs_GrowthRetention'!$B$4)^12</f>
        <v>0.65212036074823387</v>
      </c>
      <c r="E19" s="122">
        <f>(1-'32_Inputs_GrowthRetention'!$B$4)^12</f>
        <v>0.65212036074823387</v>
      </c>
      <c r="F19" s="122">
        <f>(1-'32_Inputs_GrowthRetention'!$B$4)^12</f>
        <v>0.65212036074823387</v>
      </c>
      <c r="G19" s="122">
        <f>(1-'32_Inputs_GrowthRetention'!$B$4)^12</f>
        <v>0.65212036074823387</v>
      </c>
      <c r="H19" s="122">
        <f>(1-'32_Inputs_GrowthRetention'!$B$4)^12</f>
        <v>0.65212036074823387</v>
      </c>
      <c r="I19" s="122">
        <f>(1-'32_Inputs_GrowthRetention'!$B$4)^12</f>
        <v>0.65212036074823387</v>
      </c>
      <c r="J19" s="122">
        <f>(1-'32_Inputs_GrowthRetention'!$B$4)^12</f>
        <v>0.65212036074823387</v>
      </c>
      <c r="K19" s="122">
        <f>(1-'32_Inputs_GrowthRetention'!$B$4)^12</f>
        <v>0.65212036074823387</v>
      </c>
      <c r="L19" s="122">
        <f>(1-'32_Inputs_GrowthRetention'!$B$4)^12</f>
        <v>0.65212036074823387</v>
      </c>
      <c r="M19" s="122">
        <f>(1-'32_Inputs_GrowthRetention'!$B$4)^12</f>
        <v>0.65212036074823387</v>
      </c>
      <c r="N19" s="122">
        <f>(1-'32_Inputs_GrowthRetention'!$B$4)^12</f>
        <v>0.65212036074823387</v>
      </c>
      <c r="O19" s="122">
        <f>(1-'32_Inputs_GrowthRetention'!$B$4)^12</f>
        <v>0.65212036074823387</v>
      </c>
      <c r="P19" s="122">
        <f>(1-'32_Inputs_GrowthRetention'!$B$4)^12</f>
        <v>0.65212036074823387</v>
      </c>
      <c r="Q19" s="122">
        <f>(1-'32_Inputs_GrowthRetention'!$B$4)^12</f>
        <v>0.65212036074823387</v>
      </c>
      <c r="R19" s="122">
        <f>(1-'32_Inputs_GrowthRetention'!$B$4)^12</f>
        <v>0.65212036074823387</v>
      </c>
      <c r="S19" s="122">
        <f>(1-'32_Inputs_GrowthRetention'!$B$4)^12</f>
        <v>0.65212036074823387</v>
      </c>
      <c r="T19" s="122">
        <f>(1-'32_Inputs_GrowthRetention'!$B$4)^12</f>
        <v>0.65212036074823387</v>
      </c>
      <c r="U19" s="122">
        <f>(1-'32_Inputs_GrowthRetention'!$B$4)^12</f>
        <v>0.65212036074823387</v>
      </c>
      <c r="V19" s="122">
        <f>(1-'32_Inputs_GrowthRetention'!$B$4)^12</f>
        <v>0.65212036074823387</v>
      </c>
      <c r="W19" s="122">
        <f>(1-'32_Inputs_GrowthRetention'!$B$4)^12</f>
        <v>0.65212036074823387</v>
      </c>
      <c r="X19" s="122">
        <f>(1-'32_Inputs_GrowthRetention'!$B$4)^12</f>
        <v>0.65212036074823387</v>
      </c>
      <c r="Y19" s="122">
        <f>(1-'32_Inputs_GrowthRetention'!$B$4)^12</f>
        <v>0.65212036074823387</v>
      </c>
      <c r="Z19" s="122">
        <f>(1-'32_Inputs_GrowthRetention'!$B$4)^12</f>
        <v>0.65212036074823387</v>
      </c>
      <c r="AA19" s="122">
        <f>(1-'32_Inputs_GrowthRetention'!$B$4)^12</f>
        <v>0.65212036074823387</v>
      </c>
      <c r="AB19" s="122">
        <f>(1-'32_Inputs_GrowthRetention'!$B$4)^12</f>
        <v>0.65212036074823387</v>
      </c>
      <c r="AC19" s="122">
        <f>(1-'32_Inputs_GrowthRetention'!$B$4)^12</f>
        <v>0.65212036074823387</v>
      </c>
      <c r="AD19" s="122">
        <f>(1-'32_Inputs_GrowthRetention'!$B$4)^12</f>
        <v>0.65212036074823387</v>
      </c>
      <c r="AE19" s="122">
        <f>(1-'32_Inputs_GrowthRetention'!$B$4)^12</f>
        <v>0.65212036074823387</v>
      </c>
      <c r="AF19" s="122">
        <f>(1-'32_Inputs_GrowthRetention'!$B$4)^12</f>
        <v>0.65212036074823387</v>
      </c>
      <c r="AG19" s="122">
        <f>(1-'32_Inputs_GrowthRetention'!$B$4)^12</f>
        <v>0.65212036074823387</v>
      </c>
      <c r="AH19" s="122">
        <f>(1-'32_Inputs_GrowthRetention'!$B$4)^12</f>
        <v>0.65212036074823387</v>
      </c>
      <c r="AI19" s="122">
        <f>(1-'32_Inputs_GrowthRetention'!$B$4)^12</f>
        <v>0.65212036074823387</v>
      </c>
      <c r="AJ19" s="122">
        <f>(1-'32_Inputs_GrowthRetention'!$B$4)^12</f>
        <v>0.65212036074823387</v>
      </c>
      <c r="AK19" s="122">
        <f>(1-'32_Inputs_GrowthRetention'!$B$4)^12</f>
        <v>0.65212036074823387</v>
      </c>
      <c r="AL19" s="133">
        <f t="shared" si="10"/>
        <v>0.65212036074823387</v>
      </c>
      <c r="AM19" s="122">
        <f t="shared" si="11"/>
        <v>0.65212036074823387</v>
      </c>
      <c r="AN19" s="130">
        <f t="shared" si="12"/>
        <v>0.65212036074823387</v>
      </c>
    </row>
    <row r="20" spans="1:40" x14ac:dyDescent="0.3">
      <c r="A20" s="127" t="s">
        <v>417</v>
      </c>
      <c r="B20" s="168">
        <f>IF('41_Revenue_COGS'!B3&lt;=0,0,'41_Revenue_COGS'!B4/'41_Revenue_COGS'!B3)</f>
        <v>1.1999999999999999E-2</v>
      </c>
      <c r="C20" s="168">
        <f>IF('41_Revenue_COGS'!C3&lt;=0,0,'41_Revenue_COGS'!C4/'41_Revenue_COGS'!C3)</f>
        <v>1.2E-2</v>
      </c>
      <c r="D20" s="168">
        <f>IF('41_Revenue_COGS'!D3&lt;=0,0,'41_Revenue_COGS'!D4/'41_Revenue_COGS'!D3)</f>
        <v>1.2E-2</v>
      </c>
      <c r="E20" s="168">
        <f>IF('41_Revenue_COGS'!E3&lt;=0,0,'41_Revenue_COGS'!E4/'41_Revenue_COGS'!E3)</f>
        <v>1.2E-2</v>
      </c>
      <c r="F20" s="168">
        <f>IF('41_Revenue_COGS'!F3&lt;=0,0,'41_Revenue_COGS'!F4/'41_Revenue_COGS'!F3)</f>
        <v>1.2E-2</v>
      </c>
      <c r="G20" s="168">
        <f>IF('41_Revenue_COGS'!G3&lt;=0,0,'41_Revenue_COGS'!G4/'41_Revenue_COGS'!G3)</f>
        <v>1.2E-2</v>
      </c>
      <c r="H20" s="168">
        <f>IF('41_Revenue_COGS'!H3&lt;=0,0,'41_Revenue_COGS'!H4/'41_Revenue_COGS'!H3)</f>
        <v>1.2E-2</v>
      </c>
      <c r="I20" s="168">
        <f>IF('41_Revenue_COGS'!I3&lt;=0,0,'41_Revenue_COGS'!I4/'41_Revenue_COGS'!I3)</f>
        <v>1.2E-2</v>
      </c>
      <c r="J20" s="168">
        <f>IF('41_Revenue_COGS'!J3&lt;=0,0,'41_Revenue_COGS'!J4/'41_Revenue_COGS'!J3)</f>
        <v>1.2E-2</v>
      </c>
      <c r="K20" s="168">
        <f>IF('41_Revenue_COGS'!K3&lt;=0,0,'41_Revenue_COGS'!K4/'41_Revenue_COGS'!K3)</f>
        <v>1.2E-2</v>
      </c>
      <c r="L20" s="168">
        <f>IF('41_Revenue_COGS'!L3&lt;=0,0,'41_Revenue_COGS'!L4/'41_Revenue_COGS'!L3)</f>
        <v>1.2E-2</v>
      </c>
      <c r="M20" s="168">
        <f>IF('41_Revenue_COGS'!M3&lt;=0,0,'41_Revenue_COGS'!M4/'41_Revenue_COGS'!M3)</f>
        <v>1.1999999999999999E-2</v>
      </c>
      <c r="N20" s="168">
        <f>IF('41_Revenue_COGS'!N3&lt;=0,0,'41_Revenue_COGS'!N4/'41_Revenue_COGS'!N3)</f>
        <v>1.2E-2</v>
      </c>
      <c r="O20" s="168">
        <f>IF('41_Revenue_COGS'!O3&lt;=0,0,'41_Revenue_COGS'!O4/'41_Revenue_COGS'!O3)</f>
        <v>1.2E-2</v>
      </c>
      <c r="P20" s="168">
        <f>IF('41_Revenue_COGS'!P3&lt;=0,0,'41_Revenue_COGS'!P4/'41_Revenue_COGS'!P3)</f>
        <v>1.1999999999999999E-2</v>
      </c>
      <c r="Q20" s="168">
        <f>IF('41_Revenue_COGS'!Q3&lt;=0,0,'41_Revenue_COGS'!Q4/'41_Revenue_COGS'!Q3)</f>
        <v>1.2E-2</v>
      </c>
      <c r="R20" s="168">
        <f>IF('41_Revenue_COGS'!R3&lt;=0,0,'41_Revenue_COGS'!R4/'41_Revenue_COGS'!R3)</f>
        <v>1.1999999999999999E-2</v>
      </c>
      <c r="S20" s="168">
        <f>IF('41_Revenue_COGS'!S3&lt;=0,0,'41_Revenue_COGS'!S4/'41_Revenue_COGS'!S3)</f>
        <v>1.2E-2</v>
      </c>
      <c r="T20" s="168">
        <f>IF('41_Revenue_COGS'!T3&lt;=0,0,'41_Revenue_COGS'!T4/'41_Revenue_COGS'!T3)</f>
        <v>1.2E-2</v>
      </c>
      <c r="U20" s="168">
        <f>IF('41_Revenue_COGS'!U3&lt;=0,0,'41_Revenue_COGS'!U4/'41_Revenue_COGS'!U3)</f>
        <v>1.2E-2</v>
      </c>
      <c r="V20" s="168">
        <f>IF('41_Revenue_COGS'!V3&lt;=0,0,'41_Revenue_COGS'!V4/'41_Revenue_COGS'!V3)</f>
        <v>1.1999999999999999E-2</v>
      </c>
      <c r="W20" s="168">
        <f>IF('41_Revenue_COGS'!W3&lt;=0,0,'41_Revenue_COGS'!W4/'41_Revenue_COGS'!W3)</f>
        <v>1.2E-2</v>
      </c>
      <c r="X20" s="168">
        <f>IF('41_Revenue_COGS'!X3&lt;=0,0,'41_Revenue_COGS'!X4/'41_Revenue_COGS'!X3)</f>
        <v>1.2E-2</v>
      </c>
      <c r="Y20" s="168">
        <f>IF('41_Revenue_COGS'!Y3&lt;=0,0,'41_Revenue_COGS'!Y4/'41_Revenue_COGS'!Y3)</f>
        <v>1.2E-2</v>
      </c>
      <c r="Z20" s="168">
        <f>IF('41_Revenue_COGS'!Z3&lt;=0,0,'41_Revenue_COGS'!Z4/'41_Revenue_COGS'!Z3)</f>
        <v>1.2000000000000002E-2</v>
      </c>
      <c r="AA20" s="168">
        <f>IF('41_Revenue_COGS'!AA3&lt;=0,0,'41_Revenue_COGS'!AA4/'41_Revenue_COGS'!AA3)</f>
        <v>1.2000000000000002E-2</v>
      </c>
      <c r="AB20" s="168">
        <f>IF('41_Revenue_COGS'!AB3&lt;=0,0,'41_Revenue_COGS'!AB4/'41_Revenue_COGS'!AB3)</f>
        <v>1.2E-2</v>
      </c>
      <c r="AC20" s="168">
        <f>IF('41_Revenue_COGS'!AC3&lt;=0,0,'41_Revenue_COGS'!AC4/'41_Revenue_COGS'!AC3)</f>
        <v>1.2E-2</v>
      </c>
      <c r="AD20" s="168">
        <f>IF('41_Revenue_COGS'!AD3&lt;=0,0,'41_Revenue_COGS'!AD4/'41_Revenue_COGS'!AD3)</f>
        <v>1.2E-2</v>
      </c>
      <c r="AE20" s="168">
        <f>IF('41_Revenue_COGS'!AE3&lt;=0,0,'41_Revenue_COGS'!AE4/'41_Revenue_COGS'!AE3)</f>
        <v>1.2E-2</v>
      </c>
      <c r="AF20" s="168">
        <f>IF('41_Revenue_COGS'!AF3&lt;=0,0,'41_Revenue_COGS'!AF4/'41_Revenue_COGS'!AF3)</f>
        <v>1.2E-2</v>
      </c>
      <c r="AG20" s="168">
        <f>IF('41_Revenue_COGS'!AG3&lt;=0,0,'41_Revenue_COGS'!AG4/'41_Revenue_COGS'!AG3)</f>
        <v>1.2E-2</v>
      </c>
      <c r="AH20" s="168">
        <f>IF('41_Revenue_COGS'!AH3&lt;=0,0,'41_Revenue_COGS'!AH4/'41_Revenue_COGS'!AH3)</f>
        <v>1.2E-2</v>
      </c>
      <c r="AI20" s="168">
        <f>IF('41_Revenue_COGS'!AI3&lt;=0,0,'41_Revenue_COGS'!AI4/'41_Revenue_COGS'!AI3)</f>
        <v>1.2E-2</v>
      </c>
      <c r="AJ20" s="168">
        <f>IF('41_Revenue_COGS'!AJ3&lt;=0,0,'41_Revenue_COGS'!AJ4/'41_Revenue_COGS'!AJ3)</f>
        <v>1.1999999999999999E-2</v>
      </c>
      <c r="AK20" s="168">
        <f>IF('41_Revenue_COGS'!AK3&lt;=0,0,'41_Revenue_COGS'!AK4/'41_Revenue_COGS'!AK3)</f>
        <v>1.1999999999999999E-2</v>
      </c>
      <c r="AL20" s="169">
        <f t="shared" si="10"/>
        <v>1.1999999999999999E-2</v>
      </c>
      <c r="AM20" s="168">
        <f t="shared" si="11"/>
        <v>1.2E-2</v>
      </c>
      <c r="AN20" s="170">
        <f t="shared" si="12"/>
        <v>1.1999999999999999E-2</v>
      </c>
    </row>
    <row r="21" spans="1:40" x14ac:dyDescent="0.3">
      <c r="A21" s="127" t="s">
        <v>418</v>
      </c>
      <c r="B21" s="171">
        <f>IF('40_Customers_Orders'!B8&lt;=0,0,('10_Income_Statement'!B6-'42_OPEX'!B7-'42_OPEX'!B12)/'40_Customers_Orders'!B8)</f>
        <v>-231.26877828054299</v>
      </c>
      <c r="C21" s="171">
        <f>IF('40_Customers_Orders'!C8&lt;=0,0,('10_Income_Statement'!C6-'42_OPEX'!C7-'42_OPEX'!C12)/'40_Customers_Orders'!C8)</f>
        <v>-108.76800934979336</v>
      </c>
      <c r="D21" s="171">
        <f>IF('40_Customers_Orders'!D8&lt;=0,0,('10_Income_Statement'!D6-'42_OPEX'!D7-'42_OPEX'!D12)/'40_Customers_Orders'!D8)</f>
        <v>-67.931098792779594</v>
      </c>
      <c r="E21" s="171">
        <f>IF('40_Customers_Orders'!E8&lt;=0,0,('10_Income_Statement'!E6-'42_OPEX'!E7-'42_OPEX'!E12)/'40_Customers_Orders'!E8)</f>
        <v>-47.509844896155428</v>
      </c>
      <c r="F21" s="171">
        <f>IF('40_Customers_Orders'!F8&lt;=0,0,('10_Income_Statement'!F6-'42_OPEX'!F7-'42_OPEX'!F12)/'40_Customers_Orders'!F8)</f>
        <v>-35.254615927892026</v>
      </c>
      <c r="G21" s="171">
        <f>IF('40_Customers_Orders'!G8&lt;=0,0,('10_Income_Statement'!G6-'42_OPEX'!G7-'42_OPEX'!G12)/'40_Customers_Orders'!G8)</f>
        <v>-27.082208580953651</v>
      </c>
      <c r="H21" s="171">
        <f>IF('40_Customers_Orders'!H8&lt;=0,0,('10_Income_Statement'!H6-'42_OPEX'!H7-'42_OPEX'!H12)/'40_Customers_Orders'!H8)</f>
        <v>-21.242684871403888</v>
      </c>
      <c r="I21" s="171">
        <f>IF('40_Customers_Orders'!I8&lt;=0,0,('10_Income_Statement'!I6-'42_OPEX'!I7-'42_OPEX'!I12)/'40_Customers_Orders'!I8)</f>
        <v>-16.861081344122766</v>
      </c>
      <c r="J21" s="171">
        <f>IF('40_Customers_Orders'!J8&lt;=0,0,('10_Income_Statement'!J6-'42_OPEX'!J7-'42_OPEX'!J12)/'40_Customers_Orders'!J8)</f>
        <v>-13.13181212542902</v>
      </c>
      <c r="K21" s="171">
        <f>IF('40_Customers_Orders'!K8&lt;=0,0,('10_Income_Statement'!K6-'42_OPEX'!K7-'42_OPEX'!K12)/'40_Customers_Orders'!K8)</f>
        <v>-10.317391931477056</v>
      </c>
      <c r="L21" s="171">
        <f>IF('40_Customers_Orders'!L8&lt;=0,0,('10_Income_Statement'!L6-'42_OPEX'!L7-'42_OPEX'!L12)/'40_Customers_Orders'!L8)</f>
        <v>-8.0113444573326067</v>
      </c>
      <c r="M21" s="171">
        <f>IF('40_Customers_Orders'!M8&lt;=0,0,('10_Income_Statement'!M6-'42_OPEX'!M7-'42_OPEX'!M12)/'40_Customers_Orders'!M8)</f>
        <v>-6.0866727193115562</v>
      </c>
      <c r="N21" s="171">
        <f>IF('40_Customers_Orders'!N8&lt;=0,0,('10_Income_Statement'!N6-'42_OPEX'!N7-'42_OPEX'!N12)/'40_Customers_Orders'!N8)</f>
        <v>-22.690034500945732</v>
      </c>
      <c r="O21" s="171">
        <f>IF('40_Customers_Orders'!O8&lt;=0,0,('10_Income_Statement'!O6-'42_OPEX'!O7-'42_OPEX'!O12)/'40_Customers_Orders'!O8)</f>
        <v>-15.137554940557377</v>
      </c>
      <c r="P21" s="171">
        <f>IF('40_Customers_Orders'!P8&lt;=0,0,('10_Income_Statement'!P6-'42_OPEX'!P7-'42_OPEX'!P12)/'40_Customers_Orders'!P8)</f>
        <v>-10.115289947914109</v>
      </c>
      <c r="Q21" s="171">
        <f>IF('40_Customers_Orders'!Q8&lt;=0,0,('10_Income_Statement'!Q6-'42_OPEX'!Q7-'42_OPEX'!Q12)/'40_Customers_Orders'!Q8)</f>
        <v>-6.5320431863751889</v>
      </c>
      <c r="R21" s="171">
        <f>IF('40_Customers_Orders'!R8&lt;=0,0,('10_Income_Statement'!R6-'42_OPEX'!R7-'42_OPEX'!R12)/'40_Customers_Orders'!R8)</f>
        <v>-3.8454480287272492</v>
      </c>
      <c r="S21" s="171">
        <f>IF('40_Customers_Orders'!S8&lt;=0,0,('10_Income_Statement'!S6-'42_OPEX'!S7-'42_OPEX'!S12)/'40_Customers_Orders'!S8)</f>
        <v>-1.7554332779671029</v>
      </c>
      <c r="T21" s="171">
        <f>IF('40_Customers_Orders'!T8&lt;=0,0,('10_Income_Statement'!T6-'42_OPEX'!T7-'42_OPEX'!T12)/'40_Customers_Orders'!T8)</f>
        <v>-8.2495000591267201E-2</v>
      </c>
      <c r="U21" s="171">
        <f>IF('40_Customers_Orders'!U8&lt;=0,0,('10_Income_Statement'!U6-'42_OPEX'!U7-'42_OPEX'!U12)/'40_Customers_Orders'!U8)</f>
        <v>-9.9546662311622764</v>
      </c>
      <c r="V21" s="171">
        <f>IF('40_Customers_Orders'!V8&lt;=0,0,('10_Income_Statement'!V6-'42_OPEX'!V7-'42_OPEX'!V12)/'40_Customers_Orders'!V8)</f>
        <v>-5.8888977273090291</v>
      </c>
      <c r="W21" s="171">
        <f>IF('40_Customers_Orders'!W8&lt;=0,0,('10_Income_Statement'!W6-'42_OPEX'!W7-'42_OPEX'!W12)/'40_Customers_Orders'!W8)</f>
        <v>-2.9581191702282585</v>
      </c>
      <c r="X21" s="171">
        <f>IF('40_Customers_Orders'!X8&lt;=0,0,('10_Income_Statement'!X6-'42_OPEX'!X7-'42_OPEX'!X12)/'40_Customers_Orders'!X8)</f>
        <v>-0.74411776115327366</v>
      </c>
      <c r="Y21" s="171">
        <f>IF('40_Customers_Orders'!Y8&lt;=0,0,('10_Income_Statement'!Y6-'42_OPEX'!Y7-'42_OPEX'!Y12)/'40_Customers_Orders'!Y8)</f>
        <v>0.98816301014780517</v>
      </c>
      <c r="Z21" s="171">
        <f>IF('40_Customers_Orders'!Z8&lt;=0,0,('10_Income_Statement'!Z6-'42_OPEX'!Z7-'42_OPEX'!Z12)/'40_Customers_Orders'!Z8)</f>
        <v>2.3810136283368015</v>
      </c>
      <c r="AA21" s="171">
        <f>IF('40_Customers_Orders'!AA8&lt;=0,0,('10_Income_Statement'!AA6-'42_OPEX'!AA7-'42_OPEX'!AA12)/'40_Customers_Orders'!AA8)</f>
        <v>3.5256258551366968</v>
      </c>
      <c r="AB21" s="171">
        <f>IF('40_Customers_Orders'!AB8&lt;=0,0,('10_Income_Statement'!AB6-'42_OPEX'!AB7-'42_OPEX'!AB12)/'40_Customers_Orders'!AB8)</f>
        <v>4.4831516464853349</v>
      </c>
      <c r="AC21" s="171">
        <f>IF('40_Customers_Orders'!AC8&lt;=0,0,('10_Income_Statement'!AC6-'42_OPEX'!AC7-'42_OPEX'!AC12)/'40_Customers_Orders'!AC8)</f>
        <v>5.2961397136950312</v>
      </c>
      <c r="AD21" s="171">
        <f>IF('40_Customers_Orders'!AD8&lt;=0,0,('10_Income_Statement'!AD6-'42_OPEX'!AD7-'42_OPEX'!AD12)/'40_Customers_Orders'!AD8)</f>
        <v>5.9951162671475364</v>
      </c>
      <c r="AE21" s="171">
        <f>IF('40_Customers_Orders'!AE8&lt;=0,0,('10_Income_Statement'!AE6-'42_OPEX'!AE7-'42_OPEX'!AE12)/'40_Customers_Orders'!AE8)</f>
        <v>6.6025563529169569</v>
      </c>
      <c r="AF21" s="171">
        <f>IF('40_Customers_Orders'!AF8&lt;=0,0,('10_Income_Statement'!AF6-'42_OPEX'!AF7-'42_OPEX'!AF12)/'40_Customers_Orders'!AF8)</f>
        <v>7.1353781160466587</v>
      </c>
      <c r="AG21" s="171">
        <f>IF('40_Customers_Orders'!AG8&lt;=0,0,('10_Income_Statement'!AG6-'42_OPEX'!AG7-'42_OPEX'!AG12)/'40_Customers_Orders'!AG8)</f>
        <v>7.606563539281697</v>
      </c>
      <c r="AH21" s="171">
        <f>IF('40_Customers_Orders'!AH8&lt;=0,0,('10_Income_Statement'!AH6-'42_OPEX'!AH7-'42_OPEX'!AH12)/'40_Customers_Orders'!AH8)</f>
        <v>8.026242901885011</v>
      </c>
      <c r="AI21" s="171">
        <f>IF('40_Customers_Orders'!AI8&lt;=0,0,('10_Income_Statement'!AI6-'42_OPEX'!AI7-'42_OPEX'!AI12)/'40_Customers_Orders'!AI8)</f>
        <v>8.4024391786500985</v>
      </c>
      <c r="AJ21" s="171">
        <f>IF('40_Customers_Orders'!AJ8&lt;=0,0,('10_Income_Statement'!AJ6-'42_OPEX'!AJ7-'42_OPEX'!AJ12)/'40_Customers_Orders'!AJ8)</f>
        <v>8.7415906224567141</v>
      </c>
      <c r="AK21" s="171">
        <f>IF('40_Customers_Orders'!AK8&lt;=0,0,('10_Income_Statement'!AK6-'42_OPEX'!AK7-'42_OPEX'!AK12)/'40_Customers_Orders'!AK8)</f>
        <v>9.0489250082243622</v>
      </c>
      <c r="AL21" s="172">
        <f t="shared" si="10"/>
        <v>-6.0866727193115562</v>
      </c>
      <c r="AM21" s="171">
        <f t="shared" si="11"/>
        <v>0.98816301014780517</v>
      </c>
      <c r="AN21" s="173">
        <f t="shared" si="12"/>
        <v>9.0489250082243622</v>
      </c>
    </row>
    <row r="22" spans="1:40" x14ac:dyDescent="0.3">
      <c r="A22" s="127" t="s">
        <v>419</v>
      </c>
      <c r="B22" s="174" cm="1">
        <f t="array" ref="B22">IF(B$1=1,0,IF('42_OPEX'!B12&lt;=0,0,(B5-INDEX($B5:$AK5,1,MAX(1,B$1-1)))/'42_OPEX'!B12))</f>
        <v>0</v>
      </c>
      <c r="C22" s="174" cm="1">
        <f t="array" ref="C22">IF(C$1=1,0,IF('42_OPEX'!C12&lt;=0,0,(C5-INDEX($B5:$AK5,1,MAX(1,C$1-1)))/'42_OPEX'!C12))</f>
        <v>0.59610019072635878</v>
      </c>
      <c r="D22" s="174" cm="1">
        <f t="array" ref="D22">IF(D$1=1,0,IF('42_OPEX'!D12&lt;=0,0,(D5-INDEX($B5:$AK5,1,MAX(1,D$1-1)))/'42_OPEX'!D12))</f>
        <v>0.59001348679263621</v>
      </c>
      <c r="E22" s="174" cm="1">
        <f t="array" ref="E22">IF(E$1=1,0,IF('42_OPEX'!E12&lt;=0,0,(E5-INDEX($B5:$AK5,1,MAX(1,E$1-1)))/'42_OPEX'!E12))</f>
        <v>0.58443820872053154</v>
      </c>
      <c r="F22" s="174" cm="1">
        <f t="array" ref="F22">IF(F$1=1,0,IF('42_OPEX'!F12&lt;=0,0,(F5-INDEX($B5:$AK5,1,MAX(1,F$1-1)))/'42_OPEX'!F12))</f>
        <v>0.57934697476899422</v>
      </c>
      <c r="G22" s="174" cm="1">
        <f t="array" ref="G22">IF(G$1=1,0,IF('42_OPEX'!G12&lt;=0,0,(G5-INDEX($B5:$AK5,1,MAX(1,G$1-1)))/'42_OPEX'!G12))</f>
        <v>0.57471388903212528</v>
      </c>
      <c r="H22" s="174" cm="1">
        <f t="array" ref="H22">IF(H$1=1,0,IF('42_OPEX'!H12&lt;=0,0,(H5-INDEX($B5:$AK5,1,MAX(1,H$1-1)))/'42_OPEX'!H12))</f>
        <v>0.5705144613663905</v>
      </c>
      <c r="I22" s="174" cm="1">
        <f t="array" ref="I22">IF(I$1=1,0,IF('42_OPEX'!I12&lt;=0,0,(I5-INDEX($B5:$AK5,1,MAX(1,I$1-1)))/'42_OPEX'!I12))</f>
        <v>0.56672553162919204</v>
      </c>
      <c r="J22" s="174" cm="1">
        <f t="array" ref="J22">IF(J$1=1,0,IF('42_OPEX'!J12&lt;=0,0,(J5-INDEX($B5:$AK5,1,MAX(1,J$1-1)))/'42_OPEX'!J12))</f>
        <v>0.58245482439060714</v>
      </c>
      <c r="K22" s="174" cm="1">
        <f t="array" ref="K22">IF(K$1=1,0,IF('42_OPEX'!K12&lt;=0,0,(K5-INDEX($B5:$AK5,1,MAX(1,K$1-1)))/'42_OPEX'!K12))</f>
        <v>0.59845770181528102</v>
      </c>
      <c r="L22" s="174" cm="1">
        <f t="array" ref="L22">IF(L$1=1,0,IF('42_OPEX'!L12&lt;=0,0,(L5-INDEX($B5:$AK5,1,MAX(1,L$1-1)))/'42_OPEX'!L12))</f>
        <v>0.59629055290001221</v>
      </c>
      <c r="M22" s="174" cm="1">
        <f t="array" ref="M22">IF(M$1=1,0,IF('42_OPEX'!M12&lt;=0,0,(M5-INDEX($B5:$AK5,1,MAX(1,M$1-1)))/'42_OPEX'!M12))</f>
        <v>0.59438106442178418</v>
      </c>
      <c r="N22" s="174" cm="1">
        <f t="array" ref="N22">IF(N$1=1,0,IF('42_OPEX'!N12&lt;=0,0,(N5-INDEX($B5:$AK5,1,MAX(1,N$1-1)))/'42_OPEX'!N12))</f>
        <v>0.94453541706239941</v>
      </c>
      <c r="O22" s="174" cm="1">
        <f t="array" ref="O22">IF(O$1=1,0,IF('42_OPEX'!O12&lt;=0,0,(O5-INDEX($B5:$AK5,1,MAX(1,O$1-1)))/'42_OPEX'!O12))</f>
        <v>0.92917286273599042</v>
      </c>
      <c r="P22" s="174" cm="1">
        <f t="array" ref="P22">IF(P$1=1,0,IF('42_OPEX'!P12&lt;=0,0,(P5-INDEX($B5:$AK5,1,MAX(1,P$1-1)))/'42_OPEX'!P12))</f>
        <v>0.91440808156886255</v>
      </c>
      <c r="Q22" s="174" cm="1">
        <f t="array" ref="Q22">IF(Q$1=1,0,IF('42_OPEX'!Q12&lt;=0,0,(Q5-INDEX($B5:$AK5,1,MAX(1,Q$1-1)))/'42_OPEX'!Q12))</f>
        <v>0.90025094442067521</v>
      </c>
      <c r="R22" s="174" cm="1">
        <f t="array" ref="R22">IF(R$1=1,0,IF('42_OPEX'!R12&lt;=0,0,(R5-INDEX($B5:$AK5,1,MAX(1,R$1-1)))/'42_OPEX'!R12))</f>
        <v>0.88670659802095642</v>
      </c>
      <c r="S22" s="174" cm="1">
        <f t="array" ref="S22">IF(S$1=1,0,IF('42_OPEX'!S12&lt;=0,0,(S5-INDEX($B5:$AK5,1,MAX(1,S$1-1)))/'42_OPEX'!S12))</f>
        <v>0.87377614473558063</v>
      </c>
      <c r="T22" s="174" cm="1">
        <f t="array" ref="T22">IF(T$1=1,0,IF('42_OPEX'!T12&lt;=0,0,(T5-INDEX($B5:$AK5,1,MAX(1,T$1-1)))/'42_OPEX'!T12))</f>
        <v>0.86145724263852341</v>
      </c>
      <c r="U22" s="174" cm="1">
        <f t="array" ref="U22">IF(U$1=1,0,IF('42_OPEX'!U12&lt;=0,0,(U5-INDEX($B5:$AK5,1,MAX(1,U$1-1)))/'42_OPEX'!U12))</f>
        <v>1.0493402306883204</v>
      </c>
      <c r="V22" s="174" cm="1">
        <f t="array" ref="V22">IF(V$1=1,0,IF('42_OPEX'!V12&lt;=0,0,(V5-INDEX($B5:$AK5,1,MAX(1,V$1-1)))/'42_OPEX'!V12))</f>
        <v>1.0304525284537858</v>
      </c>
      <c r="W22" s="174" cm="1">
        <f t="array" ref="W22">IF(W$1=1,0,IF('42_OPEX'!W12&lt;=0,0,(W5-INDEX($B5:$AK5,1,MAX(1,W$1-1)))/'42_OPEX'!W12))</f>
        <v>1.012312385191402</v>
      </c>
      <c r="X22" s="174" cm="1">
        <f t="array" ref="X22">IF(X$1=1,0,IF('42_OPEX'!X12&lt;=0,0,(X5-INDEX($B5:$AK5,1,MAX(1,X$1-1)))/'42_OPEX'!X12))</f>
        <v>0.99492553284127039</v>
      </c>
      <c r="Y22" s="174" cm="1">
        <f t="array" ref="Y22">IF(Y$1=1,0,IF('42_OPEX'!Y12&lt;=0,0,(Y5-INDEX($B5:$AK5,1,MAX(1,Y$1-1)))/'42_OPEX'!Y12))</f>
        <v>0.97829281865495676</v>
      </c>
      <c r="Z22" s="174" cm="1">
        <f t="array" ref="Z22">IF(Z$1=1,0,IF('42_OPEX'!Z12&lt;=0,0,(Z5-INDEX($B5:$AK5,1,MAX(1,Z$1-1)))/'42_OPEX'!Z12))</f>
        <v>0.96241093229022889</v>
      </c>
      <c r="AA22" s="174" cm="1">
        <f t="array" ref="AA22">IF(AA$1=1,0,IF('42_OPEX'!AA12&lt;=0,0,(AA5-INDEX($B5:$AK5,1,MAX(1,AA$1-1)))/'42_OPEX'!AA12))</f>
        <v>0.94727304674705448</v>
      </c>
      <c r="AB22" s="174" cm="1">
        <f t="array" ref="AB22">IF(AB$1=1,0,IF('42_OPEX'!AB12&lt;=0,0,(AB5-INDEX($B5:$AK5,1,MAX(1,AB$1-1)))/'42_OPEX'!AB12))</f>
        <v>0.93286938254611618</v>
      </c>
      <c r="AC22" s="174" cm="1">
        <f t="array" ref="AC22">IF(AC$1=1,0,IF('42_OPEX'!AC12&lt;=0,0,(AC5-INDEX($B5:$AK5,1,MAX(1,AC$1-1)))/'42_OPEX'!AC12))</f>
        <v>0.91918770356240742</v>
      </c>
      <c r="AD22" s="174" cm="1">
        <f t="array" ref="AD22">IF(AD$1=1,0,IF('42_OPEX'!AD12&lt;=0,0,(AD5-INDEX($B5:$AK5,1,MAX(1,AD$1-1)))/'42_OPEX'!AD12))</f>
        <v>0.90621375203998766</v>
      </c>
      <c r="AE22" s="174" cm="1">
        <f t="array" ref="AE22">IF(AE$1=1,0,IF('42_OPEX'!AE12&lt;=0,0,(AE5-INDEX($B5:$AK5,1,MAX(1,AE$1-1)))/'42_OPEX'!AE12))</f>
        <v>0.89393162951914973</v>
      </c>
      <c r="AF22" s="174" cm="1">
        <f t="array" ref="AF22">IF(AF$1=1,0,IF('42_OPEX'!AF12&lt;=0,0,(AF5-INDEX($B5:$AK5,1,MAX(1,AF$1-1)))/'42_OPEX'!AF12))</f>
        <v>0.88232412969459229</v>
      </c>
      <c r="AG22" s="174" cm="1">
        <f t="array" ref="AG22">IF(AG$1=1,0,IF('42_OPEX'!AG12&lt;=0,0,(AG5-INDEX($B5:$AK5,1,MAX(1,AG$1-1)))/'42_OPEX'!AG12))</f>
        <v>0.87137302858453136</v>
      </c>
      <c r="AH22" s="174" cm="1">
        <f t="array" ref="AH22">IF(AH$1=1,0,IF('42_OPEX'!AH12&lt;=0,0,(AH5-INDEX($B5:$AK5,1,MAX(1,AH$1-1)))/'42_OPEX'!AH12))</f>
        <v>0.86105933681808688</v>
      </c>
      <c r="AI22" s="174" cm="1">
        <f t="array" ref="AI22">IF(AI$1=1,0,IF('42_OPEX'!AI12&lt;=0,0,(AI5-INDEX($B5:$AK5,1,MAX(1,AI$1-1)))/'42_OPEX'!AI12))</f>
        <v>0.85136351833545387</v>
      </c>
      <c r="AJ22" s="174" cm="1">
        <f t="array" ref="AJ22">IF(AJ$1=1,0,IF('42_OPEX'!AJ12&lt;=0,0,(AJ5-INDEX($B5:$AK5,1,MAX(1,AJ$1-1)))/'42_OPEX'!AJ12))</f>
        <v>0.84226567933547269</v>
      </c>
      <c r="AK22" s="174" cm="1">
        <f t="array" ref="AK22">IF(AK$1=1,0,IF('42_OPEX'!AK12&lt;=0,0,(AK5-INDEX($B5:$AK5,1,MAX(1,AK$1-1)))/'42_OPEX'!AK12))</f>
        <v>0.83374573089381621</v>
      </c>
      <c r="AL22" s="175">
        <f t="shared" si="10"/>
        <v>0.59438106442178418</v>
      </c>
      <c r="AM22" s="174">
        <f t="shared" si="11"/>
        <v>0.97829281865495676</v>
      </c>
      <c r="AN22" s="176">
        <f t="shared" si="12"/>
        <v>0.83374573089381621</v>
      </c>
    </row>
    <row r="23" spans="1:40" ht="15" thickBot="1" x14ac:dyDescent="0.35">
      <c r="A23" s="128" t="s">
        <v>420</v>
      </c>
      <c r="B23" s="177" cm="1">
        <f t="array" ref="B23">IF(B$1=1,0,IF(('10_Income_Statement'!B3-INDEX('10_Income_Statement'!$B3:$AK3,1,MAX(1,B$1-1)))&lt;=0,0,('10_Income_Statement'!B8-INDEX('10_Income_Statement'!$B8:$AK8,1,MAX(1,B$1-1)))/('10_Income_Statement'!B3-INDEX('10_Income_Statement'!$B3:$AK3,1,MAX(1,B$1-1)))))</f>
        <v>0</v>
      </c>
      <c r="C23" s="177" cm="1">
        <f t="array" ref="C23">IF(C$1=1,0,IF(('10_Income_Statement'!C3-INDEX('10_Income_Statement'!$B3:$AK3,1,MAX(1,C$1-1)))&lt;=0,0,('10_Income_Statement'!C8-INDEX('10_Income_Statement'!$B8:$AK8,1,MAX(1,C$1-1)))/('10_Income_Statement'!C3-INDEX('10_Income_Statement'!$B3:$AK3,1,MAX(1,C$1-1)))))</f>
        <v>0.54360384491047964</v>
      </c>
      <c r="D23" s="177" cm="1">
        <f t="array" ref="D23">IF(D$1=1,0,IF(('10_Income_Statement'!D3-INDEX('10_Income_Statement'!$B3:$AK3,1,MAX(1,D$1-1)))&lt;=0,0,('10_Income_Statement'!D8-INDEX('10_Income_Statement'!$B8:$AK8,1,MAX(1,D$1-1)))/('10_Income_Statement'!D3-INDEX('10_Income_Statement'!$B3:$AK3,1,MAX(1,D$1-1)))))</f>
        <v>0.54141927403369161</v>
      </c>
      <c r="E23" s="177" cm="1">
        <f t="array" ref="E23">IF(E$1=1,0,IF(('10_Income_Statement'!E3-INDEX('10_Income_Statement'!$B3:$AK3,1,MAX(1,E$1-1)))&lt;=0,0,('10_Income_Statement'!E8-INDEX('10_Income_Statement'!$B8:$AK8,1,MAX(1,E$1-1)))/('10_Income_Statement'!E3-INDEX('10_Income_Statement'!$B3:$AK3,1,MAX(1,E$1-1)))))</f>
        <v>0.53937832972166189</v>
      </c>
      <c r="F23" s="177" cm="1">
        <f t="array" ref="F23">IF(F$1=1,0,IF(('10_Income_Statement'!F3-INDEX('10_Income_Statement'!$B3:$AK3,1,MAX(1,F$1-1)))&lt;=0,0,('10_Income_Statement'!F8-INDEX('10_Income_Statement'!$B8:$AK8,1,MAX(1,F$1-1)))/('10_Income_Statement'!F3-INDEX('10_Income_Statement'!$B3:$AK3,1,MAX(1,F$1-1)))))</f>
        <v>0.53748026563674089</v>
      </c>
      <c r="G23" s="177" cm="1">
        <f t="array" ref="G23">IF(G$1=1,0,IF(('10_Income_Statement'!G3-INDEX('10_Income_Statement'!$B3:$AK3,1,MAX(1,G$1-1)))&lt;=0,0,('10_Income_Statement'!G8-INDEX('10_Income_Statement'!$B8:$AK8,1,MAX(1,G$1-1)))/('10_Income_Statement'!G3-INDEX('10_Income_Statement'!$B3:$AK3,1,MAX(1,G$1-1)))))</f>
        <v>0.53572377814005545</v>
      </c>
      <c r="H23" s="177" cm="1">
        <f t="array" ref="H23">IF(H$1=1,0,IF(('10_Income_Statement'!H3-INDEX('10_Income_Statement'!$B3:$AK3,1,MAX(1,H$1-1)))&lt;=0,0,('10_Income_Statement'!H8-INDEX('10_Income_Statement'!$B8:$AK8,1,MAX(1,H$1-1)))/('10_Income_Statement'!H3-INDEX('10_Income_Statement'!$B3:$AK3,1,MAX(1,H$1-1)))))</f>
        <v>-1.678308585778014</v>
      </c>
      <c r="I23" s="177" cm="1">
        <f t="array" ref="I23">IF(I$1=1,0,IF(('10_Income_Statement'!I3-INDEX('10_Income_Statement'!$B3:$AK3,1,MAX(1,I$1-1)))&lt;=0,0,('10_Income_Statement'!I8-INDEX('10_Income_Statement'!$B8:$AK8,1,MAX(1,I$1-1)))/('10_Income_Statement'!I3-INDEX('10_Income_Statement'!$B3:$AK3,1,MAX(1,I$1-1)))))</f>
        <v>-2.9246380900617472</v>
      </c>
      <c r="J23" s="177" cm="1">
        <f t="array" ref="J23">IF(J$1=1,0,IF(('10_Income_Statement'!J3-INDEX('10_Income_Statement'!$B3:$AK3,1,MAX(1,J$1-1)))&lt;=0,0,('10_Income_Statement'!J8-INDEX('10_Income_Statement'!$B8:$AK8,1,MAX(1,J$1-1)))/('10_Income_Statement'!J3-INDEX('10_Income_Statement'!$B3:$AK3,1,MAX(1,J$1-1)))))</f>
        <v>-1.3464441301631178</v>
      </c>
      <c r="K23" s="177" cm="1">
        <f t="array" ref="K23">IF(K$1=1,0,IF(('10_Income_Statement'!K3-INDEX('10_Income_Statement'!$B3:$AK3,1,MAX(1,K$1-1)))&lt;=0,0,('10_Income_Statement'!K8-INDEX('10_Income_Statement'!$B8:$AK8,1,MAX(1,K$1-1)))/('10_Income_Statement'!K3-INDEX('10_Income_Statement'!$B3:$AK3,1,MAX(1,K$1-1)))))</f>
        <v>-1.8112704211224759</v>
      </c>
      <c r="L23" s="177" cm="1">
        <f t="array" ref="L23">IF(L$1=1,0,IF(('10_Income_Statement'!L3-INDEX('10_Income_Statement'!$B3:$AK3,1,MAX(1,L$1-1)))&lt;=0,0,('10_Income_Statement'!L8-INDEX('10_Income_Statement'!$B8:$AK8,1,MAX(1,L$1-1)))/('10_Income_Statement'!L3-INDEX('10_Income_Statement'!$B3:$AK3,1,MAX(1,L$1-1)))))</f>
        <v>-2.2738229888176642</v>
      </c>
      <c r="M23" s="177" cm="1">
        <f t="array" ref="M23">IF(M$1=1,0,IF(('10_Income_Statement'!M3-INDEX('10_Income_Statement'!$B3:$AK3,1,MAX(1,M$1-1)))&lt;=0,0,('10_Income_Statement'!M8-INDEX('10_Income_Statement'!$B8:$AK8,1,MAX(1,M$1-1)))/('10_Income_Statement'!M3-INDEX('10_Income_Statement'!$B3:$AK3,1,MAX(1,M$1-1)))))</f>
        <v>-1.7387800670464917</v>
      </c>
      <c r="N23" s="177" cm="1">
        <f t="array" ref="N23">IF(N$1=1,0,IF(('10_Income_Statement'!N3-INDEX('10_Income_Statement'!$B3:$AK3,1,MAX(1,N$1-1)))&lt;=0,0,('10_Income_Statement'!N8-INDEX('10_Income_Statement'!$B8:$AK8,1,MAX(1,N$1-1)))/('10_Income_Statement'!N3-INDEX('10_Income_Statement'!$B3:$AK3,1,MAX(1,N$1-1)))))</f>
        <v>-3.0234627862705703</v>
      </c>
      <c r="O23" s="177" cm="1">
        <f t="array" ref="O23">IF(O$1=1,0,IF(('10_Income_Statement'!O3-INDEX('10_Income_Statement'!$B3:$AK3,1,MAX(1,O$1-1)))&lt;=0,0,('10_Income_Statement'!O8-INDEX('10_Income_Statement'!$B8:$AK8,1,MAX(1,O$1-1)))/('10_Income_Statement'!O3-INDEX('10_Income_Statement'!$B3:$AK3,1,MAX(1,O$1-1)))))</f>
        <v>0.4915765231061488</v>
      </c>
      <c r="P23" s="177" cm="1">
        <f t="array" ref="P23">IF(P$1=1,0,IF(('10_Income_Statement'!P3-INDEX('10_Income_Statement'!$B3:$AK3,1,MAX(1,P$1-1)))&lt;=0,0,('10_Income_Statement'!P8-INDEX('10_Income_Statement'!$B8:$AK8,1,MAX(1,P$1-1)))/('10_Income_Statement'!P3-INDEX('10_Income_Statement'!$B3:$AK3,1,MAX(1,P$1-1)))))</f>
        <v>0.62384407328048519</v>
      </c>
      <c r="Q23" s="177" cm="1">
        <f t="array" ref="Q23">IF(Q$1=1,0,IF(('10_Income_Statement'!Q3-INDEX('10_Income_Statement'!$B3:$AK3,1,MAX(1,Q$1-1)))&lt;=0,0,('10_Income_Statement'!Q8-INDEX('10_Income_Statement'!$B8:$AK8,1,MAX(1,Q$1-1)))/('10_Income_Statement'!Q3-INDEX('10_Income_Statement'!$B3:$AK3,1,MAX(1,Q$1-1)))))</f>
        <v>0.62197517529801838</v>
      </c>
      <c r="R23" s="177" cm="1">
        <f t="array" ref="R23">IF(R$1=1,0,IF(('10_Income_Statement'!R3-INDEX('10_Income_Statement'!$B3:$AK3,1,MAX(1,R$1-1)))&lt;=0,0,('10_Income_Statement'!R8-INDEX('10_Income_Statement'!$B8:$AK8,1,MAX(1,R$1-1)))/('10_Income_Statement'!R3-INDEX('10_Income_Statement'!$B3:$AK3,1,MAX(1,R$1-1)))))</f>
        <v>0.48675449212837718</v>
      </c>
      <c r="S23" s="177" cm="1">
        <f t="array" ref="S23">IF(S$1=1,0,IF(('10_Income_Statement'!S3-INDEX('10_Income_Statement'!$B3:$AK3,1,MAX(1,S$1-1)))&lt;=0,0,('10_Income_Statement'!S8-INDEX('10_Income_Statement'!$B8:$AK8,1,MAX(1,S$1-1)))/('10_Income_Statement'!S3-INDEX('10_Income_Statement'!$B3:$AK3,1,MAX(1,S$1-1)))))</f>
        <v>0.61821890255619671</v>
      </c>
      <c r="T23" s="177" cm="1">
        <f t="array" ref="T23">IF(T$1=1,0,IF(('10_Income_Statement'!T3-INDEX('10_Income_Statement'!$B3:$AK3,1,MAX(1,T$1-1)))&lt;=0,0,('10_Income_Statement'!T8-INDEX('10_Income_Statement'!$B8:$AK8,1,MAX(1,T$1-1)))/('10_Income_Statement'!T3-INDEX('10_Income_Statement'!$B3:$AK3,1,MAX(1,T$1-1)))))</f>
        <v>0.6163505935370015</v>
      </c>
      <c r="U23" s="177" cm="1">
        <f t="array" ref="U23">IF(U$1=1,0,IF(('10_Income_Statement'!U3-INDEX('10_Income_Statement'!$B3:$AK3,1,MAX(1,U$1-1)))&lt;=0,0,('10_Income_Statement'!U8-INDEX('10_Income_Statement'!$B8:$AK8,1,MAX(1,U$1-1)))/('10_Income_Statement'!U3-INDEX('10_Income_Statement'!$B3:$AK3,1,MAX(1,U$1-1)))))</f>
        <v>-2.6112904705284605</v>
      </c>
      <c r="V23" s="177" cm="1">
        <f t="array" ref="V23">IF(V$1=1,0,IF(('10_Income_Statement'!V3-INDEX('10_Income_Statement'!$B3:$AK3,1,MAX(1,V$1-1)))&lt;=0,0,('10_Income_Statement'!V8-INDEX('10_Income_Statement'!$B8:$AK8,1,MAX(1,V$1-1)))/('10_Income_Statement'!V3-INDEX('10_Income_Statement'!$B3:$AK3,1,MAX(1,V$1-1)))))</f>
        <v>0.43205901624370702</v>
      </c>
      <c r="W23" s="177" cm="1">
        <f t="array" ref="W23">IF(W$1=1,0,IF(('10_Income_Statement'!W3-INDEX('10_Income_Statement'!$B3:$AK3,1,MAX(1,W$1-1)))&lt;=0,0,('10_Income_Statement'!W8-INDEX('10_Income_Statement'!$B8:$AK8,1,MAX(1,W$1-1)))/('10_Income_Statement'!W3-INDEX('10_Income_Statement'!$B3:$AK3,1,MAX(1,W$1-1)))))</f>
        <v>0.23227179495948408</v>
      </c>
      <c r="X23" s="177" cm="1">
        <f t="array" ref="X23">IF(X$1=1,0,IF(('10_Income_Statement'!X3-INDEX('10_Income_Statement'!$B3:$AK3,1,MAX(1,X$1-1)))&lt;=0,0,('10_Income_Statement'!X8-INDEX('10_Income_Statement'!$B8:$AK8,1,MAX(1,X$1-1)))/('10_Income_Statement'!X3-INDEX('10_Income_Statement'!$B3:$AK3,1,MAX(1,X$1-1)))))</f>
        <v>0.3718271817279804</v>
      </c>
      <c r="Y23" s="177" cm="1">
        <f t="array" ref="Y23">IF(Y$1=1,0,IF(('10_Income_Statement'!Y3-INDEX('10_Income_Statement'!$B3:$AK3,1,MAX(1,Y$1-1)))&lt;=0,0,('10_Income_Statement'!Y8-INDEX('10_Income_Statement'!$B8:$AK8,1,MAX(1,Y$1-1)))/('10_Income_Statement'!Y3-INDEX('10_Income_Statement'!$B3:$AK3,1,MAX(1,Y$1-1)))))</f>
        <v>0.42666706570172469</v>
      </c>
      <c r="Z23" s="177" cm="1">
        <f t="array" ref="Z23">IF(Z$1=1,0,IF(('10_Income_Statement'!Z3-INDEX('10_Income_Statement'!$B3:$AK3,1,MAX(1,Z$1-1)))&lt;=0,0,('10_Income_Statement'!Z8-INDEX('10_Income_Statement'!$B8:$AK8,1,MAX(1,Z$1-1)))/('10_Income_Statement'!Z3-INDEX('10_Income_Statement'!$B3:$AK3,1,MAX(1,Z$1-1)))))</f>
        <v>0.54725847623324086</v>
      </c>
      <c r="AA23" s="177" cm="1">
        <f t="array" ref="AA23">IF(AA$1=1,0,IF(('10_Income_Statement'!AA3-INDEX('10_Income_Statement'!$B3:$AK3,1,MAX(1,AA$1-1)))&lt;=0,0,('10_Income_Statement'!AA8-INDEX('10_Income_Statement'!$B8:$AK8,1,MAX(1,AA$1-1)))/('10_Income_Statement'!AA3-INDEX('10_Income_Statement'!$B3:$AK3,1,MAX(1,AA$1-1)))))</f>
        <v>0.57368865758755516</v>
      </c>
      <c r="AB23" s="177" cm="1">
        <f t="array" ref="AB23">IF(AB$1=1,0,IF(('10_Income_Statement'!AB3-INDEX('10_Income_Statement'!$B3:$AK3,1,MAX(1,AB$1-1)))&lt;=0,0,('10_Income_Statement'!AB8-INDEX('10_Income_Statement'!$B8:$AK8,1,MAX(1,AB$1-1)))/('10_Income_Statement'!AB3-INDEX('10_Income_Statement'!$B3:$AK3,1,MAX(1,AB$1-1)))))</f>
        <v>0.42246419606681601</v>
      </c>
      <c r="AC23" s="177" cm="1">
        <f t="array" ref="AC23">IF(AC$1=1,0,IF(('10_Income_Statement'!AC3-INDEX('10_Income_Statement'!$B3:$AK3,1,MAX(1,AC$1-1)))&lt;=0,0,('10_Income_Statement'!AC8-INDEX('10_Income_Statement'!$B8:$AK8,1,MAX(1,AC$1-1)))/('10_Income_Statement'!AC3-INDEX('10_Income_Statement'!$B3:$AK3,1,MAX(1,AC$1-1)))))</f>
        <v>0.52377955748049387</v>
      </c>
      <c r="AD23" s="177" cm="1">
        <f t="array" ref="AD23">IF(AD$1=1,0,IF(('10_Income_Statement'!AD3-INDEX('10_Income_Statement'!$B3:$AK3,1,MAX(1,AD$1-1)))&lt;=0,0,('10_Income_Statement'!AD8-INDEX('10_Income_Statement'!$B8:$AK8,1,MAX(1,AD$1-1)))/('10_Income_Statement'!AD3-INDEX('10_Income_Statement'!$B3:$AK3,1,MAX(1,AD$1-1)))))</f>
        <v>0.48532094211387916</v>
      </c>
      <c r="AE23" s="177" cm="1">
        <f t="array" ref="AE23">IF(AE$1=1,0,IF(('10_Income_Statement'!AE3-INDEX('10_Income_Statement'!$B3:$AK3,1,MAX(1,AE$1-1)))&lt;=0,0,('10_Income_Statement'!AE8-INDEX('10_Income_Statement'!$B8:$AK8,1,MAX(1,AE$1-1)))/('10_Income_Statement'!AE3-INDEX('10_Income_Statement'!$B3:$AK3,1,MAX(1,AE$1-1)))))</f>
        <v>0.41045559399667308</v>
      </c>
      <c r="AF23" s="177" cm="1">
        <f t="array" ref="AF23">IF(AF$1=1,0,IF(('10_Income_Statement'!AF3-INDEX('10_Income_Statement'!$B3:$AK3,1,MAX(1,AF$1-1)))&lt;=0,0,('10_Income_Statement'!AF8-INDEX('10_Income_Statement'!$B8:$AK8,1,MAX(1,AF$1-1)))/('10_Income_Statement'!AF3-INDEX('10_Income_Statement'!$B3:$AK3,1,MAX(1,AF$1-1)))))</f>
        <v>0.53827043522129503</v>
      </c>
      <c r="AG23" s="177" cm="1">
        <f t="array" ref="AG23">IF(AG$1=1,0,IF(('10_Income_Statement'!AG3-INDEX('10_Income_Statement'!$B3:$AK3,1,MAX(1,AG$1-1)))&lt;=0,0,('10_Income_Statement'!AG8-INDEX('10_Income_Statement'!$B8:$AK8,1,MAX(1,AG$1-1)))/('10_Income_Statement'!AG3-INDEX('10_Income_Statement'!$B3:$AK3,1,MAX(1,AG$1-1)))))</f>
        <v>0.46421344034295009</v>
      </c>
      <c r="AH23" s="177" cm="1">
        <f t="array" ref="AH23">IF(AH$1=1,0,IF(('10_Income_Statement'!AH3-INDEX('10_Income_Statement'!$B3:$AK3,1,MAX(1,AH$1-1)))&lt;=0,0,('10_Income_Statement'!AH8-INDEX('10_Income_Statement'!$B8:$AK8,1,MAX(1,AH$1-1)))/('10_Income_Statement'!AH3-INDEX('10_Income_Statement'!$B3:$AK3,1,MAX(1,AH$1-1)))))</f>
        <v>0.41842969065672808</v>
      </c>
      <c r="AI23" s="177" cm="1">
        <f t="array" ref="AI23">IF(AI$1=1,0,IF(('10_Income_Statement'!AI3-INDEX('10_Income_Statement'!$B3:$AK3,1,MAX(1,AI$1-1)))&lt;=0,0,('10_Income_Statement'!AI8-INDEX('10_Income_Statement'!$B8:$AK8,1,MAX(1,AI$1-1)))/('10_Income_Statement'!AI3-INDEX('10_Income_Statement'!$B3:$AK3,1,MAX(1,AI$1-1)))))</f>
        <v>0.6157620431720997</v>
      </c>
      <c r="AJ23" s="177" cm="1">
        <f t="array" ref="AJ23">IF(AJ$1=1,0,IF(('10_Income_Statement'!AJ3-INDEX('10_Income_Statement'!$B3:$AK3,1,MAX(1,AJ$1-1)))&lt;=0,0,('10_Income_Statement'!AJ8-INDEX('10_Income_Statement'!$B8:$AK8,1,MAX(1,AJ$1-1)))/('10_Income_Statement'!AJ3-INDEX('10_Income_Statement'!$B3:$AK3,1,MAX(1,AJ$1-1)))))</f>
        <v>0.48074838566993344</v>
      </c>
      <c r="AK23" s="177" cm="1">
        <f t="array" ref="AK23">IF(AK$1=1,0,IF(('10_Income_Statement'!AK3-INDEX('10_Income_Statement'!$B3:$AK3,1,MAX(1,AK$1-1)))&lt;=0,0,('10_Income_Statement'!AK8-INDEX('10_Income_Statement'!$B8:$AK8,1,MAX(1,AK$1-1)))/('10_Income_Statement'!AK3-INDEX('10_Income_Statement'!$B3:$AK3,1,MAX(1,AK$1-1)))))</f>
        <v>0.61269321816638833</v>
      </c>
      <c r="AL23" s="178">
        <f t="shared" si="10"/>
        <v>-1.7387800670464917</v>
      </c>
      <c r="AM23" s="177">
        <f t="shared" si="11"/>
        <v>0.42666706570172469</v>
      </c>
      <c r="AN23" s="179">
        <f t="shared" si="12"/>
        <v>0.61269321816638833</v>
      </c>
    </row>
    <row r="24" spans="1:40" x14ac:dyDescent="0.3">
      <c r="B24" s="5"/>
      <c r="C24" s="5"/>
      <c r="D24" s="5"/>
      <c r="E24" s="5"/>
      <c r="F24" s="5"/>
      <c r="G24" s="5"/>
      <c r="H24" s="5"/>
      <c r="I24" s="5"/>
      <c r="J24" s="5"/>
      <c r="K24" s="5"/>
      <c r="L24" s="5"/>
      <c r="M24" s="5"/>
      <c r="N24" s="5"/>
      <c r="O24" s="5"/>
      <c r="P24" s="5"/>
      <c r="Q24" s="5"/>
      <c r="R24" s="5"/>
      <c r="S24" s="5"/>
      <c r="T24" s="5"/>
      <c r="U24" s="5"/>
      <c r="V24" s="5"/>
      <c r="W24" s="5"/>
      <c r="X24" s="5"/>
      <c r="Y24" s="5"/>
      <c r="Z24" s="5"/>
      <c r="AA24" s="5"/>
      <c r="AB24" s="5"/>
      <c r="AC24" s="5"/>
      <c r="AD24" s="5"/>
      <c r="AE24" s="5"/>
      <c r="AF24" s="5"/>
      <c r="AG24" s="5"/>
      <c r="AH24" s="5"/>
      <c r="AI24" s="5"/>
      <c r="AJ24" s="5"/>
      <c r="AK24" s="5"/>
      <c r="AL24" s="5"/>
      <c r="AM24" s="5"/>
      <c r="AN24" s="5"/>
    </row>
    <row r="25" spans="1:40" x14ac:dyDescent="0.3">
      <c r="B25" s="5"/>
      <c r="C25" s="5"/>
      <c r="D25" s="5"/>
      <c r="E25" s="5"/>
      <c r="F25" s="5"/>
      <c r="G25" s="5"/>
      <c r="H25" s="5"/>
      <c r="I25" s="5"/>
      <c r="J25" s="5"/>
      <c r="K25" s="5"/>
      <c r="L25" s="5"/>
      <c r="M25" s="5"/>
      <c r="N25" s="5"/>
      <c r="O25" s="5"/>
      <c r="P25" s="5"/>
      <c r="Q25" s="5"/>
      <c r="R25" s="5"/>
      <c r="S25" s="5"/>
      <c r="T25" s="5"/>
      <c r="U25" s="5"/>
      <c r="V25" s="5"/>
      <c r="W25" s="5"/>
      <c r="X25" s="5"/>
      <c r="Y25" s="5"/>
      <c r="Z25" s="5"/>
      <c r="AA25" s="5"/>
      <c r="AB25" s="5"/>
      <c r="AC25" s="5"/>
      <c r="AD25" s="5"/>
      <c r="AE25" s="5"/>
      <c r="AF25" s="5"/>
      <c r="AG25" s="5"/>
      <c r="AH25" s="5"/>
      <c r="AI25" s="5"/>
      <c r="AJ25" s="5"/>
      <c r="AK25" s="5"/>
      <c r="AL25" s="5"/>
      <c r="AM25" s="5"/>
      <c r="AN25" s="5"/>
    </row>
    <row r="26" spans="1:40" x14ac:dyDescent="0.3">
      <c r="B26" s="5"/>
      <c r="C26" s="5"/>
      <c r="D26" s="5"/>
      <c r="E26" s="5"/>
      <c r="F26" s="5"/>
      <c r="G26" s="5"/>
      <c r="H26" s="5"/>
      <c r="I26" s="5"/>
      <c r="J26" s="5"/>
      <c r="K26" s="5"/>
      <c r="L26" s="5"/>
      <c r="M26" s="5"/>
      <c r="N26" s="5"/>
      <c r="O26" s="5"/>
      <c r="P26" s="5"/>
      <c r="Q26" s="5"/>
      <c r="R26" s="5"/>
      <c r="S26" s="5"/>
      <c r="T26" s="5"/>
      <c r="U26" s="5"/>
      <c r="V26" s="5"/>
      <c r="W26" s="5"/>
      <c r="X26" s="5"/>
      <c r="Y26" s="5"/>
      <c r="Z26" s="5"/>
      <c r="AA26" s="5"/>
      <c r="AB26" s="5"/>
      <c r="AC26" s="5"/>
      <c r="AD26" s="5"/>
      <c r="AE26" s="5"/>
      <c r="AF26" s="5"/>
      <c r="AG26" s="5"/>
      <c r="AH26" s="5"/>
      <c r="AI26" s="5"/>
      <c r="AJ26" s="5"/>
      <c r="AK26" s="5"/>
      <c r="AL26" s="5"/>
      <c r="AM26" s="5"/>
      <c r="AN26" s="5"/>
    </row>
    <row r="27" spans="1:40" x14ac:dyDescent="0.3">
      <c r="B27" s="5"/>
      <c r="C27" s="5"/>
      <c r="D27" s="5"/>
      <c r="E27" s="5"/>
      <c r="F27" s="5"/>
      <c r="G27" s="5"/>
      <c r="H27" s="5"/>
      <c r="I27" s="5"/>
      <c r="J27" s="5"/>
      <c r="K27" s="5"/>
      <c r="L27" s="5"/>
      <c r="M27" s="5"/>
      <c r="N27" s="5"/>
      <c r="O27" s="5"/>
      <c r="P27" s="5"/>
      <c r="Q27" s="5"/>
      <c r="R27" s="5"/>
      <c r="S27" s="5"/>
      <c r="T27" s="5"/>
      <c r="U27" s="5"/>
      <c r="V27" s="5"/>
      <c r="W27" s="5"/>
      <c r="X27" s="5"/>
      <c r="Y27" s="5"/>
      <c r="Z27" s="5"/>
      <c r="AA27" s="5"/>
      <c r="AB27" s="5"/>
      <c r="AC27" s="5"/>
      <c r="AD27" s="5"/>
      <c r="AE27" s="5"/>
      <c r="AF27" s="5"/>
      <c r="AG27" s="5"/>
      <c r="AH27" s="5"/>
      <c r="AI27" s="5"/>
      <c r="AJ27" s="5"/>
      <c r="AK27" s="5"/>
      <c r="AL27" s="5"/>
      <c r="AM27" s="5"/>
      <c r="AN27" s="5"/>
    </row>
    <row r="28" spans="1:40" x14ac:dyDescent="0.3">
      <c r="B28" s="5"/>
      <c r="C28" s="5"/>
      <c r="D28" s="5"/>
      <c r="E28" s="5"/>
      <c r="F28" s="5"/>
      <c r="G28" s="5"/>
      <c r="H28" s="5"/>
      <c r="I28" s="5"/>
      <c r="J28" s="5"/>
      <c r="K28" s="5"/>
      <c r="L28" s="5"/>
      <c r="M28" s="5"/>
      <c r="N28" s="5"/>
      <c r="O28" s="5"/>
      <c r="P28" s="5"/>
      <c r="Q28" s="5"/>
      <c r="R28" s="5"/>
      <c r="S28" s="5"/>
      <c r="T28" s="5"/>
      <c r="U28" s="5"/>
      <c r="V28" s="5"/>
      <c r="W28" s="5"/>
      <c r="X28" s="5"/>
      <c r="Y28" s="5"/>
      <c r="Z28" s="5"/>
      <c r="AA28" s="5"/>
      <c r="AB28" s="5"/>
      <c r="AC28" s="5"/>
      <c r="AD28" s="5"/>
      <c r="AE28" s="5"/>
      <c r="AF28" s="5"/>
      <c r="AG28" s="5"/>
      <c r="AH28" s="5"/>
      <c r="AI28" s="5"/>
      <c r="AJ28" s="5"/>
      <c r="AK28" s="5"/>
      <c r="AL28" s="5"/>
      <c r="AM28" s="5"/>
      <c r="AN28" s="5"/>
    </row>
    <row r="29" spans="1:40" x14ac:dyDescent="0.3">
      <c r="B29" s="5"/>
      <c r="C29" s="5"/>
      <c r="D29" s="5"/>
      <c r="E29" s="5"/>
      <c r="F29" s="5"/>
      <c r="G29" s="5"/>
      <c r="H29" s="5"/>
      <c r="I29" s="5"/>
      <c r="J29" s="5"/>
      <c r="K29" s="5"/>
      <c r="L29" s="5"/>
      <c r="M29" s="5"/>
      <c r="N29" s="5"/>
      <c r="O29" s="5"/>
      <c r="P29" s="5"/>
      <c r="Q29" s="5"/>
      <c r="R29" s="5"/>
      <c r="S29" s="5"/>
      <c r="T29" s="5"/>
      <c r="U29" s="5"/>
      <c r="V29" s="5"/>
      <c r="W29" s="5"/>
      <c r="X29" s="5"/>
      <c r="Y29" s="5"/>
      <c r="Z29" s="5"/>
      <c r="AA29" s="5"/>
      <c r="AB29" s="5"/>
      <c r="AC29" s="5"/>
      <c r="AD29" s="5"/>
      <c r="AE29" s="5"/>
      <c r="AF29" s="5"/>
      <c r="AG29" s="5"/>
      <c r="AH29" s="5"/>
      <c r="AI29" s="5"/>
      <c r="AJ29" s="5"/>
      <c r="AK29" s="5"/>
      <c r="AL29" s="5"/>
      <c r="AM29" s="5"/>
      <c r="AN29" s="5"/>
    </row>
    <row r="30" spans="1:40" x14ac:dyDescent="0.3">
      <c r="B30" s="5"/>
      <c r="C30" s="5"/>
      <c r="D30" s="5"/>
      <c r="E30" s="5"/>
      <c r="F30" s="5"/>
      <c r="G30" s="5"/>
      <c r="H30" s="5"/>
      <c r="I30" s="5"/>
      <c r="J30" s="5"/>
      <c r="K30" s="5"/>
      <c r="L30" s="5"/>
      <c r="M30" s="5"/>
      <c r="N30" s="5"/>
      <c r="O30" s="5"/>
      <c r="P30" s="5"/>
      <c r="Q30" s="5"/>
      <c r="R30" s="5"/>
      <c r="S30" s="5"/>
      <c r="T30" s="5"/>
      <c r="U30" s="5"/>
      <c r="V30" s="5"/>
      <c r="W30" s="5"/>
      <c r="X30" s="5"/>
      <c r="Y30" s="5"/>
      <c r="Z30" s="5"/>
      <c r="AA30" s="5"/>
      <c r="AB30" s="5"/>
      <c r="AC30" s="5"/>
      <c r="AD30" s="5"/>
      <c r="AE30" s="5"/>
      <c r="AF30" s="5"/>
      <c r="AG30" s="5"/>
      <c r="AH30" s="5"/>
      <c r="AI30" s="5"/>
      <c r="AJ30" s="5"/>
      <c r="AK30" s="5"/>
      <c r="AL30" s="5"/>
      <c r="AM30" s="5"/>
      <c r="AN30" s="5"/>
    </row>
    <row r="31" spans="1:40" x14ac:dyDescent="0.3">
      <c r="B31" s="5"/>
      <c r="C31" s="5"/>
      <c r="D31" s="5"/>
      <c r="E31" s="5"/>
      <c r="F31" s="5"/>
      <c r="G31" s="5"/>
      <c r="H31" s="5"/>
      <c r="I31" s="5"/>
      <c r="J31" s="5"/>
      <c r="K31" s="5"/>
      <c r="L31" s="5"/>
      <c r="M31" s="5"/>
      <c r="N31" s="5"/>
      <c r="O31" s="5"/>
      <c r="P31" s="5"/>
      <c r="Q31" s="5"/>
      <c r="R31" s="5"/>
      <c r="S31" s="5"/>
      <c r="T31" s="5"/>
      <c r="U31" s="5"/>
      <c r="V31" s="5"/>
      <c r="W31" s="5"/>
      <c r="X31" s="5"/>
      <c r="Y31" s="5"/>
      <c r="Z31" s="5"/>
      <c r="AA31" s="5"/>
      <c r="AB31" s="5"/>
      <c r="AC31" s="5"/>
      <c r="AD31" s="5"/>
      <c r="AE31" s="5"/>
      <c r="AF31" s="5"/>
      <c r="AG31" s="5"/>
      <c r="AH31" s="5"/>
      <c r="AI31" s="5"/>
      <c r="AJ31" s="5"/>
      <c r="AK31" s="5"/>
      <c r="AL31" s="5"/>
      <c r="AM31" s="5"/>
      <c r="AN31" s="5"/>
    </row>
    <row r="32" spans="1:40" x14ac:dyDescent="0.3">
      <c r="B32" s="5"/>
      <c r="C32" s="5"/>
      <c r="D32" s="5"/>
      <c r="E32" s="5"/>
      <c r="F32" s="5"/>
      <c r="G32" s="5"/>
      <c r="H32" s="5"/>
      <c r="I32" s="5"/>
      <c r="J32" s="5"/>
      <c r="K32" s="5"/>
      <c r="L32" s="5"/>
      <c r="M32" s="5"/>
      <c r="N32" s="5"/>
      <c r="O32" s="5"/>
      <c r="P32" s="5"/>
      <c r="Q32" s="5"/>
      <c r="R32" s="5"/>
      <c r="S32" s="5"/>
      <c r="T32" s="5"/>
      <c r="U32" s="5"/>
      <c r="V32" s="5"/>
      <c r="W32" s="5"/>
      <c r="X32" s="5"/>
      <c r="Y32" s="5"/>
      <c r="Z32" s="5"/>
      <c r="AA32" s="5"/>
      <c r="AB32" s="5"/>
      <c r="AC32" s="5"/>
      <c r="AD32" s="5"/>
      <c r="AE32" s="5"/>
      <c r="AF32" s="5"/>
      <c r="AG32" s="5"/>
      <c r="AH32" s="5"/>
      <c r="AI32" s="5"/>
      <c r="AJ32" s="5"/>
      <c r="AK32" s="5"/>
      <c r="AL32" s="5"/>
      <c r="AM32" s="5"/>
      <c r="AN32" s="5"/>
    </row>
    <row r="33" spans="2:40" x14ac:dyDescent="0.3">
      <c r="B33" s="5"/>
      <c r="C33" s="5"/>
      <c r="D33" s="5"/>
      <c r="E33" s="5"/>
      <c r="F33" s="5"/>
      <c r="G33" s="5"/>
      <c r="H33" s="5"/>
      <c r="I33" s="5"/>
      <c r="J33" s="5"/>
      <c r="K33" s="5"/>
      <c r="L33" s="5"/>
      <c r="M33" s="5"/>
      <c r="N33" s="5"/>
      <c r="O33" s="5"/>
      <c r="P33" s="5"/>
      <c r="Q33" s="5"/>
      <c r="R33" s="5"/>
      <c r="S33" s="5"/>
      <c r="T33" s="5"/>
      <c r="U33" s="5"/>
      <c r="V33" s="5"/>
      <c r="W33" s="5"/>
      <c r="X33" s="5"/>
      <c r="Y33" s="5"/>
      <c r="Z33" s="5"/>
      <c r="AA33" s="5"/>
      <c r="AB33" s="5"/>
      <c r="AC33" s="5"/>
      <c r="AD33" s="5"/>
      <c r="AE33" s="5"/>
      <c r="AF33" s="5"/>
      <c r="AG33" s="5"/>
      <c r="AH33" s="5"/>
      <c r="AI33" s="5"/>
      <c r="AJ33" s="5"/>
      <c r="AK33" s="5"/>
      <c r="AL33" s="5"/>
      <c r="AM33" s="5"/>
      <c r="AN33" s="5"/>
    </row>
    <row r="34" spans="2:40" x14ac:dyDescent="0.3">
      <c r="B34" s="5"/>
      <c r="C34" s="5"/>
      <c r="D34" s="5"/>
      <c r="E34" s="5"/>
      <c r="F34" s="5"/>
      <c r="G34" s="5"/>
      <c r="H34" s="5"/>
      <c r="I34" s="5"/>
      <c r="J34" s="5"/>
      <c r="K34" s="5"/>
      <c r="L34" s="5"/>
      <c r="M34" s="5"/>
      <c r="N34" s="5"/>
      <c r="O34" s="5"/>
      <c r="P34" s="5"/>
      <c r="Q34" s="5"/>
      <c r="R34" s="5"/>
      <c r="S34" s="5"/>
      <c r="T34" s="5"/>
      <c r="U34" s="5"/>
      <c r="V34" s="5"/>
      <c r="W34" s="5"/>
      <c r="X34" s="5"/>
      <c r="Y34" s="5"/>
      <c r="Z34" s="5"/>
      <c r="AA34" s="5"/>
      <c r="AB34" s="5"/>
      <c r="AC34" s="5"/>
      <c r="AD34" s="5"/>
      <c r="AE34" s="5"/>
      <c r="AF34" s="5"/>
      <c r="AG34" s="5"/>
      <c r="AH34" s="5"/>
      <c r="AI34" s="5"/>
      <c r="AJ34" s="5"/>
      <c r="AK34" s="5"/>
      <c r="AL34" s="5"/>
      <c r="AM34" s="5"/>
      <c r="AN34" s="5"/>
    </row>
    <row r="35" spans="2:40" x14ac:dyDescent="0.3">
      <c r="B35" s="5"/>
      <c r="C35" s="5"/>
      <c r="D35" s="5"/>
      <c r="E35" s="5"/>
      <c r="F35" s="5"/>
      <c r="G35" s="5"/>
      <c r="H35" s="5"/>
      <c r="I35" s="5"/>
      <c r="J35" s="5"/>
      <c r="K35" s="5"/>
      <c r="L35" s="5"/>
      <c r="M35" s="5"/>
      <c r="N35" s="5"/>
      <c r="O35" s="5"/>
      <c r="P35" s="5"/>
      <c r="Q35" s="5"/>
      <c r="R35" s="5"/>
      <c r="S35" s="5"/>
      <c r="T35" s="5"/>
      <c r="U35" s="5"/>
      <c r="V35" s="5"/>
      <c r="W35" s="5"/>
      <c r="X35" s="5"/>
      <c r="Y35" s="5"/>
      <c r="Z35" s="5"/>
      <c r="AA35" s="5"/>
      <c r="AB35" s="5"/>
      <c r="AC35" s="5"/>
      <c r="AD35" s="5"/>
      <c r="AE35" s="5"/>
      <c r="AF35" s="5"/>
      <c r="AG35" s="5"/>
      <c r="AH35" s="5"/>
      <c r="AI35" s="5"/>
      <c r="AJ35" s="5"/>
      <c r="AK35" s="5"/>
      <c r="AL35" s="5"/>
      <c r="AM35" s="5"/>
      <c r="AN35" s="5"/>
    </row>
    <row r="36" spans="2:40" x14ac:dyDescent="0.3">
      <c r="B36" s="5"/>
      <c r="C36" s="5"/>
      <c r="D36" s="5"/>
      <c r="E36" s="5"/>
      <c r="F36" s="5"/>
      <c r="G36" s="5"/>
      <c r="H36" s="5"/>
      <c r="I36" s="5"/>
      <c r="J36" s="5"/>
      <c r="K36" s="5"/>
      <c r="L36" s="5"/>
      <c r="M36" s="5"/>
      <c r="N36" s="5"/>
      <c r="O36" s="5"/>
      <c r="P36" s="5"/>
      <c r="Q36" s="5"/>
      <c r="R36" s="5"/>
      <c r="S36" s="5"/>
      <c r="T36" s="5"/>
      <c r="U36" s="5"/>
      <c r="V36" s="5"/>
      <c r="W36" s="5"/>
      <c r="X36" s="5"/>
      <c r="Y36" s="5"/>
      <c r="Z36" s="5"/>
      <c r="AA36" s="5"/>
      <c r="AB36" s="5"/>
      <c r="AC36" s="5"/>
      <c r="AD36" s="5"/>
      <c r="AE36" s="5"/>
      <c r="AF36" s="5"/>
      <c r="AG36" s="5"/>
      <c r="AH36" s="5"/>
      <c r="AI36" s="5"/>
      <c r="AJ36" s="5"/>
      <c r="AK36" s="5"/>
      <c r="AL36" s="5"/>
      <c r="AM36" s="5"/>
      <c r="AN36" s="5"/>
    </row>
    <row r="37" spans="2:40" x14ac:dyDescent="0.3">
      <c r="B37" s="5"/>
      <c r="C37" s="5"/>
      <c r="D37" s="5"/>
      <c r="E37" s="5"/>
      <c r="F37" s="5"/>
      <c r="G37" s="5"/>
      <c r="H37" s="5"/>
      <c r="I37" s="5"/>
      <c r="J37" s="5"/>
      <c r="K37" s="5"/>
      <c r="L37" s="5"/>
      <c r="M37" s="5"/>
      <c r="N37" s="5"/>
      <c r="O37" s="5"/>
      <c r="P37" s="5"/>
      <c r="Q37" s="5"/>
      <c r="R37" s="5"/>
      <c r="S37" s="5"/>
      <c r="T37" s="5"/>
      <c r="U37" s="5"/>
      <c r="V37" s="5"/>
      <c r="W37" s="5"/>
      <c r="X37" s="5"/>
      <c r="Y37" s="5"/>
      <c r="Z37" s="5"/>
      <c r="AA37" s="5"/>
      <c r="AB37" s="5"/>
      <c r="AC37" s="5"/>
      <c r="AD37" s="5"/>
      <c r="AE37" s="5"/>
      <c r="AF37" s="5"/>
      <c r="AG37" s="5"/>
      <c r="AH37" s="5"/>
      <c r="AI37" s="5"/>
      <c r="AJ37" s="5"/>
      <c r="AK37" s="5"/>
      <c r="AL37" s="5"/>
      <c r="AM37" s="5"/>
      <c r="AN37" s="5"/>
    </row>
    <row r="38" spans="2:40" x14ac:dyDescent="0.3">
      <c r="B38" s="5"/>
      <c r="C38" s="5"/>
      <c r="D38" s="5"/>
      <c r="E38" s="5"/>
      <c r="F38" s="5"/>
      <c r="G38" s="5"/>
      <c r="H38" s="5"/>
      <c r="I38" s="5"/>
      <c r="J38" s="5"/>
      <c r="K38" s="5"/>
      <c r="L38" s="5"/>
      <c r="M38" s="5"/>
      <c r="N38" s="5"/>
      <c r="O38" s="5"/>
      <c r="P38" s="5"/>
      <c r="Q38" s="5"/>
      <c r="R38" s="5"/>
      <c r="S38" s="5"/>
      <c r="T38" s="5"/>
      <c r="U38" s="5"/>
      <c r="V38" s="5"/>
      <c r="W38" s="5"/>
      <c r="X38" s="5"/>
      <c r="Y38" s="5"/>
      <c r="Z38" s="5"/>
      <c r="AA38" s="5"/>
      <c r="AB38" s="5"/>
      <c r="AC38" s="5"/>
      <c r="AD38" s="5"/>
      <c r="AE38" s="5"/>
      <c r="AF38" s="5"/>
      <c r="AG38" s="5"/>
      <c r="AH38" s="5"/>
      <c r="AI38" s="5"/>
      <c r="AJ38" s="5"/>
      <c r="AK38" s="5"/>
      <c r="AL38" s="5"/>
      <c r="AM38" s="5"/>
      <c r="AN38" s="5"/>
    </row>
    <row r="39" spans="2:40" x14ac:dyDescent="0.3">
      <c r="B39" s="5"/>
      <c r="C39" s="5"/>
      <c r="D39" s="5"/>
      <c r="E39" s="5"/>
      <c r="F39" s="5"/>
      <c r="G39" s="5"/>
      <c r="H39" s="5"/>
      <c r="I39" s="5"/>
      <c r="J39" s="5"/>
      <c r="K39" s="5"/>
      <c r="L39" s="5"/>
      <c r="M39" s="5"/>
      <c r="N39" s="5"/>
      <c r="O39" s="5"/>
      <c r="P39" s="5"/>
      <c r="Q39" s="5"/>
      <c r="R39" s="5"/>
      <c r="S39" s="5"/>
      <c r="T39" s="5"/>
      <c r="U39" s="5"/>
      <c r="V39" s="5"/>
      <c r="W39" s="5"/>
      <c r="X39" s="5"/>
      <c r="Y39" s="5"/>
      <c r="Z39" s="5"/>
      <c r="AA39" s="5"/>
      <c r="AB39" s="5"/>
      <c r="AC39" s="5"/>
      <c r="AD39" s="5"/>
      <c r="AE39" s="5"/>
      <c r="AF39" s="5"/>
      <c r="AG39" s="5"/>
      <c r="AH39" s="5"/>
      <c r="AI39" s="5"/>
      <c r="AJ39" s="5"/>
      <c r="AK39" s="5"/>
      <c r="AL39" s="5"/>
      <c r="AM39" s="5"/>
      <c r="AN39" s="5"/>
    </row>
    <row r="40" spans="2:40" x14ac:dyDescent="0.3">
      <c r="B40" s="5"/>
      <c r="C40" s="5"/>
      <c r="D40" s="5"/>
      <c r="E40" s="5"/>
      <c r="F40" s="5"/>
      <c r="G40" s="5"/>
      <c r="H40" s="5"/>
      <c r="I40" s="5"/>
      <c r="J40" s="5"/>
      <c r="K40" s="5"/>
      <c r="L40" s="5"/>
      <c r="M40" s="5"/>
      <c r="N40" s="5"/>
      <c r="O40" s="5"/>
      <c r="P40" s="5"/>
      <c r="Q40" s="5"/>
      <c r="R40" s="5"/>
      <c r="S40" s="5"/>
      <c r="T40" s="5"/>
      <c r="U40" s="5"/>
      <c r="V40" s="5"/>
      <c r="W40" s="5"/>
      <c r="X40" s="5"/>
      <c r="Y40" s="5"/>
      <c r="Z40" s="5"/>
      <c r="AA40" s="5"/>
      <c r="AB40" s="5"/>
      <c r="AC40" s="5"/>
      <c r="AD40" s="5"/>
      <c r="AE40" s="5"/>
      <c r="AF40" s="5"/>
      <c r="AG40" s="5"/>
      <c r="AH40" s="5"/>
      <c r="AI40" s="5"/>
      <c r="AJ40" s="5"/>
      <c r="AK40" s="5"/>
      <c r="AL40" s="5"/>
      <c r="AM40" s="5"/>
      <c r="AN40" s="5"/>
    </row>
    <row r="41" spans="2:40" x14ac:dyDescent="0.3">
      <c r="B41" s="5"/>
      <c r="C41" s="5"/>
      <c r="D41" s="5"/>
      <c r="E41" s="5"/>
      <c r="F41" s="5"/>
      <c r="G41" s="5"/>
      <c r="H41" s="5"/>
      <c r="I41" s="5"/>
      <c r="J41" s="5"/>
      <c r="K41" s="5"/>
      <c r="L41" s="5"/>
      <c r="M41" s="5"/>
      <c r="N41" s="5"/>
      <c r="O41" s="5"/>
      <c r="P41" s="5"/>
      <c r="Q41" s="5"/>
      <c r="R41" s="5"/>
      <c r="S41" s="5"/>
      <c r="T41" s="5"/>
      <c r="U41" s="5"/>
      <c r="V41" s="5"/>
      <c r="W41" s="5"/>
      <c r="X41" s="5"/>
      <c r="Y41" s="5"/>
      <c r="Z41" s="5"/>
      <c r="AA41" s="5"/>
      <c r="AB41" s="5"/>
      <c r="AC41" s="5"/>
      <c r="AD41" s="5"/>
      <c r="AE41" s="5"/>
      <c r="AF41" s="5"/>
      <c r="AG41" s="5"/>
      <c r="AH41" s="5"/>
      <c r="AI41" s="5"/>
      <c r="AJ41" s="5"/>
      <c r="AK41" s="5"/>
      <c r="AL41" s="5"/>
      <c r="AM41" s="5"/>
      <c r="AN41" s="5"/>
    </row>
    <row r="42" spans="2:40" x14ac:dyDescent="0.3">
      <c r="B42" s="5"/>
      <c r="C42" s="5"/>
      <c r="D42" s="5"/>
      <c r="E42" s="5"/>
      <c r="F42" s="5"/>
      <c r="G42" s="5"/>
      <c r="H42" s="5"/>
      <c r="I42" s="5"/>
      <c r="J42" s="5"/>
      <c r="K42" s="5"/>
      <c r="L42" s="5"/>
      <c r="M42" s="5"/>
      <c r="N42" s="5"/>
      <c r="O42" s="5"/>
      <c r="P42" s="5"/>
      <c r="Q42" s="5"/>
      <c r="R42" s="5"/>
      <c r="S42" s="5"/>
      <c r="T42" s="5"/>
      <c r="U42" s="5"/>
      <c r="V42" s="5"/>
      <c r="W42" s="5"/>
      <c r="X42" s="5"/>
      <c r="Y42" s="5"/>
      <c r="Z42" s="5"/>
      <c r="AA42" s="5"/>
      <c r="AB42" s="5"/>
      <c r="AC42" s="5"/>
      <c r="AD42" s="5"/>
      <c r="AE42" s="5"/>
      <c r="AF42" s="5"/>
      <c r="AG42" s="5"/>
      <c r="AH42" s="5"/>
      <c r="AI42" s="5"/>
      <c r="AJ42" s="5"/>
      <c r="AK42" s="5"/>
      <c r="AL42" s="5"/>
      <c r="AM42" s="5"/>
      <c r="AN42" s="5"/>
    </row>
    <row r="43" spans="2:40" x14ac:dyDescent="0.3">
      <c r="B43" s="5"/>
      <c r="C43" s="5"/>
      <c r="D43" s="5"/>
      <c r="E43" s="5"/>
      <c r="F43" s="5"/>
      <c r="G43" s="5"/>
      <c r="H43" s="5"/>
      <c r="I43" s="5"/>
      <c r="J43" s="5"/>
      <c r="K43" s="5"/>
      <c r="L43" s="5"/>
      <c r="M43" s="5"/>
      <c r="N43" s="5"/>
      <c r="O43" s="5"/>
      <c r="P43" s="5"/>
      <c r="Q43" s="5"/>
      <c r="R43" s="5"/>
      <c r="S43" s="5"/>
      <c r="T43" s="5"/>
      <c r="U43" s="5"/>
      <c r="V43" s="5"/>
      <c r="W43" s="5"/>
      <c r="X43" s="5"/>
      <c r="Y43" s="5"/>
      <c r="Z43" s="5"/>
      <c r="AA43" s="5"/>
      <c r="AB43" s="5"/>
      <c r="AC43" s="5"/>
      <c r="AD43" s="5"/>
      <c r="AE43" s="5"/>
      <c r="AF43" s="5"/>
      <c r="AG43" s="5"/>
      <c r="AH43" s="5"/>
      <c r="AI43" s="5"/>
      <c r="AJ43" s="5"/>
      <c r="AK43" s="5"/>
      <c r="AL43" s="5"/>
      <c r="AM43" s="5"/>
      <c r="AN43" s="5"/>
    </row>
    <row r="44" spans="2:40" x14ac:dyDescent="0.3">
      <c r="B44" s="5"/>
      <c r="C44" s="5"/>
      <c r="D44" s="5"/>
      <c r="E44" s="5"/>
      <c r="F44" s="5"/>
      <c r="G44" s="5"/>
      <c r="H44" s="5"/>
      <c r="I44" s="5"/>
      <c r="J44" s="5"/>
      <c r="K44" s="5"/>
      <c r="L44" s="5"/>
      <c r="M44" s="5"/>
      <c r="N44" s="5"/>
      <c r="O44" s="5"/>
      <c r="P44" s="5"/>
      <c r="Q44" s="5"/>
      <c r="R44" s="5"/>
      <c r="S44" s="5"/>
      <c r="T44" s="5"/>
      <c r="U44" s="5"/>
      <c r="V44" s="5"/>
      <c r="W44" s="5"/>
      <c r="X44" s="5"/>
      <c r="Y44" s="5"/>
      <c r="Z44" s="5"/>
      <c r="AA44" s="5"/>
      <c r="AB44" s="5"/>
      <c r="AC44" s="5"/>
      <c r="AD44" s="5"/>
      <c r="AE44" s="5"/>
      <c r="AF44" s="5"/>
      <c r="AG44" s="5"/>
      <c r="AH44" s="5"/>
      <c r="AI44" s="5"/>
      <c r="AJ44" s="5"/>
      <c r="AK44" s="5"/>
      <c r="AL44" s="5"/>
      <c r="AM44" s="5"/>
      <c r="AN44" s="5"/>
    </row>
    <row r="45" spans="2:40" x14ac:dyDescent="0.3">
      <c r="B45" s="5"/>
      <c r="C45" s="5"/>
      <c r="D45" s="5"/>
      <c r="E45" s="5"/>
      <c r="F45" s="5"/>
      <c r="G45" s="5"/>
      <c r="H45" s="5"/>
      <c r="I45" s="5"/>
      <c r="J45" s="5"/>
      <c r="K45" s="5"/>
      <c r="L45" s="5"/>
      <c r="M45" s="5"/>
      <c r="N45" s="5"/>
      <c r="O45" s="5"/>
      <c r="P45" s="5"/>
      <c r="Q45" s="5"/>
      <c r="R45" s="5"/>
      <c r="S45" s="5"/>
      <c r="T45" s="5"/>
      <c r="U45" s="5"/>
      <c r="V45" s="5"/>
      <c r="W45" s="5"/>
      <c r="X45" s="5"/>
      <c r="Y45" s="5"/>
      <c r="Z45" s="5"/>
      <c r="AA45" s="5"/>
      <c r="AB45" s="5"/>
      <c r="AC45" s="5"/>
      <c r="AD45" s="5"/>
      <c r="AE45" s="5"/>
      <c r="AF45" s="5"/>
      <c r="AG45" s="5"/>
      <c r="AH45" s="5"/>
      <c r="AI45" s="5"/>
      <c r="AJ45" s="5"/>
      <c r="AK45" s="5"/>
      <c r="AL45" s="5"/>
      <c r="AM45" s="5"/>
      <c r="AN45" s="5"/>
    </row>
    <row r="46" spans="2:40" x14ac:dyDescent="0.3">
      <c r="B46" s="5"/>
      <c r="C46" s="5"/>
      <c r="D46" s="5"/>
      <c r="E46" s="5"/>
      <c r="F46" s="5"/>
      <c r="G46" s="5"/>
      <c r="H46" s="5"/>
      <c r="I46" s="5"/>
      <c r="J46" s="5"/>
      <c r="K46" s="5"/>
      <c r="L46" s="5"/>
      <c r="M46" s="5"/>
      <c r="N46" s="5"/>
      <c r="O46" s="5"/>
      <c r="P46" s="5"/>
      <c r="Q46" s="5"/>
      <c r="R46" s="5"/>
      <c r="S46" s="5"/>
      <c r="T46" s="5"/>
      <c r="U46" s="5"/>
      <c r="V46" s="5"/>
      <c r="W46" s="5"/>
      <c r="X46" s="5"/>
      <c r="Y46" s="5"/>
      <c r="Z46" s="5"/>
      <c r="AA46" s="5"/>
      <c r="AB46" s="5"/>
      <c r="AC46" s="5"/>
      <c r="AD46" s="5"/>
      <c r="AE46" s="5"/>
      <c r="AF46" s="5"/>
      <c r="AG46" s="5"/>
      <c r="AH46" s="5"/>
      <c r="AI46" s="5"/>
      <c r="AJ46" s="5"/>
      <c r="AK46" s="5"/>
      <c r="AL46" s="5"/>
      <c r="AM46" s="5"/>
      <c r="AN46" s="5"/>
    </row>
    <row r="47" spans="2:40" x14ac:dyDescent="0.3">
      <c r="B47" s="5"/>
      <c r="C47" s="5"/>
      <c r="D47" s="5"/>
      <c r="E47" s="5"/>
      <c r="F47" s="5"/>
      <c r="G47" s="5"/>
      <c r="H47" s="5"/>
      <c r="I47" s="5"/>
      <c r="J47" s="5"/>
      <c r="K47" s="5"/>
      <c r="L47" s="5"/>
      <c r="M47" s="5"/>
      <c r="N47" s="5"/>
      <c r="O47" s="5"/>
      <c r="P47" s="5"/>
      <c r="Q47" s="5"/>
      <c r="R47" s="5"/>
      <c r="S47" s="5"/>
      <c r="T47" s="5"/>
      <c r="U47" s="5"/>
      <c r="V47" s="5"/>
      <c r="W47" s="5"/>
      <c r="X47" s="5"/>
      <c r="Y47" s="5"/>
      <c r="Z47" s="5"/>
      <c r="AA47" s="5"/>
      <c r="AB47" s="5"/>
      <c r="AC47" s="5"/>
      <c r="AD47" s="5"/>
      <c r="AE47" s="5"/>
      <c r="AF47" s="5"/>
      <c r="AG47" s="5"/>
      <c r="AH47" s="5"/>
      <c r="AI47" s="5"/>
      <c r="AJ47" s="5"/>
      <c r="AK47" s="5"/>
      <c r="AL47" s="5"/>
      <c r="AM47" s="5"/>
      <c r="AN47" s="5"/>
    </row>
    <row r="48" spans="2:40" x14ac:dyDescent="0.3">
      <c r="B48" s="5"/>
      <c r="C48" s="5"/>
      <c r="D48" s="5"/>
      <c r="E48" s="5"/>
      <c r="F48" s="5"/>
      <c r="G48" s="5"/>
      <c r="H48" s="5"/>
      <c r="I48" s="5"/>
      <c r="J48" s="5"/>
      <c r="K48" s="5"/>
      <c r="L48" s="5"/>
      <c r="M48" s="5"/>
      <c r="N48" s="5"/>
      <c r="O48" s="5"/>
      <c r="P48" s="5"/>
      <c r="Q48" s="5"/>
      <c r="R48" s="5"/>
      <c r="S48" s="5"/>
      <c r="T48" s="5"/>
      <c r="U48" s="5"/>
      <c r="V48" s="5"/>
      <c r="W48" s="5"/>
      <c r="X48" s="5"/>
      <c r="Y48" s="5"/>
      <c r="Z48" s="5"/>
      <c r="AA48" s="5"/>
      <c r="AB48" s="5"/>
      <c r="AC48" s="5"/>
      <c r="AD48" s="5"/>
      <c r="AE48" s="5"/>
      <c r="AF48" s="5"/>
      <c r="AG48" s="5"/>
      <c r="AH48" s="5"/>
      <c r="AI48" s="5"/>
      <c r="AJ48" s="5"/>
      <c r="AK48" s="5"/>
      <c r="AL48" s="5"/>
      <c r="AM48" s="5"/>
      <c r="AN48" s="5"/>
    </row>
    <row r="49" spans="2:40" x14ac:dyDescent="0.3">
      <c r="B49" s="5"/>
      <c r="C49" s="5"/>
      <c r="D49" s="5"/>
      <c r="E49" s="5"/>
      <c r="F49" s="5"/>
      <c r="G49" s="5"/>
      <c r="H49" s="5"/>
      <c r="I49" s="5"/>
      <c r="J49" s="5"/>
      <c r="K49" s="5"/>
      <c r="L49" s="5"/>
      <c r="M49" s="5"/>
      <c r="N49" s="5"/>
      <c r="O49" s="5"/>
      <c r="P49" s="5"/>
      <c r="Q49" s="5"/>
      <c r="R49" s="5"/>
      <c r="S49" s="5"/>
      <c r="T49" s="5"/>
      <c r="U49" s="5"/>
      <c r="V49" s="5"/>
      <c r="W49" s="5"/>
      <c r="X49" s="5"/>
      <c r="Y49" s="5"/>
      <c r="Z49" s="5"/>
      <c r="AA49" s="5"/>
      <c r="AB49" s="5"/>
      <c r="AC49" s="5"/>
      <c r="AD49" s="5"/>
      <c r="AE49" s="5"/>
      <c r="AF49" s="5"/>
      <c r="AG49" s="5"/>
      <c r="AH49" s="5"/>
      <c r="AI49" s="5"/>
      <c r="AJ49" s="5"/>
      <c r="AK49" s="5"/>
      <c r="AL49" s="5"/>
      <c r="AM49" s="5"/>
      <c r="AN49" s="5"/>
    </row>
    <row r="50" spans="2:40" x14ac:dyDescent="0.3">
      <c r="B50" s="5"/>
      <c r="C50" s="5"/>
      <c r="D50" s="5"/>
      <c r="E50" s="5"/>
      <c r="F50" s="5"/>
      <c r="G50" s="5"/>
      <c r="H50" s="5"/>
      <c r="I50" s="5"/>
      <c r="J50" s="5"/>
      <c r="K50" s="5"/>
      <c r="L50" s="5"/>
      <c r="M50" s="5"/>
      <c r="N50" s="5"/>
      <c r="O50" s="5"/>
      <c r="P50" s="5"/>
      <c r="Q50" s="5"/>
      <c r="R50" s="5"/>
      <c r="S50" s="5"/>
      <c r="T50" s="5"/>
      <c r="U50" s="5"/>
      <c r="V50" s="5"/>
      <c r="W50" s="5"/>
      <c r="X50" s="5"/>
      <c r="Y50" s="5"/>
      <c r="Z50" s="5"/>
      <c r="AA50" s="5"/>
      <c r="AB50" s="5"/>
      <c r="AC50" s="5"/>
      <c r="AD50" s="5"/>
      <c r="AE50" s="5"/>
      <c r="AF50" s="5"/>
      <c r="AG50" s="5"/>
      <c r="AH50" s="5"/>
      <c r="AI50" s="5"/>
      <c r="AJ50" s="5"/>
      <c r="AK50" s="5"/>
      <c r="AL50" s="5"/>
      <c r="AM50" s="5"/>
      <c r="AN50" s="5"/>
    </row>
    <row r="51" spans="2:40" x14ac:dyDescent="0.3">
      <c r="B51" s="5"/>
      <c r="C51" s="5"/>
      <c r="D51" s="5"/>
      <c r="E51" s="5"/>
      <c r="F51" s="5"/>
      <c r="G51" s="5"/>
      <c r="H51" s="5"/>
      <c r="I51" s="5"/>
      <c r="J51" s="5"/>
      <c r="K51" s="5"/>
      <c r="L51" s="5"/>
      <c r="M51" s="5"/>
      <c r="N51" s="5"/>
      <c r="O51" s="5"/>
      <c r="P51" s="5"/>
      <c r="Q51" s="5"/>
      <c r="R51" s="5"/>
      <c r="S51" s="5"/>
      <c r="T51" s="5"/>
      <c r="U51" s="5"/>
      <c r="V51" s="5"/>
      <c r="W51" s="5"/>
      <c r="X51" s="5"/>
      <c r="Y51" s="5"/>
      <c r="Z51" s="5"/>
      <c r="AA51" s="5"/>
      <c r="AB51" s="5"/>
      <c r="AC51" s="5"/>
      <c r="AD51" s="5"/>
      <c r="AE51" s="5"/>
      <c r="AF51" s="5"/>
      <c r="AG51" s="5"/>
      <c r="AH51" s="5"/>
      <c r="AI51" s="5"/>
      <c r="AJ51" s="5"/>
      <c r="AK51" s="5"/>
      <c r="AL51" s="5"/>
      <c r="AM51" s="5"/>
      <c r="AN51" s="5"/>
    </row>
    <row r="52" spans="2:40" x14ac:dyDescent="0.3">
      <c r="B52" s="5"/>
      <c r="C52" s="5"/>
      <c r="D52" s="5"/>
      <c r="E52" s="5"/>
      <c r="F52" s="5"/>
      <c r="G52" s="5"/>
      <c r="H52" s="5"/>
      <c r="I52" s="5"/>
      <c r="J52" s="5"/>
      <c r="K52" s="5"/>
      <c r="L52" s="5"/>
      <c r="M52" s="5"/>
      <c r="N52" s="5"/>
      <c r="O52" s="5"/>
      <c r="P52" s="5"/>
      <c r="Q52" s="5"/>
      <c r="R52" s="5"/>
      <c r="S52" s="5"/>
      <c r="T52" s="5"/>
      <c r="U52" s="5"/>
      <c r="V52" s="5"/>
      <c r="W52" s="5"/>
      <c r="X52" s="5"/>
      <c r="Y52" s="5"/>
      <c r="Z52" s="5"/>
      <c r="AA52" s="5"/>
      <c r="AB52" s="5"/>
      <c r="AC52" s="5"/>
      <c r="AD52" s="5"/>
      <c r="AE52" s="5"/>
      <c r="AF52" s="5"/>
      <c r="AG52" s="5"/>
      <c r="AH52" s="5"/>
      <c r="AI52" s="5"/>
      <c r="AJ52" s="5"/>
      <c r="AK52" s="5"/>
      <c r="AL52" s="5"/>
      <c r="AM52" s="5"/>
      <c r="AN52" s="5"/>
    </row>
    <row r="53" spans="2:40" x14ac:dyDescent="0.3">
      <c r="B53" s="5"/>
      <c r="C53" s="5"/>
      <c r="D53" s="5"/>
      <c r="E53" s="5"/>
      <c r="F53" s="5"/>
      <c r="G53" s="5"/>
      <c r="H53" s="5"/>
      <c r="I53" s="5"/>
      <c r="J53" s="5"/>
      <c r="K53" s="5"/>
      <c r="L53" s="5"/>
      <c r="M53" s="5"/>
      <c r="N53" s="5"/>
      <c r="O53" s="5"/>
      <c r="P53" s="5"/>
      <c r="Q53" s="5"/>
      <c r="R53" s="5"/>
      <c r="S53" s="5"/>
      <c r="T53" s="5"/>
      <c r="U53" s="5"/>
      <c r="V53" s="5"/>
      <c r="W53" s="5"/>
      <c r="X53" s="5"/>
      <c r="Y53" s="5"/>
      <c r="Z53" s="5"/>
      <c r="AA53" s="5"/>
      <c r="AB53" s="5"/>
      <c r="AC53" s="5"/>
      <c r="AD53" s="5"/>
      <c r="AE53" s="5"/>
      <c r="AF53" s="5"/>
      <c r="AG53" s="5"/>
      <c r="AH53" s="5"/>
      <c r="AI53" s="5"/>
      <c r="AJ53" s="5"/>
      <c r="AK53" s="5"/>
      <c r="AL53" s="5"/>
      <c r="AM53" s="5"/>
      <c r="AN53" s="5"/>
    </row>
    <row r="54" spans="2:40" x14ac:dyDescent="0.3">
      <c r="B54" s="5"/>
      <c r="C54" s="5"/>
      <c r="D54" s="5"/>
      <c r="E54" s="5"/>
      <c r="F54" s="5"/>
      <c r="G54" s="5"/>
      <c r="H54" s="5"/>
      <c r="I54" s="5"/>
      <c r="J54" s="5"/>
      <c r="K54" s="5"/>
      <c r="L54" s="5"/>
      <c r="M54" s="5"/>
      <c r="N54" s="5"/>
      <c r="O54" s="5"/>
      <c r="P54" s="5"/>
      <c r="Q54" s="5"/>
      <c r="R54" s="5"/>
      <c r="S54" s="5"/>
      <c r="T54" s="5"/>
      <c r="U54" s="5"/>
      <c r="V54" s="5"/>
      <c r="W54" s="5"/>
      <c r="X54" s="5"/>
      <c r="Y54" s="5"/>
      <c r="Z54" s="5"/>
      <c r="AA54" s="5"/>
      <c r="AB54" s="5"/>
      <c r="AC54" s="5"/>
      <c r="AD54" s="5"/>
      <c r="AE54" s="5"/>
      <c r="AF54" s="5"/>
      <c r="AG54" s="5"/>
      <c r="AH54" s="5"/>
      <c r="AI54" s="5"/>
      <c r="AJ54" s="5"/>
      <c r="AK54" s="5"/>
      <c r="AL54" s="5"/>
      <c r="AM54" s="5"/>
      <c r="AN54" s="5"/>
    </row>
    <row r="55" spans="2:40" x14ac:dyDescent="0.3">
      <c r="B55" s="5"/>
      <c r="C55" s="5"/>
      <c r="D55" s="5"/>
      <c r="E55" s="5"/>
      <c r="F55" s="5"/>
      <c r="G55" s="5"/>
      <c r="H55" s="5"/>
      <c r="I55" s="5"/>
      <c r="J55" s="5"/>
      <c r="K55" s="5"/>
      <c r="L55" s="5"/>
      <c r="M55" s="5"/>
      <c r="N55" s="5"/>
      <c r="O55" s="5"/>
      <c r="P55" s="5"/>
      <c r="Q55" s="5"/>
      <c r="R55" s="5"/>
      <c r="S55" s="5"/>
      <c r="T55" s="5"/>
      <c r="U55" s="5"/>
      <c r="V55" s="5"/>
      <c r="W55" s="5"/>
      <c r="X55" s="5"/>
      <c r="Y55" s="5"/>
      <c r="Z55" s="5"/>
      <c r="AA55" s="5"/>
      <c r="AB55" s="5"/>
      <c r="AC55" s="5"/>
      <c r="AD55" s="5"/>
      <c r="AE55" s="5"/>
      <c r="AF55" s="5"/>
      <c r="AG55" s="5"/>
      <c r="AH55" s="5"/>
      <c r="AI55" s="5"/>
      <c r="AJ55" s="5"/>
      <c r="AK55" s="5"/>
      <c r="AL55" s="5"/>
      <c r="AM55" s="5"/>
      <c r="AN55" s="5"/>
    </row>
    <row r="56" spans="2:40" x14ac:dyDescent="0.3">
      <c r="B56" s="5"/>
      <c r="C56" s="5"/>
      <c r="D56" s="5"/>
      <c r="E56" s="5"/>
      <c r="F56" s="5"/>
      <c r="G56" s="5"/>
      <c r="H56" s="5"/>
      <c r="I56" s="5"/>
      <c r="J56" s="5"/>
      <c r="K56" s="5"/>
      <c r="L56" s="5"/>
      <c r="M56" s="5"/>
      <c r="N56" s="5"/>
      <c r="O56" s="5"/>
      <c r="P56" s="5"/>
      <c r="Q56" s="5"/>
      <c r="R56" s="5"/>
      <c r="S56" s="5"/>
      <c r="T56" s="5"/>
      <c r="U56" s="5"/>
      <c r="V56" s="5"/>
      <c r="W56" s="5"/>
      <c r="X56" s="5"/>
      <c r="Y56" s="5"/>
      <c r="Z56" s="5"/>
      <c r="AA56" s="5"/>
      <c r="AB56" s="5"/>
      <c r="AC56" s="5"/>
      <c r="AD56" s="5"/>
      <c r="AE56" s="5"/>
      <c r="AF56" s="5"/>
      <c r="AG56" s="5"/>
      <c r="AH56" s="5"/>
      <c r="AI56" s="5"/>
      <c r="AJ56" s="5"/>
      <c r="AK56" s="5"/>
      <c r="AL56" s="5"/>
      <c r="AM56" s="5"/>
      <c r="AN56" s="5"/>
    </row>
    <row r="57" spans="2:40" x14ac:dyDescent="0.3">
      <c r="B57" s="5"/>
      <c r="C57" s="5"/>
      <c r="D57" s="5"/>
      <c r="E57" s="5"/>
      <c r="F57" s="5"/>
      <c r="G57" s="5"/>
      <c r="H57" s="5"/>
      <c r="I57" s="5"/>
      <c r="J57" s="5"/>
      <c r="K57" s="5"/>
      <c r="L57" s="5"/>
      <c r="M57" s="5"/>
      <c r="N57" s="5"/>
      <c r="O57" s="5"/>
      <c r="P57" s="5"/>
      <c r="Q57" s="5"/>
      <c r="R57" s="5"/>
      <c r="S57" s="5"/>
      <c r="T57" s="5"/>
      <c r="U57" s="5"/>
      <c r="V57" s="5"/>
      <c r="W57" s="5"/>
      <c r="X57" s="5"/>
      <c r="Y57" s="5"/>
      <c r="Z57" s="5"/>
      <c r="AA57" s="5"/>
      <c r="AB57" s="5"/>
      <c r="AC57" s="5"/>
      <c r="AD57" s="5"/>
      <c r="AE57" s="5"/>
      <c r="AF57" s="5"/>
      <c r="AG57" s="5"/>
      <c r="AH57" s="5"/>
      <c r="AI57" s="5"/>
      <c r="AJ57" s="5"/>
      <c r="AK57" s="5"/>
      <c r="AL57" s="5"/>
      <c r="AM57" s="5"/>
      <c r="AN57" s="5"/>
    </row>
    <row r="58" spans="2:40" x14ac:dyDescent="0.3">
      <c r="B58" s="5"/>
      <c r="C58" s="5"/>
      <c r="D58" s="5"/>
      <c r="E58" s="5"/>
      <c r="F58" s="5"/>
      <c r="G58" s="5"/>
      <c r="H58" s="5"/>
      <c r="I58" s="5"/>
      <c r="J58" s="5"/>
      <c r="K58" s="5"/>
      <c r="L58" s="5"/>
      <c r="M58" s="5"/>
      <c r="N58" s="5"/>
      <c r="O58" s="5"/>
      <c r="P58" s="5"/>
      <c r="Q58" s="5"/>
      <c r="R58" s="5"/>
      <c r="S58" s="5"/>
      <c r="T58" s="5"/>
      <c r="U58" s="5"/>
      <c r="V58" s="5"/>
      <c r="W58" s="5"/>
      <c r="X58" s="5"/>
      <c r="Y58" s="5"/>
      <c r="Z58" s="5"/>
      <c r="AA58" s="5"/>
      <c r="AB58" s="5"/>
      <c r="AC58" s="5"/>
      <c r="AD58" s="5"/>
      <c r="AE58" s="5"/>
      <c r="AF58" s="5"/>
      <c r="AG58" s="5"/>
      <c r="AH58" s="5"/>
      <c r="AI58" s="5"/>
      <c r="AJ58" s="5"/>
      <c r="AK58" s="5"/>
      <c r="AL58" s="5"/>
      <c r="AM58" s="5"/>
      <c r="AN58" s="5"/>
    </row>
    <row r="59" spans="2:40" x14ac:dyDescent="0.3">
      <c r="B59" s="5"/>
      <c r="C59" s="5"/>
      <c r="D59" s="5"/>
      <c r="E59" s="5"/>
      <c r="F59" s="5"/>
      <c r="G59" s="5"/>
      <c r="H59" s="5"/>
      <c r="I59" s="5"/>
      <c r="J59" s="5"/>
      <c r="K59" s="5"/>
      <c r="L59" s="5"/>
      <c r="M59" s="5"/>
      <c r="N59" s="5"/>
      <c r="O59" s="5"/>
      <c r="P59" s="5"/>
      <c r="Q59" s="5"/>
      <c r="R59" s="5"/>
      <c r="S59" s="5"/>
      <c r="T59" s="5"/>
      <c r="U59" s="5"/>
      <c r="V59" s="5"/>
      <c r="W59" s="5"/>
      <c r="X59" s="5"/>
      <c r="Y59" s="5"/>
      <c r="Z59" s="5"/>
      <c r="AA59" s="5"/>
      <c r="AB59" s="5"/>
      <c r="AC59" s="5"/>
      <c r="AD59" s="5"/>
      <c r="AE59" s="5"/>
      <c r="AF59" s="5"/>
      <c r="AG59" s="5"/>
      <c r="AH59" s="5"/>
      <c r="AI59" s="5"/>
      <c r="AJ59" s="5"/>
      <c r="AK59" s="5"/>
      <c r="AL59" s="5"/>
      <c r="AM59" s="5"/>
      <c r="AN59" s="5"/>
    </row>
    <row r="60" spans="2:40" x14ac:dyDescent="0.3">
      <c r="B60" s="5"/>
      <c r="C60" s="5"/>
      <c r="D60" s="5"/>
      <c r="E60" s="5"/>
      <c r="F60" s="5"/>
      <c r="G60" s="5"/>
      <c r="H60" s="5"/>
      <c r="I60" s="5"/>
      <c r="J60" s="5"/>
      <c r="K60" s="5"/>
      <c r="L60" s="5"/>
      <c r="M60" s="5"/>
      <c r="N60" s="5"/>
      <c r="O60" s="5"/>
      <c r="P60" s="5"/>
      <c r="Q60" s="5"/>
      <c r="R60" s="5"/>
      <c r="S60" s="5"/>
      <c r="T60" s="5"/>
      <c r="U60" s="5"/>
      <c r="V60" s="5"/>
      <c r="W60" s="5"/>
      <c r="X60" s="5"/>
      <c r="Y60" s="5"/>
      <c r="Z60" s="5"/>
      <c r="AA60" s="5"/>
      <c r="AB60" s="5"/>
      <c r="AC60" s="5"/>
      <c r="AD60" s="5"/>
      <c r="AE60" s="5"/>
      <c r="AF60" s="5"/>
      <c r="AG60" s="5"/>
      <c r="AH60" s="5"/>
      <c r="AI60" s="5"/>
      <c r="AJ60" s="5"/>
      <c r="AK60" s="5"/>
      <c r="AL60" s="5"/>
      <c r="AM60" s="5"/>
      <c r="AN60" s="5"/>
    </row>
    <row r="61" spans="2:40" x14ac:dyDescent="0.3">
      <c r="B61" s="5"/>
      <c r="C61" s="5"/>
      <c r="D61" s="5"/>
      <c r="E61" s="5"/>
      <c r="F61" s="5"/>
      <c r="G61" s="5"/>
      <c r="H61" s="5"/>
      <c r="I61" s="5"/>
      <c r="J61" s="5"/>
      <c r="K61" s="5"/>
      <c r="L61" s="5"/>
      <c r="M61" s="5"/>
      <c r="N61" s="5"/>
      <c r="O61" s="5"/>
      <c r="P61" s="5"/>
      <c r="Q61" s="5"/>
      <c r="R61" s="5"/>
      <c r="S61" s="5"/>
      <c r="T61" s="5"/>
      <c r="U61" s="5"/>
      <c r="V61" s="5"/>
      <c r="W61" s="5"/>
      <c r="X61" s="5"/>
      <c r="Y61" s="5"/>
      <c r="Z61" s="5"/>
      <c r="AA61" s="5"/>
      <c r="AB61" s="5"/>
      <c r="AC61" s="5"/>
      <c r="AD61" s="5"/>
      <c r="AE61" s="5"/>
      <c r="AF61" s="5"/>
      <c r="AG61" s="5"/>
      <c r="AH61" s="5"/>
      <c r="AI61" s="5"/>
      <c r="AJ61" s="5"/>
      <c r="AK61" s="5"/>
      <c r="AL61" s="5"/>
      <c r="AM61" s="5"/>
      <c r="AN61" s="5"/>
    </row>
    <row r="62" spans="2:40" x14ac:dyDescent="0.3">
      <c r="B62" s="5"/>
      <c r="C62" s="5"/>
      <c r="D62" s="5"/>
      <c r="E62" s="5"/>
      <c r="F62" s="5"/>
      <c r="G62" s="5"/>
      <c r="H62" s="5"/>
      <c r="I62" s="5"/>
      <c r="J62" s="5"/>
      <c r="K62" s="5"/>
      <c r="L62" s="5"/>
      <c r="M62" s="5"/>
      <c r="N62" s="5"/>
      <c r="O62" s="5"/>
      <c r="P62" s="5"/>
      <c r="Q62" s="5"/>
      <c r="R62" s="5"/>
      <c r="S62" s="5"/>
      <c r="T62" s="5"/>
      <c r="U62" s="5"/>
      <c r="V62" s="5"/>
      <c r="W62" s="5"/>
      <c r="X62" s="5"/>
      <c r="Y62" s="5"/>
      <c r="Z62" s="5"/>
      <c r="AA62" s="5"/>
      <c r="AB62" s="5"/>
      <c r="AC62" s="5"/>
      <c r="AD62" s="5"/>
      <c r="AE62" s="5"/>
      <c r="AF62" s="5"/>
      <c r="AG62" s="5"/>
      <c r="AH62" s="5"/>
      <c r="AI62" s="5"/>
      <c r="AJ62" s="5"/>
      <c r="AK62" s="5"/>
      <c r="AL62" s="5"/>
      <c r="AM62" s="5"/>
      <c r="AN62" s="5"/>
    </row>
    <row r="63" spans="2:40" x14ac:dyDescent="0.3">
      <c r="B63" s="5"/>
      <c r="C63" s="5"/>
      <c r="D63" s="5"/>
      <c r="E63" s="5"/>
      <c r="F63" s="5"/>
      <c r="G63" s="5"/>
      <c r="H63" s="5"/>
      <c r="I63" s="5"/>
      <c r="J63" s="5"/>
      <c r="K63" s="5"/>
      <c r="L63" s="5"/>
      <c r="M63" s="5"/>
      <c r="N63" s="5"/>
      <c r="O63" s="5"/>
      <c r="P63" s="5"/>
      <c r="Q63" s="5"/>
      <c r="R63" s="5"/>
      <c r="S63" s="5"/>
      <c r="T63" s="5"/>
      <c r="U63" s="5"/>
      <c r="V63" s="5"/>
      <c r="W63" s="5"/>
      <c r="X63" s="5"/>
      <c r="Y63" s="5"/>
      <c r="Z63" s="5"/>
      <c r="AA63" s="5"/>
      <c r="AB63" s="5"/>
      <c r="AC63" s="5"/>
      <c r="AD63" s="5"/>
      <c r="AE63" s="5"/>
      <c r="AF63" s="5"/>
      <c r="AG63" s="5"/>
      <c r="AH63" s="5"/>
      <c r="AI63" s="5"/>
      <c r="AJ63" s="5"/>
      <c r="AK63" s="5"/>
      <c r="AL63" s="5"/>
      <c r="AM63" s="5"/>
      <c r="AN63" s="5"/>
    </row>
    <row r="64" spans="2:40" x14ac:dyDescent="0.3">
      <c r="B64" s="5"/>
      <c r="C64" s="5"/>
      <c r="D64" s="5"/>
      <c r="E64" s="5"/>
      <c r="F64" s="5"/>
      <c r="G64" s="5"/>
      <c r="H64" s="5"/>
      <c r="I64" s="5"/>
      <c r="J64" s="5"/>
      <c r="K64" s="5"/>
      <c r="L64" s="5"/>
      <c r="M64" s="5"/>
      <c r="N64" s="5"/>
      <c r="O64" s="5"/>
      <c r="P64" s="5"/>
      <c r="Q64" s="5"/>
      <c r="R64" s="5"/>
      <c r="S64" s="5"/>
      <c r="T64" s="5"/>
      <c r="U64" s="5"/>
      <c r="V64" s="5"/>
      <c r="W64" s="5"/>
      <c r="X64" s="5"/>
      <c r="Y64" s="5"/>
      <c r="Z64" s="5"/>
      <c r="AA64" s="5"/>
      <c r="AB64" s="5"/>
      <c r="AC64" s="5"/>
      <c r="AD64" s="5"/>
      <c r="AE64" s="5"/>
      <c r="AF64" s="5"/>
      <c r="AG64" s="5"/>
      <c r="AH64" s="5"/>
      <c r="AI64" s="5"/>
      <c r="AJ64" s="5"/>
      <c r="AK64" s="5"/>
      <c r="AL64" s="5"/>
      <c r="AM64" s="5"/>
      <c r="AN64" s="5"/>
    </row>
    <row r="65" spans="2:40" x14ac:dyDescent="0.3">
      <c r="B65" s="5"/>
      <c r="C65" s="5"/>
      <c r="D65" s="5"/>
      <c r="E65" s="5"/>
      <c r="F65" s="5"/>
      <c r="G65" s="5"/>
      <c r="H65" s="5"/>
      <c r="I65" s="5"/>
      <c r="J65" s="5"/>
      <c r="K65" s="5"/>
      <c r="L65" s="5"/>
      <c r="M65" s="5"/>
      <c r="N65" s="5"/>
      <c r="O65" s="5"/>
      <c r="P65" s="5"/>
      <c r="Q65" s="5"/>
      <c r="R65" s="5"/>
      <c r="S65" s="5"/>
      <c r="T65" s="5"/>
      <c r="U65" s="5"/>
      <c r="V65" s="5"/>
      <c r="W65" s="5"/>
      <c r="X65" s="5"/>
      <c r="Y65" s="5"/>
      <c r="Z65" s="5"/>
      <c r="AA65" s="5"/>
      <c r="AB65" s="5"/>
      <c r="AC65" s="5"/>
      <c r="AD65" s="5"/>
      <c r="AE65" s="5"/>
      <c r="AF65" s="5"/>
      <c r="AG65" s="5"/>
      <c r="AH65" s="5"/>
      <c r="AI65" s="5"/>
      <c r="AJ65" s="5"/>
      <c r="AK65" s="5"/>
      <c r="AL65" s="5"/>
      <c r="AM65" s="5"/>
      <c r="AN65" s="5"/>
    </row>
    <row r="66" spans="2:40" x14ac:dyDescent="0.3">
      <c r="B66" s="5"/>
      <c r="C66" s="5"/>
      <c r="D66" s="5"/>
      <c r="E66" s="5"/>
      <c r="F66" s="5"/>
      <c r="G66" s="5"/>
      <c r="H66" s="5"/>
      <c r="I66" s="5"/>
      <c r="J66" s="5"/>
      <c r="K66" s="5"/>
      <c r="L66" s="5"/>
      <c r="M66" s="5"/>
      <c r="N66" s="5"/>
      <c r="O66" s="5"/>
      <c r="P66" s="5"/>
      <c r="Q66" s="5"/>
      <c r="R66" s="5"/>
      <c r="S66" s="5"/>
      <c r="T66" s="5"/>
      <c r="U66" s="5"/>
      <c r="V66" s="5"/>
      <c r="W66" s="5"/>
      <c r="X66" s="5"/>
      <c r="Y66" s="5"/>
      <c r="Z66" s="5"/>
      <c r="AA66" s="5"/>
      <c r="AB66" s="5"/>
      <c r="AC66" s="5"/>
      <c r="AD66" s="5"/>
      <c r="AE66" s="5"/>
      <c r="AF66" s="5"/>
      <c r="AG66" s="5"/>
      <c r="AH66" s="5"/>
      <c r="AI66" s="5"/>
      <c r="AJ66" s="5"/>
      <c r="AK66" s="5"/>
      <c r="AL66" s="5"/>
      <c r="AM66" s="5"/>
      <c r="AN66" s="5"/>
    </row>
    <row r="67" spans="2:40" x14ac:dyDescent="0.3">
      <c r="B67" s="5"/>
      <c r="C67" s="5"/>
      <c r="D67" s="5"/>
      <c r="E67" s="5"/>
      <c r="F67" s="5"/>
      <c r="G67" s="5"/>
      <c r="H67" s="5"/>
      <c r="I67" s="5"/>
      <c r="J67" s="5"/>
      <c r="K67" s="5"/>
      <c r="L67" s="5"/>
      <c r="M67" s="5"/>
      <c r="N67" s="5"/>
      <c r="O67" s="5"/>
      <c r="P67" s="5"/>
      <c r="Q67" s="5"/>
      <c r="R67" s="5"/>
      <c r="S67" s="5"/>
      <c r="T67" s="5"/>
      <c r="U67" s="5"/>
      <c r="V67" s="5"/>
      <c r="W67" s="5"/>
      <c r="X67" s="5"/>
      <c r="Y67" s="5"/>
      <c r="Z67" s="5"/>
      <c r="AA67" s="5"/>
      <c r="AB67" s="5"/>
      <c r="AC67" s="5"/>
      <c r="AD67" s="5"/>
      <c r="AE67" s="5"/>
      <c r="AF67" s="5"/>
      <c r="AG67" s="5"/>
      <c r="AH67" s="5"/>
      <c r="AI67" s="5"/>
      <c r="AJ67" s="5"/>
      <c r="AK67" s="5"/>
      <c r="AL67" s="5"/>
      <c r="AM67" s="5"/>
      <c r="AN67" s="5"/>
    </row>
    <row r="68" spans="2:40" x14ac:dyDescent="0.3">
      <c r="B68" s="5"/>
      <c r="C68" s="5"/>
      <c r="D68" s="5"/>
      <c r="E68" s="5"/>
      <c r="F68" s="5"/>
      <c r="G68" s="5"/>
      <c r="H68" s="5"/>
      <c r="I68" s="5"/>
      <c r="J68" s="5"/>
      <c r="K68" s="5"/>
      <c r="L68" s="5"/>
      <c r="M68" s="5"/>
      <c r="N68" s="5"/>
      <c r="O68" s="5"/>
      <c r="P68" s="5"/>
      <c r="Q68" s="5"/>
      <c r="R68" s="5"/>
      <c r="S68" s="5"/>
      <c r="T68" s="5"/>
      <c r="U68" s="5"/>
      <c r="V68" s="5"/>
      <c r="W68" s="5"/>
      <c r="X68" s="5"/>
      <c r="Y68" s="5"/>
      <c r="Z68" s="5"/>
      <c r="AA68" s="5"/>
      <c r="AB68" s="5"/>
      <c r="AC68" s="5"/>
      <c r="AD68" s="5"/>
      <c r="AE68" s="5"/>
      <c r="AF68" s="5"/>
      <c r="AG68" s="5"/>
      <c r="AH68" s="5"/>
      <c r="AI68" s="5"/>
      <c r="AJ68" s="5"/>
      <c r="AK68" s="5"/>
      <c r="AL68" s="5"/>
      <c r="AM68" s="5"/>
      <c r="AN68" s="5"/>
    </row>
    <row r="69" spans="2:40" x14ac:dyDescent="0.3">
      <c r="B69" s="5"/>
      <c r="C69" s="5"/>
      <c r="D69" s="5"/>
      <c r="E69" s="5"/>
      <c r="F69" s="5"/>
      <c r="G69" s="5"/>
      <c r="H69" s="5"/>
      <c r="I69" s="5"/>
      <c r="J69" s="5"/>
      <c r="K69" s="5"/>
      <c r="L69" s="5"/>
      <c r="M69" s="5"/>
      <c r="N69" s="5"/>
      <c r="O69" s="5"/>
      <c r="P69" s="5"/>
      <c r="Q69" s="5"/>
      <c r="R69" s="5"/>
      <c r="S69" s="5"/>
      <c r="T69" s="5"/>
      <c r="U69" s="5"/>
      <c r="V69" s="5"/>
      <c r="W69" s="5"/>
      <c r="X69" s="5"/>
      <c r="Y69" s="5"/>
      <c r="Z69" s="5"/>
      <c r="AA69" s="5"/>
      <c r="AB69" s="5"/>
      <c r="AC69" s="5"/>
      <c r="AD69" s="5"/>
      <c r="AE69" s="5"/>
      <c r="AF69" s="5"/>
      <c r="AG69" s="5"/>
      <c r="AH69" s="5"/>
      <c r="AI69" s="5"/>
      <c r="AJ69" s="5"/>
      <c r="AK69" s="5"/>
      <c r="AL69" s="5"/>
      <c r="AM69" s="5"/>
      <c r="AN69" s="5"/>
    </row>
    <row r="70" spans="2:40" x14ac:dyDescent="0.3">
      <c r="B70" s="5"/>
      <c r="C70" s="5"/>
      <c r="D70" s="5"/>
      <c r="E70" s="5"/>
      <c r="F70" s="5"/>
      <c r="G70" s="5"/>
      <c r="H70" s="5"/>
      <c r="I70" s="5"/>
      <c r="J70" s="5"/>
      <c r="K70" s="5"/>
      <c r="L70" s="5"/>
      <c r="M70" s="5"/>
      <c r="N70" s="5"/>
      <c r="O70" s="5"/>
      <c r="P70" s="5"/>
      <c r="Q70" s="5"/>
      <c r="R70" s="5"/>
      <c r="S70" s="5"/>
      <c r="T70" s="5"/>
      <c r="U70" s="5"/>
      <c r="V70" s="5"/>
      <c r="W70" s="5"/>
      <c r="X70" s="5"/>
      <c r="Y70" s="5"/>
      <c r="Z70" s="5"/>
      <c r="AA70" s="5"/>
      <c r="AB70" s="5"/>
      <c r="AC70" s="5"/>
      <c r="AD70" s="5"/>
      <c r="AE70" s="5"/>
      <c r="AF70" s="5"/>
      <c r="AG70" s="5"/>
      <c r="AH70" s="5"/>
      <c r="AI70" s="5"/>
      <c r="AJ70" s="5"/>
      <c r="AK70" s="5"/>
      <c r="AL70" s="5"/>
      <c r="AM70" s="5"/>
      <c r="AN70" s="5"/>
    </row>
    <row r="71" spans="2:40" x14ac:dyDescent="0.3">
      <c r="B71" s="5"/>
      <c r="C71" s="5"/>
      <c r="D71" s="5"/>
      <c r="E71" s="5"/>
      <c r="F71" s="5"/>
      <c r="G71" s="5"/>
      <c r="H71" s="5"/>
      <c r="I71" s="5"/>
      <c r="J71" s="5"/>
      <c r="K71" s="5"/>
      <c r="L71" s="5"/>
      <c r="M71" s="5"/>
      <c r="N71" s="5"/>
      <c r="O71" s="5"/>
      <c r="P71" s="5"/>
      <c r="Q71" s="5"/>
      <c r="R71" s="5"/>
      <c r="S71" s="5"/>
      <c r="T71" s="5"/>
      <c r="U71" s="5"/>
      <c r="V71" s="5"/>
      <c r="W71" s="5"/>
      <c r="X71" s="5"/>
      <c r="Y71" s="5"/>
      <c r="Z71" s="5"/>
      <c r="AA71" s="5"/>
      <c r="AB71" s="5"/>
      <c r="AC71" s="5"/>
      <c r="AD71" s="5"/>
      <c r="AE71" s="5"/>
      <c r="AF71" s="5"/>
      <c r="AG71" s="5"/>
      <c r="AH71" s="5"/>
      <c r="AI71" s="5"/>
      <c r="AJ71" s="5"/>
      <c r="AK71" s="5"/>
      <c r="AL71" s="5"/>
      <c r="AM71" s="5"/>
      <c r="AN71" s="5"/>
    </row>
    <row r="72" spans="2:40" x14ac:dyDescent="0.3">
      <c r="B72" s="5"/>
      <c r="C72" s="5"/>
      <c r="D72" s="5"/>
      <c r="E72" s="5"/>
      <c r="F72" s="5"/>
      <c r="G72" s="5"/>
      <c r="H72" s="5"/>
      <c r="I72" s="5"/>
      <c r="J72" s="5"/>
      <c r="K72" s="5"/>
      <c r="L72" s="5"/>
      <c r="M72" s="5"/>
      <c r="N72" s="5"/>
      <c r="O72" s="5"/>
      <c r="P72" s="5"/>
      <c r="Q72" s="5"/>
      <c r="R72" s="5"/>
      <c r="S72" s="5"/>
      <c r="T72" s="5"/>
      <c r="U72" s="5"/>
      <c r="V72" s="5"/>
      <c r="W72" s="5"/>
      <c r="X72" s="5"/>
      <c r="Y72" s="5"/>
      <c r="Z72" s="5"/>
      <c r="AA72" s="5"/>
      <c r="AB72" s="5"/>
      <c r="AC72" s="5"/>
      <c r="AD72" s="5"/>
      <c r="AE72" s="5"/>
      <c r="AF72" s="5"/>
      <c r="AG72" s="5"/>
      <c r="AH72" s="5"/>
      <c r="AI72" s="5"/>
      <c r="AJ72" s="5"/>
      <c r="AK72" s="5"/>
      <c r="AL72" s="5"/>
      <c r="AM72" s="5"/>
      <c r="AN72" s="5"/>
    </row>
    <row r="73" spans="2:40" x14ac:dyDescent="0.3">
      <c r="B73" s="5"/>
      <c r="C73" s="5"/>
      <c r="D73" s="5"/>
      <c r="E73" s="5"/>
      <c r="F73" s="5"/>
      <c r="G73" s="5"/>
      <c r="H73" s="5"/>
      <c r="I73" s="5"/>
      <c r="J73" s="5"/>
      <c r="K73" s="5"/>
      <c r="L73" s="5"/>
      <c r="M73" s="5"/>
      <c r="N73" s="5"/>
      <c r="O73" s="5"/>
      <c r="P73" s="5"/>
      <c r="Q73" s="5"/>
      <c r="R73" s="5"/>
      <c r="S73" s="5"/>
      <c r="T73" s="5"/>
      <c r="U73" s="5"/>
      <c r="V73" s="5"/>
      <c r="W73" s="5"/>
      <c r="X73" s="5"/>
      <c r="Y73" s="5"/>
      <c r="Z73" s="5"/>
      <c r="AA73" s="5"/>
      <c r="AB73" s="5"/>
      <c r="AC73" s="5"/>
      <c r="AD73" s="5"/>
      <c r="AE73" s="5"/>
      <c r="AF73" s="5"/>
      <c r="AG73" s="5"/>
      <c r="AH73" s="5"/>
      <c r="AI73" s="5"/>
      <c r="AJ73" s="5"/>
      <c r="AK73" s="5"/>
      <c r="AL73" s="5"/>
      <c r="AM73" s="5"/>
      <c r="AN73" s="5"/>
    </row>
    <row r="74" spans="2:40" x14ac:dyDescent="0.3">
      <c r="B74" s="5"/>
      <c r="C74" s="5"/>
      <c r="D74" s="5"/>
      <c r="E74" s="5"/>
      <c r="F74" s="5"/>
      <c r="G74" s="5"/>
      <c r="H74" s="5"/>
      <c r="I74" s="5"/>
      <c r="J74" s="5"/>
      <c r="K74" s="5"/>
      <c r="L74" s="5"/>
      <c r="M74" s="5"/>
      <c r="N74" s="5"/>
      <c r="O74" s="5"/>
      <c r="P74" s="5"/>
      <c r="Q74" s="5"/>
      <c r="R74" s="5"/>
      <c r="S74" s="5"/>
      <c r="T74" s="5"/>
      <c r="U74" s="5"/>
      <c r="V74" s="5"/>
      <c r="W74" s="5"/>
      <c r="X74" s="5"/>
      <c r="Y74" s="5"/>
      <c r="Z74" s="5"/>
      <c r="AA74" s="5"/>
      <c r="AB74" s="5"/>
      <c r="AC74" s="5"/>
      <c r="AD74" s="5"/>
      <c r="AE74" s="5"/>
      <c r="AF74" s="5"/>
      <c r="AG74" s="5"/>
      <c r="AH74" s="5"/>
      <c r="AI74" s="5"/>
      <c r="AJ74" s="5"/>
      <c r="AK74" s="5"/>
      <c r="AL74" s="5"/>
      <c r="AM74" s="5"/>
      <c r="AN74" s="5"/>
    </row>
    <row r="75" spans="2:40" x14ac:dyDescent="0.3">
      <c r="B75" s="5"/>
      <c r="C75" s="5"/>
      <c r="D75" s="5"/>
      <c r="E75" s="5"/>
      <c r="F75" s="5"/>
      <c r="G75" s="5"/>
      <c r="H75" s="5"/>
      <c r="I75" s="5"/>
      <c r="J75" s="5"/>
      <c r="K75" s="5"/>
      <c r="L75" s="5"/>
      <c r="M75" s="5"/>
      <c r="N75" s="5"/>
      <c r="O75" s="5"/>
      <c r="P75" s="5"/>
      <c r="Q75" s="5"/>
      <c r="R75" s="5"/>
      <c r="S75" s="5"/>
      <c r="T75" s="5"/>
      <c r="U75" s="5"/>
      <c r="V75" s="5"/>
      <c r="W75" s="5"/>
      <c r="X75" s="5"/>
      <c r="Y75" s="5"/>
      <c r="Z75" s="5"/>
      <c r="AA75" s="5"/>
      <c r="AB75" s="5"/>
      <c r="AC75" s="5"/>
      <c r="AD75" s="5"/>
      <c r="AE75" s="5"/>
      <c r="AF75" s="5"/>
      <c r="AG75" s="5"/>
      <c r="AH75" s="5"/>
      <c r="AI75" s="5"/>
      <c r="AJ75" s="5"/>
      <c r="AK75" s="5"/>
      <c r="AL75" s="5"/>
      <c r="AM75" s="5"/>
      <c r="AN75" s="5"/>
    </row>
    <row r="76" spans="2:40" x14ac:dyDescent="0.3">
      <c r="B76" s="5"/>
      <c r="C76" s="5"/>
      <c r="D76" s="5"/>
      <c r="E76" s="5"/>
      <c r="F76" s="5"/>
      <c r="G76" s="5"/>
      <c r="H76" s="5"/>
      <c r="I76" s="5"/>
      <c r="J76" s="5"/>
      <c r="K76" s="5"/>
      <c r="L76" s="5"/>
      <c r="M76" s="5"/>
      <c r="N76" s="5"/>
      <c r="O76" s="5"/>
      <c r="P76" s="5"/>
      <c r="Q76" s="5"/>
      <c r="R76" s="5"/>
      <c r="S76" s="5"/>
      <c r="T76" s="5"/>
      <c r="U76" s="5"/>
      <c r="V76" s="5"/>
      <c r="W76" s="5"/>
      <c r="X76" s="5"/>
      <c r="Y76" s="5"/>
      <c r="Z76" s="5"/>
      <c r="AA76" s="5"/>
      <c r="AB76" s="5"/>
      <c r="AC76" s="5"/>
      <c r="AD76" s="5"/>
      <c r="AE76" s="5"/>
      <c r="AF76" s="5"/>
      <c r="AG76" s="5"/>
      <c r="AH76" s="5"/>
      <c r="AI76" s="5"/>
      <c r="AJ76" s="5"/>
      <c r="AK76" s="5"/>
      <c r="AL76" s="5"/>
      <c r="AM76" s="5"/>
      <c r="AN76" s="5"/>
    </row>
    <row r="77" spans="2:40" x14ac:dyDescent="0.3">
      <c r="B77" s="5"/>
      <c r="C77" s="5"/>
      <c r="D77" s="5"/>
      <c r="E77" s="5"/>
      <c r="F77" s="5"/>
      <c r="G77" s="5"/>
      <c r="H77" s="5"/>
      <c r="I77" s="5"/>
      <c r="J77" s="5"/>
      <c r="K77" s="5"/>
      <c r="L77" s="5"/>
      <c r="M77" s="5"/>
      <c r="N77" s="5"/>
      <c r="O77" s="5"/>
      <c r="P77" s="5"/>
      <c r="Q77" s="5"/>
      <c r="R77" s="5"/>
      <c r="S77" s="5"/>
      <c r="T77" s="5"/>
      <c r="U77" s="5"/>
      <c r="V77" s="5"/>
      <c r="W77" s="5"/>
      <c r="X77" s="5"/>
      <c r="Y77" s="5"/>
      <c r="Z77" s="5"/>
      <c r="AA77" s="5"/>
      <c r="AB77" s="5"/>
      <c r="AC77" s="5"/>
      <c r="AD77" s="5"/>
      <c r="AE77" s="5"/>
      <c r="AF77" s="5"/>
      <c r="AG77" s="5"/>
      <c r="AH77" s="5"/>
      <c r="AI77" s="5"/>
      <c r="AJ77" s="5"/>
      <c r="AK77" s="5"/>
      <c r="AL77" s="5"/>
      <c r="AM77" s="5"/>
      <c r="AN77" s="5"/>
    </row>
    <row r="78" spans="2:40" x14ac:dyDescent="0.3">
      <c r="B78" s="5"/>
      <c r="C78" s="5"/>
      <c r="D78" s="5"/>
      <c r="E78" s="5"/>
      <c r="F78" s="5"/>
      <c r="G78" s="5"/>
      <c r="H78" s="5"/>
      <c r="I78" s="5"/>
      <c r="J78" s="5"/>
      <c r="K78" s="5"/>
      <c r="L78" s="5"/>
      <c r="M78" s="5"/>
      <c r="N78" s="5"/>
      <c r="O78" s="5"/>
      <c r="P78" s="5"/>
      <c r="Q78" s="5"/>
      <c r="R78" s="5"/>
      <c r="S78" s="5"/>
      <c r="T78" s="5"/>
      <c r="U78" s="5"/>
      <c r="V78" s="5"/>
      <c r="W78" s="5"/>
      <c r="X78" s="5"/>
      <c r="Y78" s="5"/>
      <c r="Z78" s="5"/>
      <c r="AA78" s="5"/>
      <c r="AB78" s="5"/>
      <c r="AC78" s="5"/>
      <c r="AD78" s="5"/>
      <c r="AE78" s="5"/>
      <c r="AF78" s="5"/>
      <c r="AG78" s="5"/>
      <c r="AH78" s="5"/>
      <c r="AI78" s="5"/>
      <c r="AJ78" s="5"/>
      <c r="AK78" s="5"/>
      <c r="AL78" s="5"/>
      <c r="AM78" s="5"/>
      <c r="AN78" s="5"/>
    </row>
    <row r="79" spans="2:40" x14ac:dyDescent="0.3">
      <c r="B79" s="5"/>
      <c r="C79" s="5"/>
      <c r="D79" s="5"/>
      <c r="E79" s="5"/>
      <c r="F79" s="5"/>
      <c r="G79" s="5"/>
      <c r="H79" s="5"/>
      <c r="I79" s="5"/>
      <c r="J79" s="5"/>
      <c r="K79" s="5"/>
      <c r="L79" s="5"/>
      <c r="M79" s="5"/>
      <c r="N79" s="5"/>
      <c r="O79" s="5"/>
      <c r="P79" s="5"/>
      <c r="Q79" s="5"/>
      <c r="R79" s="5"/>
      <c r="S79" s="5"/>
      <c r="T79" s="5"/>
      <c r="U79" s="5"/>
      <c r="V79" s="5"/>
      <c r="W79" s="5"/>
      <c r="X79" s="5"/>
      <c r="Y79" s="5"/>
      <c r="Z79" s="5"/>
      <c r="AA79" s="5"/>
      <c r="AB79" s="5"/>
      <c r="AC79" s="5"/>
      <c r="AD79" s="5"/>
      <c r="AE79" s="5"/>
      <c r="AF79" s="5"/>
      <c r="AG79" s="5"/>
      <c r="AH79" s="5"/>
      <c r="AI79" s="5"/>
      <c r="AJ79" s="5"/>
      <c r="AK79" s="5"/>
      <c r="AL79" s="5"/>
      <c r="AM79" s="5"/>
      <c r="AN79" s="5"/>
    </row>
    <row r="80" spans="2:40" x14ac:dyDescent="0.3">
      <c r="B80" s="5"/>
      <c r="C80" s="5"/>
      <c r="D80" s="5"/>
      <c r="E80" s="5"/>
      <c r="F80" s="5"/>
      <c r="G80" s="5"/>
      <c r="H80" s="5"/>
      <c r="I80" s="5"/>
      <c r="J80" s="5"/>
      <c r="K80" s="5"/>
      <c r="L80" s="5"/>
      <c r="M80" s="5"/>
      <c r="N80" s="5"/>
      <c r="O80" s="5"/>
      <c r="P80" s="5"/>
      <c r="Q80" s="5"/>
      <c r="R80" s="5"/>
      <c r="S80" s="5"/>
      <c r="T80" s="5"/>
      <c r="U80" s="5"/>
      <c r="V80" s="5"/>
      <c r="W80" s="5"/>
      <c r="X80" s="5"/>
      <c r="Y80" s="5"/>
      <c r="Z80" s="5"/>
      <c r="AA80" s="5"/>
      <c r="AB80" s="5"/>
      <c r="AC80" s="5"/>
      <c r="AD80" s="5"/>
      <c r="AE80" s="5"/>
      <c r="AF80" s="5"/>
      <c r="AG80" s="5"/>
      <c r="AH80" s="5"/>
      <c r="AI80" s="5"/>
      <c r="AJ80" s="5"/>
      <c r="AK80" s="5"/>
      <c r="AL80" s="5"/>
      <c r="AM80" s="5"/>
      <c r="AN80" s="5"/>
    </row>
    <row r="81" spans="2:40" x14ac:dyDescent="0.3">
      <c r="B81" s="5"/>
      <c r="C81" s="5"/>
      <c r="D81" s="5"/>
      <c r="E81" s="5"/>
      <c r="F81" s="5"/>
      <c r="G81" s="5"/>
      <c r="H81" s="5"/>
      <c r="I81" s="5"/>
      <c r="J81" s="5"/>
      <c r="K81" s="5"/>
      <c r="L81" s="5"/>
      <c r="M81" s="5"/>
      <c r="N81" s="5"/>
      <c r="O81" s="5"/>
      <c r="P81" s="5"/>
      <c r="Q81" s="5"/>
      <c r="R81" s="5"/>
      <c r="S81" s="5"/>
      <c r="T81" s="5"/>
      <c r="U81" s="5"/>
      <c r="V81" s="5"/>
      <c r="W81" s="5"/>
      <c r="X81" s="5"/>
      <c r="Y81" s="5"/>
      <c r="Z81" s="5"/>
      <c r="AA81" s="5"/>
      <c r="AB81" s="5"/>
      <c r="AC81" s="5"/>
      <c r="AD81" s="5"/>
      <c r="AE81" s="5"/>
      <c r="AF81" s="5"/>
      <c r="AG81" s="5"/>
      <c r="AH81" s="5"/>
      <c r="AI81" s="5"/>
      <c r="AJ81" s="5"/>
      <c r="AK81" s="5"/>
      <c r="AL81" s="5"/>
      <c r="AM81" s="5"/>
      <c r="AN81" s="5"/>
    </row>
    <row r="82" spans="2:40" x14ac:dyDescent="0.3">
      <c r="B82" s="5"/>
      <c r="C82" s="5"/>
      <c r="D82" s="5"/>
      <c r="E82" s="5"/>
      <c r="F82" s="5"/>
      <c r="G82" s="5"/>
      <c r="H82" s="5"/>
      <c r="I82" s="5"/>
      <c r="J82" s="5"/>
      <c r="K82" s="5"/>
      <c r="L82" s="5"/>
      <c r="M82" s="5"/>
      <c r="N82" s="5"/>
      <c r="O82" s="5"/>
      <c r="P82" s="5"/>
      <c r="Q82" s="5"/>
      <c r="R82" s="5"/>
      <c r="S82" s="5"/>
      <c r="T82" s="5"/>
      <c r="U82" s="5"/>
      <c r="V82" s="5"/>
      <c r="W82" s="5"/>
      <c r="X82" s="5"/>
      <c r="Y82" s="5"/>
      <c r="Z82" s="5"/>
      <c r="AA82" s="5"/>
      <c r="AB82" s="5"/>
      <c r="AC82" s="5"/>
      <c r="AD82" s="5"/>
      <c r="AE82" s="5"/>
      <c r="AF82" s="5"/>
      <c r="AG82" s="5"/>
      <c r="AH82" s="5"/>
      <c r="AI82" s="5"/>
      <c r="AJ82" s="5"/>
      <c r="AK82" s="5"/>
      <c r="AL82" s="5"/>
      <c r="AM82" s="5"/>
      <c r="AN82" s="5"/>
    </row>
    <row r="83" spans="2:40" x14ac:dyDescent="0.3">
      <c r="B83" s="5"/>
      <c r="C83" s="5"/>
      <c r="D83" s="5"/>
      <c r="E83" s="5"/>
      <c r="F83" s="5"/>
      <c r="G83" s="5"/>
      <c r="H83" s="5"/>
      <c r="I83" s="5"/>
      <c r="J83" s="5"/>
      <c r="K83" s="5"/>
      <c r="L83" s="5"/>
      <c r="M83" s="5"/>
      <c r="N83" s="5"/>
      <c r="O83" s="5"/>
      <c r="P83" s="5"/>
      <c r="Q83" s="5"/>
      <c r="R83" s="5"/>
      <c r="S83" s="5"/>
      <c r="T83" s="5"/>
      <c r="U83" s="5"/>
      <c r="V83" s="5"/>
      <c r="W83" s="5"/>
      <c r="X83" s="5"/>
      <c r="Y83" s="5"/>
      <c r="Z83" s="5"/>
      <c r="AA83" s="5"/>
      <c r="AB83" s="5"/>
      <c r="AC83" s="5"/>
      <c r="AD83" s="5"/>
      <c r="AE83" s="5"/>
      <c r="AF83" s="5"/>
      <c r="AG83" s="5"/>
      <c r="AH83" s="5"/>
      <c r="AI83" s="5"/>
      <c r="AJ83" s="5"/>
      <c r="AK83" s="5"/>
      <c r="AL83" s="5"/>
      <c r="AM83" s="5"/>
      <c r="AN83" s="5"/>
    </row>
    <row r="84" spans="2:40" x14ac:dyDescent="0.3">
      <c r="B84" s="5"/>
      <c r="C84" s="5"/>
      <c r="D84" s="5"/>
      <c r="E84" s="5"/>
      <c r="F84" s="5"/>
      <c r="G84" s="5"/>
      <c r="H84" s="5"/>
      <c r="I84" s="5"/>
      <c r="J84" s="5"/>
      <c r="K84" s="5"/>
      <c r="L84" s="5"/>
      <c r="M84" s="5"/>
      <c r="N84" s="5"/>
      <c r="O84" s="5"/>
      <c r="P84" s="5"/>
      <c r="Q84" s="5"/>
      <c r="R84" s="5"/>
      <c r="S84" s="5"/>
      <c r="T84" s="5"/>
      <c r="U84" s="5"/>
      <c r="V84" s="5"/>
      <c r="W84" s="5"/>
      <c r="X84" s="5"/>
      <c r="Y84" s="5"/>
      <c r="Z84" s="5"/>
      <c r="AA84" s="5"/>
      <c r="AB84" s="5"/>
      <c r="AC84" s="5"/>
      <c r="AD84" s="5"/>
      <c r="AE84" s="5"/>
      <c r="AF84" s="5"/>
      <c r="AG84" s="5"/>
      <c r="AH84" s="5"/>
      <c r="AI84" s="5"/>
      <c r="AJ84" s="5"/>
      <c r="AK84" s="5"/>
      <c r="AL84" s="5"/>
      <c r="AM84" s="5"/>
      <c r="AN84" s="5"/>
    </row>
    <row r="85" spans="2:40" x14ac:dyDescent="0.3">
      <c r="B85" s="5"/>
      <c r="C85" s="5"/>
      <c r="D85" s="5"/>
      <c r="E85" s="5"/>
      <c r="F85" s="5"/>
      <c r="G85" s="5"/>
      <c r="H85" s="5"/>
      <c r="I85" s="5"/>
      <c r="J85" s="5"/>
      <c r="K85" s="5"/>
      <c r="L85" s="5"/>
      <c r="M85" s="5"/>
      <c r="N85" s="5"/>
      <c r="O85" s="5"/>
      <c r="P85" s="5"/>
      <c r="Q85" s="5"/>
      <c r="R85" s="5"/>
      <c r="S85" s="5"/>
      <c r="T85" s="5"/>
      <c r="U85" s="5"/>
      <c r="V85" s="5"/>
      <c r="W85" s="5"/>
      <c r="X85" s="5"/>
      <c r="Y85" s="5"/>
      <c r="Z85" s="5"/>
      <c r="AA85" s="5"/>
      <c r="AB85" s="5"/>
      <c r="AC85" s="5"/>
      <c r="AD85" s="5"/>
      <c r="AE85" s="5"/>
      <c r="AF85" s="5"/>
      <c r="AG85" s="5"/>
      <c r="AH85" s="5"/>
      <c r="AI85" s="5"/>
      <c r="AJ85" s="5"/>
      <c r="AK85" s="5"/>
      <c r="AL85" s="5"/>
      <c r="AM85" s="5"/>
      <c r="AN85" s="5"/>
    </row>
    <row r="86" spans="2:40" x14ac:dyDescent="0.3">
      <c r="B86" s="5"/>
      <c r="C86" s="5"/>
      <c r="D86" s="5"/>
      <c r="E86" s="5"/>
      <c r="F86" s="5"/>
      <c r="G86" s="5"/>
      <c r="H86" s="5"/>
      <c r="I86" s="5"/>
      <c r="J86" s="5"/>
      <c r="K86" s="5"/>
      <c r="L86" s="5"/>
      <c r="M86" s="5"/>
      <c r="N86" s="5"/>
      <c r="O86" s="5"/>
      <c r="P86" s="5"/>
      <c r="Q86" s="5"/>
      <c r="R86" s="5"/>
      <c r="S86" s="5"/>
      <c r="T86" s="5"/>
      <c r="U86" s="5"/>
      <c r="V86" s="5"/>
      <c r="W86" s="5"/>
      <c r="X86" s="5"/>
      <c r="Y86" s="5"/>
      <c r="Z86" s="5"/>
      <c r="AA86" s="5"/>
      <c r="AB86" s="5"/>
      <c r="AC86" s="5"/>
      <c r="AD86" s="5"/>
      <c r="AE86" s="5"/>
      <c r="AF86" s="5"/>
      <c r="AG86" s="5"/>
      <c r="AH86" s="5"/>
      <c r="AI86" s="5"/>
      <c r="AJ86" s="5"/>
      <c r="AK86" s="5"/>
      <c r="AL86" s="5"/>
      <c r="AM86" s="5"/>
      <c r="AN86" s="5"/>
    </row>
    <row r="87" spans="2:40" x14ac:dyDescent="0.3">
      <c r="B87" s="5"/>
      <c r="C87" s="5"/>
      <c r="D87" s="5"/>
      <c r="E87" s="5"/>
      <c r="F87" s="5"/>
      <c r="G87" s="5"/>
      <c r="H87" s="5"/>
      <c r="I87" s="5"/>
      <c r="J87" s="5"/>
      <c r="K87" s="5"/>
      <c r="L87" s="5"/>
      <c r="M87" s="5"/>
      <c r="N87" s="5"/>
      <c r="O87" s="5"/>
      <c r="P87" s="5"/>
      <c r="Q87" s="5"/>
      <c r="R87" s="5"/>
      <c r="S87" s="5"/>
      <c r="T87" s="5"/>
      <c r="U87" s="5"/>
      <c r="V87" s="5"/>
      <c r="W87" s="5"/>
      <c r="X87" s="5"/>
      <c r="Y87" s="5"/>
      <c r="Z87" s="5"/>
      <c r="AA87" s="5"/>
      <c r="AB87" s="5"/>
      <c r="AC87" s="5"/>
      <c r="AD87" s="5"/>
      <c r="AE87" s="5"/>
      <c r="AF87" s="5"/>
      <c r="AG87" s="5"/>
      <c r="AH87" s="5"/>
      <c r="AI87" s="5"/>
      <c r="AJ87" s="5"/>
      <c r="AK87" s="5"/>
      <c r="AL87" s="5"/>
      <c r="AM87" s="5"/>
      <c r="AN87" s="5"/>
    </row>
    <row r="88" spans="2:40" x14ac:dyDescent="0.3">
      <c r="B88" s="5"/>
      <c r="C88" s="5"/>
      <c r="D88" s="5"/>
      <c r="E88" s="5"/>
      <c r="F88" s="5"/>
      <c r="G88" s="5"/>
      <c r="H88" s="5"/>
      <c r="I88" s="5"/>
      <c r="J88" s="5"/>
      <c r="K88" s="5"/>
      <c r="L88" s="5"/>
      <c r="M88" s="5"/>
      <c r="N88" s="5"/>
      <c r="O88" s="5"/>
      <c r="P88" s="5"/>
      <c r="Q88" s="5"/>
      <c r="R88" s="5"/>
      <c r="S88" s="5"/>
      <c r="T88" s="5"/>
      <c r="U88" s="5"/>
      <c r="V88" s="5"/>
      <c r="W88" s="5"/>
      <c r="X88" s="5"/>
      <c r="Y88" s="5"/>
      <c r="Z88" s="5"/>
      <c r="AA88" s="5"/>
      <c r="AB88" s="5"/>
      <c r="AC88" s="5"/>
      <c r="AD88" s="5"/>
      <c r="AE88" s="5"/>
      <c r="AF88" s="5"/>
      <c r="AG88" s="5"/>
      <c r="AH88" s="5"/>
      <c r="AI88" s="5"/>
      <c r="AJ88" s="5"/>
      <c r="AK88" s="5"/>
      <c r="AL88" s="5"/>
      <c r="AM88" s="5"/>
      <c r="AN88" s="5"/>
    </row>
    <row r="89" spans="2:40" x14ac:dyDescent="0.3">
      <c r="B89" s="5"/>
      <c r="C89" s="5"/>
      <c r="D89" s="5"/>
      <c r="E89" s="5"/>
      <c r="F89" s="5"/>
      <c r="G89" s="5"/>
      <c r="H89" s="5"/>
      <c r="I89" s="5"/>
      <c r="J89" s="5"/>
      <c r="K89" s="5"/>
      <c r="L89" s="5"/>
      <c r="M89" s="5"/>
      <c r="N89" s="5"/>
      <c r="O89" s="5"/>
      <c r="P89" s="5"/>
      <c r="Q89" s="5"/>
      <c r="R89" s="5"/>
      <c r="S89" s="5"/>
      <c r="T89" s="5"/>
      <c r="U89" s="5"/>
      <c r="V89" s="5"/>
      <c r="W89" s="5"/>
      <c r="X89" s="5"/>
      <c r="Y89" s="5"/>
      <c r="Z89" s="5"/>
      <c r="AA89" s="5"/>
      <c r="AB89" s="5"/>
      <c r="AC89" s="5"/>
      <c r="AD89" s="5"/>
      <c r="AE89" s="5"/>
      <c r="AF89" s="5"/>
      <c r="AG89" s="5"/>
      <c r="AH89" s="5"/>
      <c r="AI89" s="5"/>
      <c r="AJ89" s="5"/>
      <c r="AK89" s="5"/>
      <c r="AL89" s="5"/>
      <c r="AM89" s="5"/>
      <c r="AN89" s="5"/>
    </row>
    <row r="90" spans="2:40" x14ac:dyDescent="0.3">
      <c r="B90" s="5"/>
      <c r="C90" s="5"/>
      <c r="D90" s="5"/>
      <c r="E90" s="5"/>
      <c r="F90" s="5"/>
      <c r="G90" s="5"/>
      <c r="H90" s="5"/>
      <c r="I90" s="5"/>
      <c r="J90" s="5"/>
      <c r="K90" s="5"/>
      <c r="L90" s="5"/>
      <c r="M90" s="5"/>
      <c r="N90" s="5"/>
      <c r="O90" s="5"/>
      <c r="P90" s="5"/>
      <c r="Q90" s="5"/>
      <c r="R90" s="5"/>
      <c r="S90" s="5"/>
      <c r="T90" s="5"/>
      <c r="U90" s="5"/>
      <c r="V90" s="5"/>
      <c r="W90" s="5"/>
      <c r="X90" s="5"/>
      <c r="Y90" s="5"/>
      <c r="Z90" s="5"/>
      <c r="AA90" s="5"/>
      <c r="AB90" s="5"/>
      <c r="AC90" s="5"/>
      <c r="AD90" s="5"/>
      <c r="AE90" s="5"/>
      <c r="AF90" s="5"/>
      <c r="AG90" s="5"/>
      <c r="AH90" s="5"/>
      <c r="AI90" s="5"/>
      <c r="AJ90" s="5"/>
      <c r="AK90" s="5"/>
      <c r="AL90" s="5"/>
      <c r="AM90" s="5"/>
      <c r="AN90" s="5"/>
    </row>
    <row r="91" spans="2:40" x14ac:dyDescent="0.3">
      <c r="B91" s="5"/>
      <c r="C91" s="5"/>
      <c r="D91" s="5"/>
      <c r="E91" s="5"/>
      <c r="F91" s="5"/>
      <c r="G91" s="5"/>
      <c r="H91" s="5"/>
      <c r="I91" s="5"/>
      <c r="J91" s="5"/>
      <c r="K91" s="5"/>
      <c r="L91" s="5"/>
      <c r="M91" s="5"/>
      <c r="N91" s="5"/>
      <c r="O91" s="5"/>
      <c r="P91" s="5"/>
      <c r="Q91" s="5"/>
      <c r="R91" s="5"/>
      <c r="S91" s="5"/>
      <c r="T91" s="5"/>
      <c r="U91" s="5"/>
      <c r="V91" s="5"/>
      <c r="W91" s="5"/>
      <c r="X91" s="5"/>
      <c r="Y91" s="5"/>
      <c r="Z91" s="5"/>
      <c r="AA91" s="5"/>
      <c r="AB91" s="5"/>
      <c r="AC91" s="5"/>
      <c r="AD91" s="5"/>
      <c r="AE91" s="5"/>
      <c r="AF91" s="5"/>
      <c r="AG91" s="5"/>
      <c r="AH91" s="5"/>
      <c r="AI91" s="5"/>
      <c r="AJ91" s="5"/>
      <c r="AK91" s="5"/>
      <c r="AL91" s="5"/>
      <c r="AM91" s="5"/>
      <c r="AN91" s="5"/>
    </row>
    <row r="92" spans="2:40" x14ac:dyDescent="0.3">
      <c r="B92" s="5"/>
      <c r="C92" s="5"/>
      <c r="D92" s="5"/>
      <c r="E92" s="5"/>
      <c r="F92" s="5"/>
      <c r="G92" s="5"/>
      <c r="H92" s="5"/>
      <c r="I92" s="5"/>
      <c r="J92" s="5"/>
      <c r="K92" s="5"/>
      <c r="L92" s="5"/>
      <c r="M92" s="5"/>
      <c r="N92" s="5"/>
      <c r="O92" s="5"/>
      <c r="P92" s="5"/>
      <c r="Q92" s="5"/>
      <c r="R92" s="5"/>
      <c r="S92" s="5"/>
      <c r="T92" s="5"/>
      <c r="U92" s="5"/>
      <c r="V92" s="5"/>
      <c r="W92" s="5"/>
      <c r="X92" s="5"/>
      <c r="Y92" s="5"/>
      <c r="Z92" s="5"/>
      <c r="AA92" s="5"/>
      <c r="AB92" s="5"/>
      <c r="AC92" s="5"/>
      <c r="AD92" s="5"/>
      <c r="AE92" s="5"/>
      <c r="AF92" s="5"/>
      <c r="AG92" s="5"/>
      <c r="AH92" s="5"/>
      <c r="AI92" s="5"/>
      <c r="AJ92" s="5"/>
      <c r="AK92" s="5"/>
      <c r="AL92" s="5"/>
      <c r="AM92" s="5"/>
      <c r="AN92" s="5"/>
    </row>
    <row r="93" spans="2:40" x14ac:dyDescent="0.3">
      <c r="B93" s="5"/>
      <c r="C93" s="5"/>
      <c r="D93" s="5"/>
      <c r="E93" s="5"/>
      <c r="F93" s="5"/>
      <c r="G93" s="5"/>
      <c r="H93" s="5"/>
      <c r="I93" s="5"/>
      <c r="J93" s="5"/>
      <c r="K93" s="5"/>
      <c r="L93" s="5"/>
      <c r="M93" s="5"/>
      <c r="N93" s="5"/>
      <c r="O93" s="5"/>
      <c r="P93" s="5"/>
      <c r="Q93" s="5"/>
      <c r="R93" s="5"/>
      <c r="S93" s="5"/>
      <c r="T93" s="5"/>
      <c r="U93" s="5"/>
      <c r="V93" s="5"/>
      <c r="W93" s="5"/>
      <c r="X93" s="5"/>
      <c r="Y93" s="5"/>
      <c r="Z93" s="5"/>
      <c r="AA93" s="5"/>
      <c r="AB93" s="5"/>
      <c r="AC93" s="5"/>
      <c r="AD93" s="5"/>
      <c r="AE93" s="5"/>
      <c r="AF93" s="5"/>
      <c r="AG93" s="5"/>
      <c r="AH93" s="5"/>
      <c r="AI93" s="5"/>
      <c r="AJ93" s="5"/>
      <c r="AK93" s="5"/>
      <c r="AL93" s="5"/>
      <c r="AM93" s="5"/>
      <c r="AN93" s="5"/>
    </row>
    <row r="94" spans="2:40" x14ac:dyDescent="0.3">
      <c r="B94" s="5"/>
      <c r="C94" s="5"/>
      <c r="D94" s="5"/>
      <c r="E94" s="5"/>
      <c r="F94" s="5"/>
      <c r="G94" s="5"/>
      <c r="H94" s="5"/>
      <c r="I94" s="5"/>
      <c r="J94" s="5"/>
      <c r="K94" s="5"/>
      <c r="L94" s="5"/>
      <c r="M94" s="5"/>
      <c r="N94" s="5"/>
      <c r="O94" s="5"/>
      <c r="P94" s="5"/>
      <c r="Q94" s="5"/>
      <c r="R94" s="5"/>
      <c r="S94" s="5"/>
      <c r="T94" s="5"/>
      <c r="U94" s="5"/>
      <c r="V94" s="5"/>
      <c r="W94" s="5"/>
      <c r="X94" s="5"/>
      <c r="Y94" s="5"/>
      <c r="Z94" s="5"/>
      <c r="AA94" s="5"/>
      <c r="AB94" s="5"/>
      <c r="AC94" s="5"/>
      <c r="AD94" s="5"/>
      <c r="AE94" s="5"/>
      <c r="AF94" s="5"/>
      <c r="AG94" s="5"/>
      <c r="AH94" s="5"/>
      <c r="AI94" s="5"/>
      <c r="AJ94" s="5"/>
      <c r="AK94" s="5"/>
      <c r="AL94" s="5"/>
      <c r="AM94" s="5"/>
      <c r="AN94" s="5"/>
    </row>
    <row r="95" spans="2:40" x14ac:dyDescent="0.3">
      <c r="B95" s="5"/>
      <c r="C95" s="5"/>
      <c r="D95" s="5"/>
      <c r="E95" s="5"/>
      <c r="F95" s="5"/>
      <c r="G95" s="5"/>
      <c r="H95" s="5"/>
      <c r="I95" s="5"/>
      <c r="J95" s="5"/>
      <c r="K95" s="5"/>
      <c r="L95" s="5"/>
      <c r="M95" s="5"/>
      <c r="N95" s="5"/>
      <c r="O95" s="5"/>
      <c r="P95" s="5"/>
      <c r="Q95" s="5"/>
      <c r="R95" s="5"/>
      <c r="S95" s="5"/>
      <c r="T95" s="5"/>
      <c r="U95" s="5"/>
      <c r="V95" s="5"/>
      <c r="W95" s="5"/>
      <c r="X95" s="5"/>
      <c r="Y95" s="5"/>
      <c r="Z95" s="5"/>
      <c r="AA95" s="5"/>
      <c r="AB95" s="5"/>
      <c r="AC95" s="5"/>
      <c r="AD95" s="5"/>
      <c r="AE95" s="5"/>
      <c r="AF95" s="5"/>
      <c r="AG95" s="5"/>
      <c r="AH95" s="5"/>
      <c r="AI95" s="5"/>
      <c r="AJ95" s="5"/>
      <c r="AK95" s="5"/>
      <c r="AL95" s="5"/>
      <c r="AM95" s="5"/>
      <c r="AN95" s="5"/>
    </row>
    <row r="96" spans="2:40" x14ac:dyDescent="0.3">
      <c r="B96" s="5"/>
      <c r="C96" s="5"/>
      <c r="D96" s="5"/>
      <c r="E96" s="5"/>
      <c r="F96" s="5"/>
      <c r="G96" s="5"/>
      <c r="H96" s="5"/>
      <c r="I96" s="5"/>
      <c r="J96" s="5"/>
      <c r="K96" s="5"/>
      <c r="L96" s="5"/>
      <c r="M96" s="5"/>
      <c r="N96" s="5"/>
      <c r="O96" s="5"/>
      <c r="P96" s="5"/>
      <c r="Q96" s="5"/>
      <c r="R96" s="5"/>
      <c r="S96" s="5"/>
      <c r="T96" s="5"/>
      <c r="U96" s="5"/>
      <c r="V96" s="5"/>
      <c r="W96" s="5"/>
      <c r="X96" s="5"/>
      <c r="Y96" s="5"/>
      <c r="Z96" s="5"/>
      <c r="AA96" s="5"/>
      <c r="AB96" s="5"/>
      <c r="AC96" s="5"/>
      <c r="AD96" s="5"/>
      <c r="AE96" s="5"/>
      <c r="AF96" s="5"/>
      <c r="AG96" s="5"/>
      <c r="AH96" s="5"/>
      <c r="AI96" s="5"/>
      <c r="AJ96" s="5"/>
      <c r="AK96" s="5"/>
      <c r="AL96" s="5"/>
      <c r="AM96" s="5"/>
      <c r="AN96" s="5"/>
    </row>
    <row r="97" spans="2:40" x14ac:dyDescent="0.3">
      <c r="B97" s="5"/>
      <c r="C97" s="5"/>
      <c r="D97" s="5"/>
      <c r="E97" s="5"/>
      <c r="F97" s="5"/>
      <c r="G97" s="5"/>
      <c r="H97" s="5"/>
      <c r="I97" s="5"/>
      <c r="J97" s="5"/>
      <c r="K97" s="5"/>
      <c r="L97" s="5"/>
      <c r="M97" s="5"/>
      <c r="N97" s="5"/>
      <c r="O97" s="5"/>
      <c r="P97" s="5"/>
      <c r="Q97" s="5"/>
      <c r="R97" s="5"/>
      <c r="S97" s="5"/>
      <c r="T97" s="5"/>
      <c r="U97" s="5"/>
      <c r="V97" s="5"/>
      <c r="W97" s="5"/>
      <c r="X97" s="5"/>
      <c r="Y97" s="5"/>
      <c r="Z97" s="5"/>
      <c r="AA97" s="5"/>
      <c r="AB97" s="5"/>
      <c r="AC97" s="5"/>
      <c r="AD97" s="5"/>
      <c r="AE97" s="5"/>
      <c r="AF97" s="5"/>
      <c r="AG97" s="5"/>
      <c r="AH97" s="5"/>
      <c r="AI97" s="5"/>
      <c r="AJ97" s="5"/>
      <c r="AK97" s="5"/>
      <c r="AL97" s="5"/>
      <c r="AM97" s="5"/>
      <c r="AN97" s="5"/>
    </row>
    <row r="98" spans="2:40" x14ac:dyDescent="0.3">
      <c r="B98" s="5"/>
      <c r="C98" s="5"/>
      <c r="D98" s="5"/>
      <c r="E98" s="5"/>
      <c r="F98" s="5"/>
      <c r="G98" s="5"/>
      <c r="H98" s="5"/>
      <c r="I98" s="5"/>
      <c r="J98" s="5"/>
      <c r="K98" s="5"/>
      <c r="L98" s="5"/>
      <c r="M98" s="5"/>
      <c r="N98" s="5"/>
      <c r="O98" s="5"/>
      <c r="P98" s="5"/>
      <c r="Q98" s="5"/>
      <c r="R98" s="5"/>
      <c r="S98" s="5"/>
      <c r="T98" s="5"/>
      <c r="U98" s="5"/>
      <c r="V98" s="5"/>
      <c r="W98" s="5"/>
      <c r="X98" s="5"/>
      <c r="Y98" s="5"/>
      <c r="Z98" s="5"/>
      <c r="AA98" s="5"/>
      <c r="AB98" s="5"/>
      <c r="AC98" s="5"/>
      <c r="AD98" s="5"/>
      <c r="AE98" s="5"/>
      <c r="AF98" s="5"/>
      <c r="AG98" s="5"/>
      <c r="AH98" s="5"/>
      <c r="AI98" s="5"/>
      <c r="AJ98" s="5"/>
      <c r="AK98" s="5"/>
      <c r="AL98" s="5"/>
      <c r="AM98" s="5"/>
      <c r="AN98" s="5"/>
    </row>
    <row r="99" spans="2:40" x14ac:dyDescent="0.3">
      <c r="B99" s="5"/>
      <c r="C99" s="5"/>
      <c r="D99" s="5"/>
      <c r="E99" s="5"/>
      <c r="F99" s="5"/>
      <c r="G99" s="5"/>
      <c r="H99" s="5"/>
      <c r="I99" s="5"/>
      <c r="J99" s="5"/>
      <c r="K99" s="5"/>
      <c r="L99" s="5"/>
      <c r="M99" s="5"/>
      <c r="N99" s="5"/>
      <c r="O99" s="5"/>
      <c r="P99" s="5"/>
      <c r="Q99" s="5"/>
      <c r="R99" s="5"/>
      <c r="S99" s="5"/>
      <c r="T99" s="5"/>
      <c r="U99" s="5"/>
      <c r="V99" s="5"/>
      <c r="W99" s="5"/>
      <c r="X99" s="5"/>
      <c r="Y99" s="5"/>
      <c r="Z99" s="5"/>
      <c r="AA99" s="5"/>
      <c r="AB99" s="5"/>
      <c r="AC99" s="5"/>
      <c r="AD99" s="5"/>
      <c r="AE99" s="5"/>
      <c r="AF99" s="5"/>
      <c r="AG99" s="5"/>
      <c r="AH99" s="5"/>
      <c r="AI99" s="5"/>
      <c r="AJ99" s="5"/>
      <c r="AK99" s="5"/>
      <c r="AL99" s="5"/>
      <c r="AM99" s="5"/>
      <c r="AN99" s="5"/>
    </row>
    <row r="100" spans="2:40" x14ac:dyDescent="0.3">
      <c r="B100" s="5"/>
      <c r="C100" s="5"/>
      <c r="D100" s="5"/>
      <c r="E100" s="5"/>
      <c r="F100" s="5"/>
      <c r="G100" s="5"/>
      <c r="H100" s="5"/>
      <c r="I100" s="5"/>
      <c r="J100" s="5"/>
      <c r="K100" s="5"/>
      <c r="L100" s="5"/>
      <c r="M100" s="5"/>
      <c r="N100" s="5"/>
      <c r="O100" s="5"/>
      <c r="P100" s="5"/>
      <c r="Q100" s="5"/>
      <c r="R100" s="5"/>
      <c r="S100" s="5"/>
      <c r="T100" s="5"/>
      <c r="U100" s="5"/>
      <c r="V100" s="5"/>
      <c r="W100" s="5"/>
      <c r="X100" s="5"/>
      <c r="Y100" s="5"/>
      <c r="Z100" s="5"/>
      <c r="AA100" s="5"/>
      <c r="AB100" s="5"/>
      <c r="AC100" s="5"/>
      <c r="AD100" s="5"/>
      <c r="AE100" s="5"/>
      <c r="AF100" s="5"/>
      <c r="AG100" s="5"/>
      <c r="AH100" s="5"/>
      <c r="AI100" s="5"/>
      <c r="AJ100" s="5"/>
      <c r="AK100" s="5"/>
      <c r="AL100" s="5"/>
      <c r="AM100" s="5"/>
      <c r="AN100" s="5"/>
    </row>
  </sheetData>
  <pageMargins left="0.7" right="0.7" top="0.75" bottom="0.75" header="0.3" footer="0.3"/>
  <ignoredErrors>
    <ignoredError sqref="AL6:AN6" formula="1"/>
  </ignoredErrors>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D33C1F-19F5-4B6E-88B0-DE5B5C807496}">
  <sheetPr>
    <tabColor rgb="FF1F3864"/>
  </sheetPr>
  <dimension ref="A1:AN100"/>
  <sheetViews>
    <sheetView showGridLines="0" workbookViewId="0">
      <pane xSplit="1" ySplit="2" topLeftCell="AL3" activePane="bottomRight" state="frozen"/>
      <selection pane="topRight" activeCell="B1" sqref="B1"/>
      <selection pane="bottomLeft" activeCell="A3" sqref="A3"/>
      <selection pane="bottomRight" activeCell="AT11" sqref="AT11"/>
    </sheetView>
  </sheetViews>
  <sheetFormatPr defaultRowHeight="14.4" x14ac:dyDescent="0.3"/>
  <cols>
    <col min="1" max="1" width="17.6640625" bestFit="1" customWidth="1"/>
    <col min="2" max="9" width="10" bestFit="1" customWidth="1"/>
    <col min="10" max="40" width="11" bestFit="1" customWidth="1"/>
  </cols>
  <sheetData>
    <row r="1" spans="1:40" ht="24" customHeight="1" thickBot="1" x14ac:dyDescent="0.35">
      <c r="A1" s="180" t="str" cm="1">
        <f t="array" ref="A1:AK2">'23_Time'!A1:AK2</f>
        <v>Month Index</v>
      </c>
      <c r="B1" s="181">
        <v>1</v>
      </c>
      <c r="C1" s="181">
        <v>2</v>
      </c>
      <c r="D1" s="181">
        <v>3</v>
      </c>
      <c r="E1" s="181">
        <v>4</v>
      </c>
      <c r="F1" s="181">
        <v>5</v>
      </c>
      <c r="G1" s="181">
        <v>6</v>
      </c>
      <c r="H1" s="181">
        <v>7</v>
      </c>
      <c r="I1" s="181">
        <v>8</v>
      </c>
      <c r="J1" s="181">
        <v>9</v>
      </c>
      <c r="K1" s="181">
        <v>10</v>
      </c>
      <c r="L1" s="181">
        <v>11</v>
      </c>
      <c r="M1" s="181">
        <v>12</v>
      </c>
      <c r="N1" s="181">
        <v>13</v>
      </c>
      <c r="O1" s="181">
        <v>14</v>
      </c>
      <c r="P1" s="181">
        <v>15</v>
      </c>
      <c r="Q1" s="181">
        <v>16</v>
      </c>
      <c r="R1" s="181">
        <v>17</v>
      </c>
      <c r="S1" s="181">
        <v>18</v>
      </c>
      <c r="T1" s="181">
        <v>19</v>
      </c>
      <c r="U1" s="181">
        <v>20</v>
      </c>
      <c r="V1" s="181">
        <v>21</v>
      </c>
      <c r="W1" s="181">
        <v>22</v>
      </c>
      <c r="X1" s="181">
        <v>23</v>
      </c>
      <c r="Y1" s="181">
        <v>24</v>
      </c>
      <c r="Z1" s="181">
        <v>25</v>
      </c>
      <c r="AA1" s="181">
        <v>26</v>
      </c>
      <c r="AB1" s="181">
        <v>27</v>
      </c>
      <c r="AC1" s="181">
        <v>28</v>
      </c>
      <c r="AD1" s="181">
        <v>29</v>
      </c>
      <c r="AE1" s="181">
        <v>30</v>
      </c>
      <c r="AF1" s="181">
        <v>31</v>
      </c>
      <c r="AG1" s="181">
        <v>32</v>
      </c>
      <c r="AH1" s="181">
        <v>33</v>
      </c>
      <c r="AI1" s="181">
        <v>34</v>
      </c>
      <c r="AJ1" s="181">
        <v>35</v>
      </c>
      <c r="AK1" s="182">
        <v>36</v>
      </c>
      <c r="AL1" s="183"/>
      <c r="AM1" s="181"/>
      <c r="AN1" s="182"/>
    </row>
    <row r="2" spans="1:40" ht="15" thickBot="1" x14ac:dyDescent="0.35">
      <c r="A2" s="128" t="str">
        <v>Month Label</v>
      </c>
      <c r="B2" s="184" t="str">
        <v>M1</v>
      </c>
      <c r="C2" s="184" t="str">
        <v>M2</v>
      </c>
      <c r="D2" s="184" t="str">
        <v>M3</v>
      </c>
      <c r="E2" s="184" t="str">
        <v>M4</v>
      </c>
      <c r="F2" s="184" t="str">
        <v>M5</v>
      </c>
      <c r="G2" s="184" t="str">
        <v>M6</v>
      </c>
      <c r="H2" s="184" t="str">
        <v>M7</v>
      </c>
      <c r="I2" s="184" t="str">
        <v>M8</v>
      </c>
      <c r="J2" s="184" t="str">
        <v>M9</v>
      </c>
      <c r="K2" s="184" t="str">
        <v>M10</v>
      </c>
      <c r="L2" s="184" t="str">
        <v>M11</v>
      </c>
      <c r="M2" s="184" t="str">
        <v>M12</v>
      </c>
      <c r="N2" s="184" t="str">
        <v>M13</v>
      </c>
      <c r="O2" s="184" t="str">
        <v>M14</v>
      </c>
      <c r="P2" s="184" t="str">
        <v>M15</v>
      </c>
      <c r="Q2" s="184" t="str">
        <v>M16</v>
      </c>
      <c r="R2" s="184" t="str">
        <v>M17</v>
      </c>
      <c r="S2" s="184" t="str">
        <v>M18</v>
      </c>
      <c r="T2" s="184" t="str">
        <v>M19</v>
      </c>
      <c r="U2" s="184" t="str">
        <v>M20</v>
      </c>
      <c r="V2" s="184" t="str">
        <v>M21</v>
      </c>
      <c r="W2" s="184" t="str">
        <v>M22</v>
      </c>
      <c r="X2" s="184" t="str">
        <v>M23</v>
      </c>
      <c r="Y2" s="184" t="str">
        <v>M24</v>
      </c>
      <c r="Z2" s="184" t="str">
        <v>M25</v>
      </c>
      <c r="AA2" s="184" t="str">
        <v>M26</v>
      </c>
      <c r="AB2" s="184" t="str">
        <v>M27</v>
      </c>
      <c r="AC2" s="184" t="str">
        <v>M28</v>
      </c>
      <c r="AD2" s="184" t="str">
        <v>M29</v>
      </c>
      <c r="AE2" s="184" t="str">
        <v>M30</v>
      </c>
      <c r="AF2" s="184" t="str">
        <v>M31</v>
      </c>
      <c r="AG2" s="184" t="str">
        <v>M32</v>
      </c>
      <c r="AH2" s="184" t="str">
        <v>M33</v>
      </c>
      <c r="AI2" s="184" t="str">
        <v>M34</v>
      </c>
      <c r="AJ2" s="184" t="str">
        <v>M35</v>
      </c>
      <c r="AK2" s="184" t="str">
        <v>M36</v>
      </c>
      <c r="AL2" s="145" t="s">
        <v>72</v>
      </c>
      <c r="AM2" s="146" t="s">
        <v>73</v>
      </c>
      <c r="AN2" s="147" t="s">
        <v>74</v>
      </c>
    </row>
    <row r="3" spans="1:40" x14ac:dyDescent="0.3">
      <c r="A3" s="139" t="s">
        <v>152</v>
      </c>
      <c r="B3" s="185">
        <f>'41_Revenue_COGS'!B18</f>
        <v>23405.909090909088</v>
      </c>
      <c r="C3" s="186">
        <f>'41_Revenue_COGS'!C18</f>
        <v>47017.437645580161</v>
      </c>
      <c r="D3" s="186">
        <f>'41_Revenue_COGS'!D18</f>
        <v>70855.280541673623</v>
      </c>
      <c r="E3" s="186">
        <f>'41_Revenue_COGS'!E18</f>
        <v>94940.121725969642</v>
      </c>
      <c r="F3" s="186">
        <f>'41_Revenue_COGS'!F18</f>
        <v>119292.65252067958</v>
      </c>
      <c r="G3" s="186">
        <f>'41_Revenue_COGS'!G18</f>
        <v>143933.58974160935</v>
      </c>
      <c r="H3" s="186">
        <f>'41_Revenue_COGS'!H18</f>
        <v>168883.69364606455</v>
      </c>
      <c r="I3" s="186">
        <f>'41_Revenue_COGS'!I18</f>
        <v>194163.78572804714</v>
      </c>
      <c r="J3" s="186">
        <f>'41_Revenue_COGS'!J18</f>
        <v>222808.69032036638</v>
      </c>
      <c r="K3" s="186">
        <f>'41_Revenue_COGS'!K18</f>
        <v>250063.0990341187</v>
      </c>
      <c r="L3" s="186">
        <f>'41_Revenue_COGS'!L18</f>
        <v>277747.19190866943</v>
      </c>
      <c r="M3" s="186">
        <f>'41_Revenue_COGS'!M18</f>
        <v>305881.49413440633</v>
      </c>
      <c r="N3" s="186">
        <f>'41_Revenue_COGS'!N18</f>
        <v>408711.85012110823</v>
      </c>
      <c r="O3" s="186">
        <f>'41_Revenue_COGS'!O18</f>
        <v>511607.44881690334</v>
      </c>
      <c r="P3" s="186">
        <f>'41_Revenue_COGS'!P18</f>
        <v>614634.1944675718</v>
      </c>
      <c r="Q3" s="186">
        <f>'41_Revenue_COGS'!Q18</f>
        <v>717859.58968616312</v>
      </c>
      <c r="R3" s="186">
        <f>'41_Revenue_COGS'!R18</f>
        <v>821352.59662664041</v>
      </c>
      <c r="S3" s="186">
        <f>'41_Revenue_COGS'!S18</f>
        <v>925183.51600341918</v>
      </c>
      <c r="T3" s="186">
        <f>'41_Revenue_COGS'!T18</f>
        <v>1029423.8824034148</v>
      </c>
      <c r="U3" s="186">
        <f>'41_Revenue_COGS'!U18</f>
        <v>1273853.2385560749</v>
      </c>
      <c r="V3" s="186">
        <f>'41_Revenue_COGS'!V18</f>
        <v>1518034.7942146023</v>
      </c>
      <c r="W3" s="186">
        <f>'41_Revenue_COGS'!W18</f>
        <v>1762126.8758079261</v>
      </c>
      <c r="X3" s="186">
        <f>'41_Revenue_COGS'!X18</f>
        <v>2006291.1371973851</v>
      </c>
      <c r="Y3" s="186">
        <f>'41_Revenue_COGS'!Y18</f>
        <v>2250692.2428264613</v>
      </c>
      <c r="Z3" s="186">
        <f>'41_Revenue_COGS'!Z18</f>
        <v>2495497.5921520996</v>
      </c>
      <c r="AA3" s="186">
        <f>'41_Revenue_COGS'!AA18</f>
        <v>2740877.081737468</v>
      </c>
      <c r="AB3" s="186">
        <f>'41_Revenue_COGS'!AB18</f>
        <v>2987002.901702506</v>
      </c>
      <c r="AC3" s="186">
        <f>'41_Revenue_COGS'!AC18</f>
        <v>3234049.3635184239</v>
      </c>
      <c r="AD3" s="186">
        <f>'41_Revenue_COGS'!AD18</f>
        <v>3482192.7563976464</v>
      </c>
      <c r="AE3" s="186">
        <f>'41_Revenue_COGS'!AE18</f>
        <v>3731611.2297737431</v>
      </c>
      <c r="AF3" s="186">
        <f>'41_Revenue_COGS'!AF18</f>
        <v>3982484.6995882662</v>
      </c>
      <c r="AG3" s="186">
        <f>'41_Revenue_COGS'!AG18</f>
        <v>4234994.7763052406</v>
      </c>
      <c r="AH3" s="186">
        <f>'41_Revenue_COGS'!AH18</f>
        <v>4489324.7127604196</v>
      </c>
      <c r="AI3" s="186">
        <f>'41_Revenue_COGS'!AI18</f>
        <v>4745659.3701232625</v>
      </c>
      <c r="AJ3" s="186">
        <f>'41_Revenue_COGS'!AJ18</f>
        <v>5004185.2004058324</v>
      </c>
      <c r="AK3" s="186">
        <f>'41_Revenue_COGS'!AK18</f>
        <v>5265090.2440959737</v>
      </c>
      <c r="AL3" s="185">
        <f>SUMIF('23_Time'!$B$3:$AK$3, 1,B3:AK3)</f>
        <v>1918992.9460380939</v>
      </c>
      <c r="AM3" s="186">
        <f>SUMIF('23_Time'!$B$3:$AK$3, 2,B3:AK3)</f>
        <v>13839771.366727671</v>
      </c>
      <c r="AN3" s="187">
        <f>SUMIF('23_Time'!$B$3:$AK$3, 3,B3:AK3)</f>
        <v>46392969.928560875</v>
      </c>
    </row>
    <row r="4" spans="1:40" x14ac:dyDescent="0.3">
      <c r="A4" s="132" t="s">
        <v>84</v>
      </c>
      <c r="B4" s="188">
        <f>'41_Revenue_COGS'!B5</f>
        <v>3164.318181818182</v>
      </c>
      <c r="C4" s="189">
        <f>'41_Revenue_COGS'!C5</f>
        <v>6356.4347031578336</v>
      </c>
      <c r="D4" s="189">
        <f>'41_Revenue_COGS'!D5</f>
        <v>9579.1473693678927</v>
      </c>
      <c r="E4" s="189">
        <f>'41_Revenue_COGS'!E5</f>
        <v>12835.252508017355</v>
      </c>
      <c r="F4" s="189">
        <f>'41_Revenue_COGS'!F5</f>
        <v>16127.547443782862</v>
      </c>
      <c r="G4" s="189">
        <f>'41_Revenue_COGS'!G5</f>
        <v>19458.83294789998</v>
      </c>
      <c r="H4" s="189">
        <f>'41_Revenue_COGS'!H5</f>
        <v>22831.915664596712</v>
      </c>
      <c r="I4" s="189">
        <f>'41_Revenue_COGS'!I5</f>
        <v>26249.610516881909</v>
      </c>
      <c r="J4" s="189">
        <f>'41_Revenue_COGS'!J5</f>
        <v>29714.743094017831</v>
      </c>
      <c r="K4" s="189">
        <f>'41_Revenue_COGS'!K5</f>
        <v>33230.152022965303</v>
      </c>
      <c r="L4" s="189">
        <f>'41_Revenue_COGS'!L5</f>
        <v>36798.691326051441</v>
      </c>
      <c r="M4" s="189">
        <f>'41_Revenue_COGS'!M5</f>
        <v>40423.232767073983</v>
      </c>
      <c r="N4" s="189">
        <f>'41_Revenue_COGS'!N5</f>
        <v>54005.639133189179</v>
      </c>
      <c r="O4" s="189">
        <f>'41_Revenue_COGS'!O5</f>
        <v>67553.147000710538</v>
      </c>
      <c r="P4" s="189">
        <f>'41_Revenue_COGS'!P5</f>
        <v>81078.31912517309</v>
      </c>
      <c r="Q4" s="189">
        <f>'41_Revenue_COGS'!Q5</f>
        <v>94593.566508812917</v>
      </c>
      <c r="R4" s="189">
        <f>'41_Revenue_COGS'!R5</f>
        <v>108111.16090551997</v>
      </c>
      <c r="S4" s="189">
        <f>'41_Revenue_COGS'!S5</f>
        <v>121643.24707061409</v>
      </c>
      <c r="T4" s="189">
        <f>'41_Revenue_COGS'!T5</f>
        <v>135201.85476890131</v>
      </c>
      <c r="U4" s="189">
        <f>'41_Revenue_COGS'!U5</f>
        <v>167430.83002159806</v>
      </c>
      <c r="V4" s="189">
        <f>'41_Revenue_COGS'!V5</f>
        <v>199528.06611772359</v>
      </c>
      <c r="W4" s="189">
        <f>'41_Revenue_COGS'!W5</f>
        <v>231523.43161749092</v>
      </c>
      <c r="X4" s="189">
        <f>'41_Revenue_COGS'!X5</f>
        <v>263446.38941130065</v>
      </c>
      <c r="Y4" s="189">
        <f>'41_Revenue_COGS'!Y5</f>
        <v>295326.02687859768</v>
      </c>
      <c r="Z4" s="189">
        <f>'41_Revenue_COGS'!Z5</f>
        <v>327191.08539646131</v>
      </c>
      <c r="AA4" s="189">
        <f>'41_Revenue_COGS'!AA5</f>
        <v>359069.98923072411</v>
      </c>
      <c r="AB4" s="189">
        <f>'41_Revenue_COGS'!AB5</f>
        <v>390990.87384152308</v>
      </c>
      <c r="AC4" s="189">
        <f>'41_Revenue_COGS'!AC5</f>
        <v>422981.61363433604</v>
      </c>
      <c r="AD4" s="189">
        <f>'41_Revenue_COGS'!AD5</f>
        <v>455069.84918673552</v>
      </c>
      <c r="AE4" s="189">
        <f>'41_Revenue_COGS'!AE5</f>
        <v>487283.01398031646</v>
      </c>
      <c r="AF4" s="189">
        <f>'41_Revenue_COGS'!AF5</f>
        <v>519648.36066649941</v>
      </c>
      <c r="AG4" s="189">
        <f>'41_Revenue_COGS'!AG5</f>
        <v>552192.98689420486</v>
      </c>
      <c r="AH4" s="189">
        <f>'41_Revenue_COGS'!AH5</f>
        <v>584943.86072670401</v>
      </c>
      <c r="AI4" s="189">
        <f>'41_Revenue_COGS'!AI5</f>
        <v>617927.84567430743</v>
      </c>
      <c r="AJ4" s="189">
        <f>'41_Revenue_COGS'!AJ5</f>
        <v>651171.72536892747</v>
      </c>
      <c r="AK4" s="189">
        <f>'41_Revenue_COGS'!AK5</f>
        <v>684702.2279059618</v>
      </c>
      <c r="AL4" s="188">
        <f>SUMIF('23_Time'!$B$3:$AK$3, 1,B4:AK4)</f>
        <v>256769.87854563128</v>
      </c>
      <c r="AM4" s="189">
        <f>SUMIF('23_Time'!$B$3:$AK$3, 2,B4:AK4)</f>
        <v>1819441.678559632</v>
      </c>
      <c r="AN4" s="190">
        <f>SUMIF('23_Time'!$B$3:$AK$3, 3,B4:AK4)</f>
        <v>6053173.432506701</v>
      </c>
    </row>
    <row r="5" spans="1:40" x14ac:dyDescent="0.3">
      <c r="A5" s="132" t="s">
        <v>85</v>
      </c>
      <c r="B5" s="188">
        <f>'41_Revenue_COGS'!B6</f>
        <v>1356.1363636363635</v>
      </c>
      <c r="C5" s="189">
        <f>'41_Revenue_COGS'!C6</f>
        <v>2724.1863013533571</v>
      </c>
      <c r="D5" s="189">
        <f>'41_Revenue_COGS'!D6</f>
        <v>4105.3488725862398</v>
      </c>
      <c r="E5" s="189">
        <f>'41_Revenue_COGS'!E6</f>
        <v>5500.8225034360094</v>
      </c>
      <c r="F5" s="189">
        <f>'41_Revenue_COGS'!F6</f>
        <v>6911.8060473355117</v>
      </c>
      <c r="G5" s="189">
        <f>'41_Revenue_COGS'!G6</f>
        <v>8339.4998348142763</v>
      </c>
      <c r="H5" s="189">
        <f>'41_Revenue_COGS'!H6</f>
        <v>9785.1067133985907</v>
      </c>
      <c r="I5" s="189">
        <f>'41_Revenue_COGS'!I6</f>
        <v>11249.833078663674</v>
      </c>
      <c r="J5" s="189">
        <f>'41_Revenue_COGS'!J6</f>
        <v>12734.889897436213</v>
      </c>
      <c r="K5" s="189">
        <f>'41_Revenue_COGS'!K6</f>
        <v>14241.493724127988</v>
      </c>
      <c r="L5" s="189">
        <f>'41_Revenue_COGS'!L6</f>
        <v>15770.867711164903</v>
      </c>
      <c r="M5" s="189">
        <f>'41_Revenue_COGS'!M6</f>
        <v>17324.242614460276</v>
      </c>
      <c r="N5" s="189">
        <f>'41_Revenue_COGS'!N6</f>
        <v>23145.273914223933</v>
      </c>
      <c r="O5" s="189">
        <f>'41_Revenue_COGS'!O6</f>
        <v>28951.348714590229</v>
      </c>
      <c r="P5" s="189">
        <f>'41_Revenue_COGS'!P6</f>
        <v>34747.851053645609</v>
      </c>
      <c r="Q5" s="189">
        <f>'41_Revenue_COGS'!Q6</f>
        <v>40540.099932348392</v>
      </c>
      <c r="R5" s="189">
        <f>'41_Revenue_COGS'!R6</f>
        <v>46333.354673794267</v>
      </c>
      <c r="S5" s="189">
        <f>'41_Revenue_COGS'!S6</f>
        <v>52132.820173120323</v>
      </c>
      <c r="T5" s="189">
        <f>'41_Revenue_COGS'!T6</f>
        <v>57943.652043814851</v>
      </c>
      <c r="U5" s="189">
        <f>'41_Revenue_COGS'!U6</f>
        <v>71756.07000925632</v>
      </c>
      <c r="V5" s="189">
        <f>'41_Revenue_COGS'!V6</f>
        <v>85512.028336167248</v>
      </c>
      <c r="W5" s="189">
        <f>'41_Revenue_COGS'!W6</f>
        <v>99224.327836067532</v>
      </c>
      <c r="X5" s="189">
        <f>'41_Revenue_COGS'!X6</f>
        <v>112905.595461986</v>
      </c>
      <c r="Y5" s="189">
        <f>'41_Revenue_COGS'!Y6</f>
        <v>126568.29723368472</v>
      </c>
      <c r="Z5" s="189">
        <f>'41_Revenue_COGS'!Z6</f>
        <v>140224.75088419771</v>
      </c>
      <c r="AA5" s="189">
        <f>'41_Revenue_COGS'!AA6</f>
        <v>153887.13824173892</v>
      </c>
      <c r="AB5" s="189">
        <f>'41_Revenue_COGS'!AB6</f>
        <v>167567.51736065277</v>
      </c>
      <c r="AC5" s="189">
        <f>'41_Revenue_COGS'!AC6</f>
        <v>181277.83441471544</v>
      </c>
      <c r="AD5" s="189">
        <f>'41_Revenue_COGS'!AD6</f>
        <v>195029.93536574379</v>
      </c>
      <c r="AE5" s="189">
        <f>'41_Revenue_COGS'!AE6</f>
        <v>208835.57742013564</v>
      </c>
      <c r="AF5" s="189">
        <f>'41_Revenue_COGS'!AF6</f>
        <v>222706.4402856426</v>
      </c>
      <c r="AG5" s="189">
        <f>'41_Revenue_COGS'!AG6</f>
        <v>236654.13724037353</v>
      </c>
      <c r="AH5" s="189">
        <f>'41_Revenue_COGS'!AH6</f>
        <v>250690.22602573028</v>
      </c>
      <c r="AI5" s="189">
        <f>'41_Revenue_COGS'!AI6</f>
        <v>264826.21957470319</v>
      </c>
      <c r="AJ5" s="189">
        <f>'41_Revenue_COGS'!AJ6</f>
        <v>279073.59658668318</v>
      </c>
      <c r="AK5" s="189">
        <f>'41_Revenue_COGS'!AK6</f>
        <v>293443.81195969786</v>
      </c>
      <c r="AL5" s="188">
        <f>SUMIF('23_Time'!$B$3:$AK$3, 1,B5:AK5)</f>
        <v>110044.2336624134</v>
      </c>
      <c r="AM5" s="189">
        <f>SUMIF('23_Time'!$B$3:$AK$3, 2,B5:AK5)</f>
        <v>779760.71938269935</v>
      </c>
      <c r="AN5" s="190">
        <f>SUMIF('23_Time'!$B$3:$AK$3, 3,B5:AK5)</f>
        <v>2594217.1853600149</v>
      </c>
    </row>
    <row r="6" spans="1:40" ht="15" thickBot="1" x14ac:dyDescent="0.35">
      <c r="A6" s="191" t="s">
        <v>57</v>
      </c>
      <c r="B6" s="26">
        <f>B3-B4-B5</f>
        <v>18885.45454545454</v>
      </c>
      <c r="C6" s="25">
        <f t="shared" ref="C6:AK6" si="0">C3-C4-C5</f>
        <v>37936.816641068966</v>
      </c>
      <c r="D6" s="25">
        <f t="shared" si="0"/>
        <v>57170.784299719489</v>
      </c>
      <c r="E6" s="25">
        <f t="shared" si="0"/>
        <v>76604.046714516284</v>
      </c>
      <c r="F6" s="25">
        <f t="shared" si="0"/>
        <v>96253.299029561196</v>
      </c>
      <c r="G6" s="25">
        <f t="shared" si="0"/>
        <v>116135.2569588951</v>
      </c>
      <c r="H6" s="25">
        <f t="shared" si="0"/>
        <v>136266.67126806924</v>
      </c>
      <c r="I6" s="25">
        <f t="shared" si="0"/>
        <v>156664.34213250154</v>
      </c>
      <c r="J6" s="25">
        <f t="shared" si="0"/>
        <v>180359.05732891234</v>
      </c>
      <c r="K6" s="25">
        <f t="shared" si="0"/>
        <v>202591.45328702539</v>
      </c>
      <c r="L6" s="25">
        <f t="shared" si="0"/>
        <v>225177.6328714531</v>
      </c>
      <c r="M6" s="25">
        <f t="shared" si="0"/>
        <v>248134.0187528721</v>
      </c>
      <c r="N6" s="25">
        <f t="shared" si="0"/>
        <v>331560.93707369512</v>
      </c>
      <c r="O6" s="25">
        <f t="shared" si="0"/>
        <v>415102.95310160256</v>
      </c>
      <c r="P6" s="25">
        <f t="shared" si="0"/>
        <v>498808.02428875305</v>
      </c>
      <c r="Q6" s="25">
        <f t="shared" si="0"/>
        <v>582725.92324500182</v>
      </c>
      <c r="R6" s="25">
        <f t="shared" si="0"/>
        <v>666908.08104732621</v>
      </c>
      <c r="S6" s="25">
        <f t="shared" si="0"/>
        <v>751407.44875968469</v>
      </c>
      <c r="T6" s="25">
        <f t="shared" si="0"/>
        <v>836278.37559069868</v>
      </c>
      <c r="U6" s="25">
        <f t="shared" si="0"/>
        <v>1034666.3385252204</v>
      </c>
      <c r="V6" s="25">
        <f t="shared" si="0"/>
        <v>1232994.6997607113</v>
      </c>
      <c r="W6" s="25">
        <f t="shared" si="0"/>
        <v>1431379.1163543677</v>
      </c>
      <c r="X6" s="25">
        <f t="shared" si="0"/>
        <v>1629939.1523240984</v>
      </c>
      <c r="Y6" s="25">
        <f t="shared" si="0"/>
        <v>1828797.918714179</v>
      </c>
      <c r="Z6" s="25">
        <f t="shared" si="0"/>
        <v>2028081.7558714407</v>
      </c>
      <c r="AA6" s="25">
        <f t="shared" si="0"/>
        <v>2227919.954265005</v>
      </c>
      <c r="AB6" s="25">
        <f t="shared" si="0"/>
        <v>2428444.51050033</v>
      </c>
      <c r="AC6" s="25">
        <f t="shared" si="0"/>
        <v>2629789.9154693722</v>
      </c>
      <c r="AD6" s="25">
        <f t="shared" si="0"/>
        <v>2832092.9718451668</v>
      </c>
      <c r="AE6" s="25">
        <f t="shared" si="0"/>
        <v>3035492.6383732911</v>
      </c>
      <c r="AF6" s="25">
        <f t="shared" si="0"/>
        <v>3240129.8986361241</v>
      </c>
      <c r="AG6" s="25">
        <f t="shared" si="0"/>
        <v>3446147.6521706623</v>
      </c>
      <c r="AH6" s="25">
        <f t="shared" si="0"/>
        <v>3653690.6260079853</v>
      </c>
      <c r="AI6" s="25">
        <f t="shared" si="0"/>
        <v>3862905.3048742516</v>
      </c>
      <c r="AJ6" s="25">
        <f t="shared" si="0"/>
        <v>4073939.8784502218</v>
      </c>
      <c r="AK6" s="25">
        <f t="shared" si="0"/>
        <v>4286944.2042303141</v>
      </c>
      <c r="AL6" s="26">
        <f>SUMIF('23_Time'!$B$3:$AK$3, 1,B6:AK6)</f>
        <v>1552178.8338300493</v>
      </c>
      <c r="AM6" s="25">
        <f>SUMIF('23_Time'!$B$3:$AK$3, 2,B6:AK6)</f>
        <v>11240568.968785338</v>
      </c>
      <c r="AN6" s="27">
        <f>SUMIF('23_Time'!$B$3:$AK$3, 3,B6:AK6)</f>
        <v>37745579.310694166</v>
      </c>
    </row>
    <row r="7" spans="1:40" x14ac:dyDescent="0.3">
      <c r="A7" s="139" t="s">
        <v>177</v>
      </c>
      <c r="B7" s="185">
        <f>'42_OPEX'!B13</f>
        <v>1246605.4545454546</v>
      </c>
      <c r="C7" s="186">
        <f>'42_OPEX'!C13</f>
        <v>1252821.4989345362</v>
      </c>
      <c r="D7" s="186">
        <f>'42_OPEX'!D13</f>
        <v>1259149.1989978545</v>
      </c>
      <c r="E7" s="186">
        <f>'42_OPEX'!E13</f>
        <v>1265591.6200030544</v>
      </c>
      <c r="F7" s="186">
        <f>'42_OPEX'!F13</f>
        <v>1272151.8675976316</v>
      </c>
      <c r="G7" s="186">
        <f>'42_OPEX'!G13</f>
        <v>1278833.0895420571</v>
      </c>
      <c r="H7" s="186">
        <f>'42_OPEX'!H13</f>
        <v>1340838.4774501319</v>
      </c>
      <c r="I7" s="186">
        <f>'42_OPEX'!I13</f>
        <v>1435171.2685377989</v>
      </c>
      <c r="J7" s="186">
        <f>'42_OPEX'!J13</f>
        <v>1497434.7473816206</v>
      </c>
      <c r="K7" s="186">
        <f>'42_OPEX'!K13</f>
        <v>1569032.2476881358</v>
      </c>
      <c r="L7" s="186">
        <f>'42_OPEX'!L13</f>
        <v>1654567.1540752803</v>
      </c>
      <c r="M7" s="186">
        <f>'42_OPEX'!M13</f>
        <v>1726442.9038670722</v>
      </c>
      <c r="N7" s="186">
        <f>'42_OPEX'!N13</f>
        <v>2120773.5768126436</v>
      </c>
      <c r="O7" s="186">
        <f>'42_OPEX'!O13</f>
        <v>2153734.5321907466</v>
      </c>
      <c r="P7" s="186">
        <f>'42_OPEX'!P13</f>
        <v>2173166.9787143515</v>
      </c>
      <c r="Q7" s="186">
        <f>'42_OPEX'!Q13</f>
        <v>2192881.2443843097</v>
      </c>
      <c r="R7" s="186">
        <f>'42_OPEX'!R13</f>
        <v>2226687.7161544836</v>
      </c>
      <c r="S7" s="186">
        <f>'42_OPEX'!S13</f>
        <v>2246996.846838329</v>
      </c>
      <c r="T7" s="186">
        <f>'42_OPEX'!T13</f>
        <v>2267619.1619681912</v>
      </c>
      <c r="U7" s="186">
        <f>'42_OPEX'!U13</f>
        <v>3104283.1733415611</v>
      </c>
      <c r="V7" s="186">
        <f>'42_OPEX'!V13</f>
        <v>3197110.6918543708</v>
      </c>
      <c r="W7" s="186">
        <f>'42_OPEX'!W13</f>
        <v>3338799.402520949</v>
      </c>
      <c r="X7" s="186">
        <f>'42_OPEX'!X13</f>
        <v>3446572.5292995432</v>
      </c>
      <c r="Y7" s="186">
        <f>'42_OPEX'!Y13</f>
        <v>3541153.3930966086</v>
      </c>
      <c r="Z7" s="186">
        <f>'42_OPEX'!Z13</f>
        <v>3606465.4278081753</v>
      </c>
      <c r="AA7" s="186">
        <f>'42_OPEX'!AA13</f>
        <v>3665532.19622199</v>
      </c>
      <c r="AB7" s="186">
        <f>'42_OPEX'!AB13</f>
        <v>3762077.4057944994</v>
      </c>
      <c r="AC7" s="186">
        <f>'42_OPEX'!AC13</f>
        <v>3834024.9243164784</v>
      </c>
      <c r="AD7" s="186">
        <f>'42_OPEX'!AD13</f>
        <v>3915898.7954807943</v>
      </c>
      <c r="AE7" s="186">
        <f>'42_OPEX'!AE13</f>
        <v>4016923.2543655895</v>
      </c>
      <c r="AF7" s="186">
        <f>'42_OPEX'!AF13</f>
        <v>4086522.7428458827</v>
      </c>
      <c r="AG7" s="186">
        <f>'42_OPEX'!AG13</f>
        <v>4175321.9249463719</v>
      </c>
      <c r="AH7" s="186">
        <f>'42_OPEX'!AH13</f>
        <v>4276445.7021480091</v>
      </c>
      <c r="AI7" s="186">
        <f>'42_OPEX'!AI13</f>
        <v>4327819.2286607111</v>
      </c>
      <c r="AJ7" s="186">
        <f>'42_OPEX'!AJ13</f>
        <v>4414567.9266743567</v>
      </c>
      <c r="AK7" s="186">
        <f>'42_OPEX'!AK13</f>
        <v>4467717.5016000941</v>
      </c>
      <c r="AL7" s="185">
        <f>SUMIF('23_Time'!$B$3:$AK$3, 1,B7:AK7)</f>
        <v>16798639.528620627</v>
      </c>
      <c r="AM7" s="186">
        <f>SUMIF('23_Time'!$B$3:$AK$3, 2,B7:AK7)</f>
        <v>32009779.247176085</v>
      </c>
      <c r="AN7" s="187">
        <f>SUMIF('23_Time'!$B$3:$AK$3, 3,B7:AK7)</f>
        <v>48549317.03086295</v>
      </c>
    </row>
    <row r="8" spans="1:40" ht="15" thickBot="1" x14ac:dyDescent="0.35">
      <c r="A8" s="135" t="s">
        <v>58</v>
      </c>
      <c r="B8" s="192">
        <f>B6-B7</f>
        <v>-1227720</v>
      </c>
      <c r="C8" s="193">
        <f t="shared" ref="C8:AK8" si="1">C6-C7</f>
        <v>-1214884.6822934672</v>
      </c>
      <c r="D8" s="193">
        <f t="shared" si="1"/>
        <v>-1201978.4146981351</v>
      </c>
      <c r="E8" s="193">
        <f t="shared" si="1"/>
        <v>-1188987.573288538</v>
      </c>
      <c r="F8" s="193">
        <f t="shared" si="1"/>
        <v>-1175898.5685680704</v>
      </c>
      <c r="G8" s="193">
        <f t="shared" si="1"/>
        <v>-1162697.832583162</v>
      </c>
      <c r="H8" s="193">
        <f t="shared" si="1"/>
        <v>-1204571.8061820627</v>
      </c>
      <c r="I8" s="193">
        <f t="shared" si="1"/>
        <v>-1278506.9264052974</v>
      </c>
      <c r="J8" s="193">
        <f t="shared" si="1"/>
        <v>-1317075.6900527081</v>
      </c>
      <c r="K8" s="193">
        <f t="shared" si="1"/>
        <v>-1366440.7944011104</v>
      </c>
      <c r="L8" s="193">
        <f t="shared" si="1"/>
        <v>-1429389.5212038271</v>
      </c>
      <c r="M8" s="193">
        <f t="shared" si="1"/>
        <v>-1478308.8851142002</v>
      </c>
      <c r="N8" s="193">
        <f t="shared" si="1"/>
        <v>-1789212.6397389486</v>
      </c>
      <c r="O8" s="193">
        <f t="shared" si="1"/>
        <v>-1738631.579089144</v>
      </c>
      <c r="P8" s="193">
        <f t="shared" si="1"/>
        <v>-1674358.9544255985</v>
      </c>
      <c r="Q8" s="193">
        <f t="shared" si="1"/>
        <v>-1610155.3211393079</v>
      </c>
      <c r="R8" s="193">
        <f t="shared" si="1"/>
        <v>-1559779.6351071573</v>
      </c>
      <c r="S8" s="193">
        <f t="shared" si="1"/>
        <v>-1495589.3980786442</v>
      </c>
      <c r="T8" s="193">
        <f t="shared" si="1"/>
        <v>-1431340.7863774924</v>
      </c>
      <c r="U8" s="193">
        <f t="shared" si="1"/>
        <v>-2069616.8348163408</v>
      </c>
      <c r="V8" s="193">
        <f t="shared" si="1"/>
        <v>-1964115.9920936595</v>
      </c>
      <c r="W8" s="193">
        <f t="shared" si="1"/>
        <v>-1907420.2861665813</v>
      </c>
      <c r="X8" s="193">
        <f t="shared" si="1"/>
        <v>-1816633.3769754448</v>
      </c>
      <c r="Y8" s="193">
        <f t="shared" si="1"/>
        <v>-1712355.4743824296</v>
      </c>
      <c r="Z8" s="193">
        <f t="shared" si="1"/>
        <v>-1578383.6719367346</v>
      </c>
      <c r="AA8" s="193">
        <f t="shared" si="1"/>
        <v>-1437612.2419569851</v>
      </c>
      <c r="AB8" s="193">
        <f t="shared" si="1"/>
        <v>-1333632.8952941694</v>
      </c>
      <c r="AC8" s="193">
        <f t="shared" si="1"/>
        <v>-1204235.0088471062</v>
      </c>
      <c r="AD8" s="193">
        <f t="shared" si="1"/>
        <v>-1083805.8236356275</v>
      </c>
      <c r="AE8" s="193">
        <f t="shared" si="1"/>
        <v>-981430.61599229835</v>
      </c>
      <c r="AF8" s="193">
        <f t="shared" si="1"/>
        <v>-846392.84420975856</v>
      </c>
      <c r="AG8" s="193">
        <f t="shared" si="1"/>
        <v>-729174.27277570963</v>
      </c>
      <c r="AH8" s="193">
        <f t="shared" si="1"/>
        <v>-622755.07614002377</v>
      </c>
      <c r="AI8" s="193">
        <f t="shared" si="1"/>
        <v>-464913.92378645949</v>
      </c>
      <c r="AJ8" s="193">
        <f t="shared" si="1"/>
        <v>-340628.04822413484</v>
      </c>
      <c r="AK8" s="193">
        <f t="shared" si="1"/>
        <v>-180773.29736978002</v>
      </c>
      <c r="AL8" s="192">
        <f>SUMIF('23_Time'!$B$3:$AK$3, 1,B8:AK8)</f>
        <v>-15246460.694790579</v>
      </c>
      <c r="AM8" s="193">
        <f>SUMIF('23_Time'!$B$3:$AK$3, 2,B8:AK8)</f>
        <v>-20769210.27839075</v>
      </c>
      <c r="AN8" s="194">
        <f>SUMIF('23_Time'!$B$3:$AK$3, 3,B8:AK8)</f>
        <v>-10803737.720168786</v>
      </c>
    </row>
    <row r="9" spans="1:40" x14ac:dyDescent="0.3">
      <c r="A9" s="139" t="s">
        <v>172</v>
      </c>
      <c r="B9" s="185">
        <f>'43_CAPEX_Depreciation'!B7</f>
        <v>0</v>
      </c>
      <c r="C9" s="186">
        <f>'43_CAPEX_Depreciation'!C7</f>
        <v>1660.4444444444443</v>
      </c>
      <c r="D9" s="186">
        <f>'43_CAPEX_Depreciation'!D7</f>
        <v>3274.7654320987654</v>
      </c>
      <c r="E9" s="186">
        <f>'43_CAPEX_Depreciation'!E7</f>
        <v>4844.2441700960217</v>
      </c>
      <c r="F9" s="186">
        <f>'43_CAPEX_Depreciation'!F7</f>
        <v>6370.1262764822432</v>
      </c>
      <c r="G9" s="186">
        <f>'43_CAPEX_Depreciation'!G7</f>
        <v>7853.62276880218</v>
      </c>
      <c r="H9" s="186">
        <f>'43_CAPEX_Depreciation'!H7</f>
        <v>9295.9110252243427</v>
      </c>
      <c r="I9" s="186">
        <f>'43_CAPEX_Depreciation'!I7</f>
        <v>10820.802385634775</v>
      </c>
      <c r="J9" s="186">
        <f>'43_CAPEX_Depreciation'!J7</f>
        <v>12369.78009714492</v>
      </c>
      <c r="K9" s="186">
        <f>'43_CAPEX_Depreciation'!K7</f>
        <v>13998.397316668672</v>
      </c>
      <c r="L9" s="186">
        <f>'43_CAPEX_Depreciation'!L7</f>
        <v>15648.219613427878</v>
      </c>
      <c r="M9" s="186">
        <f>'43_CAPEX_Depreciation'!M7</f>
        <v>17374.880179721549</v>
      </c>
      <c r="N9" s="186">
        <f>'43_CAPEX_Depreciation'!N7</f>
        <v>19120.022396951506</v>
      </c>
      <c r="O9" s="186">
        <f>'43_CAPEX_Depreciation'!O7</f>
        <v>20816.68844148063</v>
      </c>
      <c r="P9" s="186">
        <f>'43_CAPEX_Depreciation'!P7</f>
        <v>22466.224873661726</v>
      </c>
      <c r="Q9" s="186">
        <f>'43_CAPEX_Depreciation'!Q7</f>
        <v>24069.940849393344</v>
      </c>
      <c r="R9" s="186">
        <f>'43_CAPEX_Depreciation'!R7</f>
        <v>25629.109159132415</v>
      </c>
      <c r="S9" s="186">
        <f>'43_CAPEX_Depreciation'!S7</f>
        <v>27144.967238045403</v>
      </c>
      <c r="T9" s="186">
        <f>'43_CAPEX_Depreciation'!T7</f>
        <v>28618.718148099695</v>
      </c>
      <c r="U9" s="186">
        <f>'43_CAPEX_Depreciation'!U7</f>
        <v>30051.531532874706</v>
      </c>
      <c r="V9" s="186">
        <f>'43_CAPEX_Depreciation'!V7</f>
        <v>31567.211212517072</v>
      </c>
      <c r="W9" s="186">
        <f>'43_CAPEX_Depreciation'!W7</f>
        <v>33107.233123280486</v>
      </c>
      <c r="X9" s="186">
        <f>'43_CAPEX_Depreciation'!X7</f>
        <v>34727.143314300469</v>
      </c>
      <c r="Y9" s="186">
        <f>'43_CAPEX_Depreciation'!Y7</f>
        <v>36368.50044445879</v>
      </c>
      <c r="Z9" s="186">
        <f>'43_CAPEX_Depreciation'!Z7</f>
        <v>38030.708765446041</v>
      </c>
      <c r="AA9" s="186">
        <f>'43_CAPEX_Depreciation'!AA7</f>
        <v>39646.744633072543</v>
      </c>
      <c r="AB9" s="186">
        <f>'43_CAPEX_Depreciation'!AB7</f>
        <v>41217.890615487195</v>
      </c>
      <c r="AC9" s="186">
        <f>'43_CAPEX_Depreciation'!AC7</f>
        <v>42811.838098390326</v>
      </c>
      <c r="AD9" s="186">
        <f>'43_CAPEX_Depreciation'!AD7</f>
        <v>44417.731484546159</v>
      </c>
      <c r="AE9" s="186">
        <f>'43_CAPEX_Depreciation'!AE7</f>
        <v>45979.01672108654</v>
      </c>
      <c r="AF9" s="186">
        <f>'43_CAPEX_Depreciation'!AF7</f>
        <v>47563.377367723027</v>
      </c>
      <c r="AG9" s="186">
        <f>'43_CAPEX_Depreciation'!AG7</f>
        <v>49103.727996397385</v>
      </c>
      <c r="AH9" s="186">
        <f>'43_CAPEX_Depreciation'!AH7</f>
        <v>50657.513329830792</v>
      </c>
      <c r="AI9" s="186">
        <f>'43_CAPEX_Depreciation'!AI7</f>
        <v>52234.582404002162</v>
      </c>
      <c r="AJ9" s="186">
        <f>'43_CAPEX_Depreciation'!AJ7</f>
        <v>53767.84400389099</v>
      </c>
      <c r="AK9" s="186">
        <f>'43_CAPEX_Depreciation'!AK7</f>
        <v>55258.515003782915</v>
      </c>
      <c r="AL9" s="185">
        <f>SUMIF('23_Time'!$B$3:$AK$3, 1,B9:AK9)</f>
        <v>103511.1937097458</v>
      </c>
      <c r="AM9" s="186">
        <f>SUMIF('23_Time'!$B$3:$AK$3, 2,B9:AK9)</f>
        <v>333687.29073419626</v>
      </c>
      <c r="AN9" s="187">
        <f>SUMIF('23_Time'!$B$3:$AK$3, 3,B9:AK9)</f>
        <v>560689.49042365607</v>
      </c>
    </row>
    <row r="10" spans="1:40" ht="15" thickBot="1" x14ac:dyDescent="0.35">
      <c r="A10" s="132" t="s">
        <v>59</v>
      </c>
      <c r="B10" s="188">
        <f>B8-B9</f>
        <v>-1227720</v>
      </c>
      <c r="C10" s="189">
        <f t="shared" ref="C10:AK10" si="2">C8-C9</f>
        <v>-1216545.1267379117</v>
      </c>
      <c r="D10" s="189">
        <f t="shared" si="2"/>
        <v>-1205253.180130234</v>
      </c>
      <c r="E10" s="189">
        <f t="shared" si="2"/>
        <v>-1193831.817458634</v>
      </c>
      <c r="F10" s="189">
        <f t="shared" si="2"/>
        <v>-1182268.6948445525</v>
      </c>
      <c r="G10" s="189">
        <f t="shared" si="2"/>
        <v>-1170551.4553519641</v>
      </c>
      <c r="H10" s="189">
        <f t="shared" si="2"/>
        <v>-1213867.717207287</v>
      </c>
      <c r="I10" s="189">
        <f t="shared" si="2"/>
        <v>-1289327.7287909321</v>
      </c>
      <c r="J10" s="189">
        <f t="shared" si="2"/>
        <v>-1329445.470149853</v>
      </c>
      <c r="K10" s="189">
        <f t="shared" si="2"/>
        <v>-1380439.191717779</v>
      </c>
      <c r="L10" s="189">
        <f t="shared" si="2"/>
        <v>-1445037.7408172549</v>
      </c>
      <c r="M10" s="189">
        <f t="shared" si="2"/>
        <v>-1495683.7652939218</v>
      </c>
      <c r="N10" s="189">
        <f t="shared" si="2"/>
        <v>-1808332.6621359</v>
      </c>
      <c r="O10" s="189">
        <f t="shared" si="2"/>
        <v>-1759448.2675306248</v>
      </c>
      <c r="P10" s="189">
        <f t="shared" si="2"/>
        <v>-1696825.1792992603</v>
      </c>
      <c r="Q10" s="189">
        <f t="shared" si="2"/>
        <v>-1634225.2619887013</v>
      </c>
      <c r="R10" s="189">
        <f t="shared" si="2"/>
        <v>-1585408.7442662898</v>
      </c>
      <c r="S10" s="189">
        <f t="shared" si="2"/>
        <v>-1522734.3653166895</v>
      </c>
      <c r="T10" s="189">
        <f t="shared" si="2"/>
        <v>-1459959.5045255921</v>
      </c>
      <c r="U10" s="189">
        <f t="shared" si="2"/>
        <v>-2099668.3663492156</v>
      </c>
      <c r="V10" s="189">
        <f t="shared" si="2"/>
        <v>-1995683.2033061765</v>
      </c>
      <c r="W10" s="189">
        <f t="shared" si="2"/>
        <v>-1940527.5192898619</v>
      </c>
      <c r="X10" s="189">
        <f t="shared" si="2"/>
        <v>-1851360.5202897454</v>
      </c>
      <c r="Y10" s="189">
        <f t="shared" si="2"/>
        <v>-1748723.9748268884</v>
      </c>
      <c r="Z10" s="189">
        <f t="shared" si="2"/>
        <v>-1616414.3807021806</v>
      </c>
      <c r="AA10" s="189">
        <f t="shared" si="2"/>
        <v>-1477258.9865900576</v>
      </c>
      <c r="AB10" s="189">
        <f t="shared" si="2"/>
        <v>-1374850.7859096567</v>
      </c>
      <c r="AC10" s="189">
        <f t="shared" si="2"/>
        <v>-1247046.8469454965</v>
      </c>
      <c r="AD10" s="189">
        <f t="shared" si="2"/>
        <v>-1128223.5551201736</v>
      </c>
      <c r="AE10" s="189">
        <f t="shared" si="2"/>
        <v>-1027409.6327133849</v>
      </c>
      <c r="AF10" s="189">
        <f t="shared" si="2"/>
        <v>-893956.2215774816</v>
      </c>
      <c r="AG10" s="189">
        <f t="shared" si="2"/>
        <v>-778278.00077210704</v>
      </c>
      <c r="AH10" s="189">
        <f t="shared" si="2"/>
        <v>-673412.5894698546</v>
      </c>
      <c r="AI10" s="189">
        <f t="shared" si="2"/>
        <v>-517148.50619046163</v>
      </c>
      <c r="AJ10" s="189">
        <f t="shared" si="2"/>
        <v>-394395.89222802583</v>
      </c>
      <c r="AK10" s="189">
        <f t="shared" si="2"/>
        <v>-236031.81237356295</v>
      </c>
      <c r="AL10" s="192">
        <f>SUMIF('23_Time'!$B$3:$AK$3, 1,B10:AK10)</f>
        <v>-15349971.888500322</v>
      </c>
      <c r="AM10" s="193">
        <f>SUMIF('23_Time'!$B$3:$AK$3, 2,B10:AK10)</f>
        <v>-21102897.569124945</v>
      </c>
      <c r="AN10" s="194">
        <f>SUMIF('23_Time'!$B$3:$AK$3, 3,B10:AK10)</f>
        <v>-11364427.210592445</v>
      </c>
    </row>
    <row r="11" spans="1:40" x14ac:dyDescent="0.3">
      <c r="A11" s="129" t="s">
        <v>178</v>
      </c>
      <c r="B11" s="186">
        <f>'45_Funding_Interest_Equity'!B6</f>
        <v>0</v>
      </c>
      <c r="C11" s="186">
        <f>'45_Funding_Interest_Equity'!C6</f>
        <v>0</v>
      </c>
      <c r="D11" s="186">
        <f>'45_Funding_Interest_Equity'!D6</f>
        <v>0</v>
      </c>
      <c r="E11" s="186">
        <f>'45_Funding_Interest_Equity'!E6</f>
        <v>4166.666666666667</v>
      </c>
      <c r="F11" s="186">
        <f>'45_Funding_Interest_Equity'!F6</f>
        <v>16666.666666666668</v>
      </c>
      <c r="G11" s="186">
        <f>'45_Funding_Interest_Equity'!G6</f>
        <v>25000</v>
      </c>
      <c r="H11" s="186">
        <f>'45_Funding_Interest_Equity'!H6</f>
        <v>29166.666666666668</v>
      </c>
      <c r="I11" s="186">
        <f>'45_Funding_Interest_Equity'!I6</f>
        <v>33333.333333333336</v>
      </c>
      <c r="J11" s="186">
        <f>'45_Funding_Interest_Equity'!J6</f>
        <v>33333.333333333336</v>
      </c>
      <c r="K11" s="186">
        <f>'45_Funding_Interest_Equity'!K6</f>
        <v>33333.333333333336</v>
      </c>
      <c r="L11" s="186">
        <f>'45_Funding_Interest_Equity'!L6</f>
        <v>33333.333333333336</v>
      </c>
      <c r="M11" s="186">
        <f>'45_Funding_Interest_Equity'!M6</f>
        <v>33333.333333333336</v>
      </c>
      <c r="N11" s="186">
        <f>'45_Funding_Interest_Equity'!N6</f>
        <v>33333.333333333336</v>
      </c>
      <c r="O11" s="186">
        <f>'45_Funding_Interest_Equity'!O6</f>
        <v>33333.333333333336</v>
      </c>
      <c r="P11" s="186">
        <f>'45_Funding_Interest_Equity'!P6</f>
        <v>33333.333333333336</v>
      </c>
      <c r="Q11" s="186">
        <f>'45_Funding_Interest_Equity'!Q6</f>
        <v>33333.333333333336</v>
      </c>
      <c r="R11" s="186">
        <f>'45_Funding_Interest_Equity'!R6</f>
        <v>33333.333333333336</v>
      </c>
      <c r="S11" s="186">
        <f>'45_Funding_Interest_Equity'!S6</f>
        <v>33333.333333333336</v>
      </c>
      <c r="T11" s="186">
        <f>'45_Funding_Interest_Equity'!T6</f>
        <v>33333.333333333336</v>
      </c>
      <c r="U11" s="186">
        <f>'45_Funding_Interest_Equity'!U6</f>
        <v>33333.333333333336</v>
      </c>
      <c r="V11" s="186">
        <f>'45_Funding_Interest_Equity'!V6</f>
        <v>33333.333333333336</v>
      </c>
      <c r="W11" s="186">
        <f>'45_Funding_Interest_Equity'!W6</f>
        <v>33333.333333333336</v>
      </c>
      <c r="X11" s="186">
        <f>'45_Funding_Interest_Equity'!X6</f>
        <v>33333.333333333336</v>
      </c>
      <c r="Y11" s="186">
        <f>'45_Funding_Interest_Equity'!Y6</f>
        <v>33333.333333333336</v>
      </c>
      <c r="Z11" s="186">
        <f>'45_Funding_Interest_Equity'!Z6</f>
        <v>33333.333333333336</v>
      </c>
      <c r="AA11" s="186">
        <f>'45_Funding_Interest_Equity'!AA6</f>
        <v>33333.333333333336</v>
      </c>
      <c r="AB11" s="186">
        <f>'45_Funding_Interest_Equity'!AB6</f>
        <v>33333.333333333336</v>
      </c>
      <c r="AC11" s="186">
        <f>'45_Funding_Interest_Equity'!AC6</f>
        <v>33333.333333333336</v>
      </c>
      <c r="AD11" s="186">
        <f>'45_Funding_Interest_Equity'!AD6</f>
        <v>33333.333333333336</v>
      </c>
      <c r="AE11" s="186">
        <f>'45_Funding_Interest_Equity'!AE6</f>
        <v>33333.333333333336</v>
      </c>
      <c r="AF11" s="186">
        <f>'45_Funding_Interest_Equity'!AF6</f>
        <v>33333.333333333336</v>
      </c>
      <c r="AG11" s="186">
        <f>'45_Funding_Interest_Equity'!AG6</f>
        <v>33333.333333333336</v>
      </c>
      <c r="AH11" s="186">
        <f>'45_Funding_Interest_Equity'!AH6</f>
        <v>33333.333333333336</v>
      </c>
      <c r="AI11" s="186">
        <f>'45_Funding_Interest_Equity'!AI6</f>
        <v>33333.333333333336</v>
      </c>
      <c r="AJ11" s="186">
        <f>'45_Funding_Interest_Equity'!AJ6</f>
        <v>33333.333333333336</v>
      </c>
      <c r="AK11" s="186">
        <f>'45_Funding_Interest_Equity'!AK6</f>
        <v>33333.333333333336</v>
      </c>
      <c r="AL11" s="185">
        <f>SUMIF('23_Time'!$B$3:$AK$3, 1,B11:AK11)</f>
        <v>241666.66666666672</v>
      </c>
      <c r="AM11" s="186">
        <f>SUMIF('23_Time'!$B$3:$AK$3, 2,B11:AK11)</f>
        <v>399999.99999999994</v>
      </c>
      <c r="AN11" s="187">
        <f>SUMIF('23_Time'!$B$3:$AK$3, 3,B11:AK11)</f>
        <v>399999.99999999994</v>
      </c>
    </row>
    <row r="12" spans="1:40" x14ac:dyDescent="0.3">
      <c r="A12" s="127" t="s">
        <v>60</v>
      </c>
      <c r="B12" s="189">
        <f>B10-B11</f>
        <v>-1227720</v>
      </c>
      <c r="C12" s="189">
        <f t="shared" ref="C12:AK12" si="3">C10-C11</f>
        <v>-1216545.1267379117</v>
      </c>
      <c r="D12" s="189">
        <f t="shared" si="3"/>
        <v>-1205253.180130234</v>
      </c>
      <c r="E12" s="189">
        <f t="shared" si="3"/>
        <v>-1197998.4841253008</v>
      </c>
      <c r="F12" s="189">
        <f t="shared" si="3"/>
        <v>-1198935.3615112193</v>
      </c>
      <c r="G12" s="189">
        <f t="shared" si="3"/>
        <v>-1195551.4553519641</v>
      </c>
      <c r="H12" s="189">
        <f t="shared" si="3"/>
        <v>-1243034.3838739537</v>
      </c>
      <c r="I12" s="189">
        <f t="shared" si="3"/>
        <v>-1322661.0621242654</v>
      </c>
      <c r="J12" s="189">
        <f t="shared" si="3"/>
        <v>-1362778.8034831863</v>
      </c>
      <c r="K12" s="189">
        <f t="shared" si="3"/>
        <v>-1413772.5250511123</v>
      </c>
      <c r="L12" s="189">
        <f t="shared" si="3"/>
        <v>-1478371.0741505881</v>
      </c>
      <c r="M12" s="189">
        <f t="shared" si="3"/>
        <v>-1529017.0986272551</v>
      </c>
      <c r="N12" s="189">
        <f t="shared" si="3"/>
        <v>-1841665.9954692333</v>
      </c>
      <c r="O12" s="189">
        <f t="shared" si="3"/>
        <v>-1792781.600863958</v>
      </c>
      <c r="P12" s="189">
        <f t="shared" si="3"/>
        <v>-1730158.5126325935</v>
      </c>
      <c r="Q12" s="189">
        <f t="shared" si="3"/>
        <v>-1667558.5953220346</v>
      </c>
      <c r="R12" s="189">
        <f t="shared" si="3"/>
        <v>-1618742.077599623</v>
      </c>
      <c r="S12" s="189">
        <f t="shared" si="3"/>
        <v>-1556067.6986500227</v>
      </c>
      <c r="T12" s="189">
        <f t="shared" si="3"/>
        <v>-1493292.8378589253</v>
      </c>
      <c r="U12" s="189">
        <f t="shared" si="3"/>
        <v>-2133001.6996825491</v>
      </c>
      <c r="V12" s="189">
        <f t="shared" si="3"/>
        <v>-2029016.5366395097</v>
      </c>
      <c r="W12" s="189">
        <f t="shared" si="3"/>
        <v>-1973860.8526231952</v>
      </c>
      <c r="X12" s="189">
        <f t="shared" si="3"/>
        <v>-1884693.8536230787</v>
      </c>
      <c r="Y12" s="189">
        <f t="shared" si="3"/>
        <v>-1782057.3081602217</v>
      </c>
      <c r="Z12" s="189">
        <f t="shared" si="3"/>
        <v>-1649747.7140355138</v>
      </c>
      <c r="AA12" s="189">
        <f t="shared" si="3"/>
        <v>-1510592.3199233909</v>
      </c>
      <c r="AB12" s="189">
        <f t="shared" si="3"/>
        <v>-1408184.1192429899</v>
      </c>
      <c r="AC12" s="189">
        <f t="shared" si="3"/>
        <v>-1280380.1802788298</v>
      </c>
      <c r="AD12" s="189">
        <f t="shared" si="3"/>
        <v>-1161556.8884535069</v>
      </c>
      <c r="AE12" s="189">
        <f t="shared" si="3"/>
        <v>-1060742.9660467182</v>
      </c>
      <c r="AF12" s="189">
        <f t="shared" si="3"/>
        <v>-927289.55491081497</v>
      </c>
      <c r="AG12" s="189">
        <f t="shared" si="3"/>
        <v>-811611.33410544042</v>
      </c>
      <c r="AH12" s="189">
        <f t="shared" si="3"/>
        <v>-706745.92280318798</v>
      </c>
      <c r="AI12" s="189">
        <f t="shared" si="3"/>
        <v>-550481.83952379494</v>
      </c>
      <c r="AJ12" s="189">
        <f t="shared" si="3"/>
        <v>-427729.22556135914</v>
      </c>
      <c r="AK12" s="189">
        <f t="shared" si="3"/>
        <v>-269365.14570689626</v>
      </c>
      <c r="AL12" s="188">
        <f>SUMIF('23_Time'!$B$3:$AK$3, 1,B12:AK12)</f>
        <v>-15591638.55516699</v>
      </c>
      <c r="AM12" s="189">
        <f>SUMIF('23_Time'!$B$3:$AK$3, 2,B12:AK12)</f>
        <v>-21502897.569124945</v>
      </c>
      <c r="AN12" s="190">
        <f>SUMIF('23_Time'!$B$3:$AK$3, 3,B12:AK12)</f>
        <v>-11764427.210592443</v>
      </c>
    </row>
    <row r="13" spans="1:40" ht="15" thickBot="1" x14ac:dyDescent="0.35">
      <c r="A13" s="128" t="s">
        <v>194</v>
      </c>
      <c r="B13" s="193">
        <f>B12</f>
        <v>-1227720</v>
      </c>
      <c r="C13" s="193">
        <f>C12+B13</f>
        <v>-2444265.1267379117</v>
      </c>
      <c r="D13" s="193">
        <f t="shared" ref="D13:AK13" si="4">D12+C13</f>
        <v>-3649518.3068681457</v>
      </c>
      <c r="E13" s="193">
        <f t="shared" si="4"/>
        <v>-4847516.7909934465</v>
      </c>
      <c r="F13" s="193">
        <f t="shared" si="4"/>
        <v>-6046452.1525046658</v>
      </c>
      <c r="G13" s="193">
        <f t="shared" si="4"/>
        <v>-7242003.6078566294</v>
      </c>
      <c r="H13" s="193">
        <f t="shared" si="4"/>
        <v>-8485037.9917305838</v>
      </c>
      <c r="I13" s="193">
        <f t="shared" si="4"/>
        <v>-9807699.0538548492</v>
      </c>
      <c r="J13" s="193">
        <f t="shared" si="4"/>
        <v>-11170477.857338035</v>
      </c>
      <c r="K13" s="193">
        <f t="shared" si="4"/>
        <v>-12584250.382389147</v>
      </c>
      <c r="L13" s="193">
        <f t="shared" si="4"/>
        <v>-14062621.456539735</v>
      </c>
      <c r="M13" s="193">
        <f t="shared" si="4"/>
        <v>-15591638.55516699</v>
      </c>
      <c r="N13" s="193">
        <f t="shared" si="4"/>
        <v>-17433304.550636224</v>
      </c>
      <c r="O13" s="193">
        <f t="shared" si="4"/>
        <v>-19226086.151500184</v>
      </c>
      <c r="P13" s="193">
        <f t="shared" si="4"/>
        <v>-20956244.664132778</v>
      </c>
      <c r="Q13" s="193">
        <f t="shared" si="4"/>
        <v>-22623803.259454813</v>
      </c>
      <c r="R13" s="193">
        <f t="shared" si="4"/>
        <v>-24242545.337054435</v>
      </c>
      <c r="S13" s="193">
        <f t="shared" si="4"/>
        <v>-25798613.035704456</v>
      </c>
      <c r="T13" s="193">
        <f t="shared" si="4"/>
        <v>-27291905.873563383</v>
      </c>
      <c r="U13" s="193">
        <f t="shared" si="4"/>
        <v>-29424907.573245931</v>
      </c>
      <c r="V13" s="193">
        <f t="shared" si="4"/>
        <v>-31453924.109885439</v>
      </c>
      <c r="W13" s="193">
        <f t="shared" si="4"/>
        <v>-33427784.962508634</v>
      </c>
      <c r="X13" s="193">
        <f t="shared" si="4"/>
        <v>-35312478.816131711</v>
      </c>
      <c r="Y13" s="193">
        <f t="shared" si="4"/>
        <v>-37094536.124291934</v>
      </c>
      <c r="Z13" s="193">
        <f t="shared" si="4"/>
        <v>-38744283.838327445</v>
      </c>
      <c r="AA13" s="193">
        <f t="shared" si="4"/>
        <v>-40254876.158250839</v>
      </c>
      <c r="AB13" s="193">
        <f t="shared" si="4"/>
        <v>-41663060.277493827</v>
      </c>
      <c r="AC13" s="193">
        <f t="shared" si="4"/>
        <v>-42943440.457772657</v>
      </c>
      <c r="AD13" s="193">
        <f t="shared" si="4"/>
        <v>-44104997.346226163</v>
      </c>
      <c r="AE13" s="193">
        <f t="shared" si="4"/>
        <v>-45165740.312272884</v>
      </c>
      <c r="AF13" s="193">
        <f t="shared" si="4"/>
        <v>-46093029.8671837</v>
      </c>
      <c r="AG13" s="193">
        <f t="shared" si="4"/>
        <v>-46904641.20128914</v>
      </c>
      <c r="AH13" s="193">
        <f t="shared" si="4"/>
        <v>-47611387.124092326</v>
      </c>
      <c r="AI13" s="193">
        <f t="shared" si="4"/>
        <v>-48161868.963616118</v>
      </c>
      <c r="AJ13" s="193">
        <f t="shared" si="4"/>
        <v>-48589598.189177476</v>
      </c>
      <c r="AK13" s="193">
        <f t="shared" si="4"/>
        <v>-48858963.334884375</v>
      </c>
      <c r="AL13" s="192">
        <f>M13</f>
        <v>-15591638.55516699</v>
      </c>
      <c r="AM13" s="193">
        <f>Y13</f>
        <v>-37094536.124291934</v>
      </c>
      <c r="AN13" s="194">
        <f>AK13</f>
        <v>-48858963.334884375</v>
      </c>
    </row>
    <row r="14" spans="1:40" x14ac:dyDescent="0.3">
      <c r="A14" s="127" t="s">
        <v>56</v>
      </c>
      <c r="B14" s="189">
        <f>MAX(0,B12-B18)*'37_Inputs_Tax'!$B$2</f>
        <v>0</v>
      </c>
      <c r="C14" s="189">
        <f>MAX(0,C12-C18)*'37_Inputs_Tax'!$B$2</f>
        <v>0</v>
      </c>
      <c r="D14" s="189">
        <f>MAX(0,D12-D18)*'37_Inputs_Tax'!$B$2</f>
        <v>0</v>
      </c>
      <c r="E14" s="189">
        <f>MAX(0,E12-E18)*'37_Inputs_Tax'!$B$2</f>
        <v>0</v>
      </c>
      <c r="F14" s="189">
        <f>MAX(0,F12-F18)*'37_Inputs_Tax'!$B$2</f>
        <v>0</v>
      </c>
      <c r="G14" s="189">
        <f>MAX(0,G12-G18)*'37_Inputs_Tax'!$B$2</f>
        <v>0</v>
      </c>
      <c r="H14" s="189">
        <f>MAX(0,H12-H18)*'37_Inputs_Tax'!$B$2</f>
        <v>0</v>
      </c>
      <c r="I14" s="189">
        <f>MAX(0,I12-I18)*'37_Inputs_Tax'!$B$2</f>
        <v>0</v>
      </c>
      <c r="J14" s="189">
        <f>MAX(0,J12-J18)*'37_Inputs_Tax'!$B$2</f>
        <v>0</v>
      </c>
      <c r="K14" s="189">
        <f>MAX(0,K12-K18)*'37_Inputs_Tax'!$B$2</f>
        <v>0</v>
      </c>
      <c r="L14" s="189">
        <f>MAX(0,L12-L18)*'37_Inputs_Tax'!$B$2</f>
        <v>0</v>
      </c>
      <c r="M14" s="189">
        <f>MAX(0,M12-M18)*'37_Inputs_Tax'!$B$2</f>
        <v>0</v>
      </c>
      <c r="N14" s="189">
        <f>MAX(0,N12-N18)*'37_Inputs_Tax'!$B$2</f>
        <v>0</v>
      </c>
      <c r="O14" s="189">
        <f>MAX(0,O12-O18)*'37_Inputs_Tax'!$B$2</f>
        <v>0</v>
      </c>
      <c r="P14" s="189">
        <f>MAX(0,P12-P18)*'37_Inputs_Tax'!$B$2</f>
        <v>0</v>
      </c>
      <c r="Q14" s="189">
        <f>MAX(0,Q12-Q18)*'37_Inputs_Tax'!$B$2</f>
        <v>0</v>
      </c>
      <c r="R14" s="189">
        <f>MAX(0,R12-R18)*'37_Inputs_Tax'!$B$2</f>
        <v>0</v>
      </c>
      <c r="S14" s="189">
        <f>MAX(0,S12-S18)*'37_Inputs_Tax'!$B$2</f>
        <v>0</v>
      </c>
      <c r="T14" s="189">
        <f>MAX(0,T12-T18)*'37_Inputs_Tax'!$B$2</f>
        <v>0</v>
      </c>
      <c r="U14" s="189">
        <f>MAX(0,U12-U18)*'37_Inputs_Tax'!$B$2</f>
        <v>0</v>
      </c>
      <c r="V14" s="189">
        <f>MAX(0,V12-V18)*'37_Inputs_Tax'!$B$2</f>
        <v>0</v>
      </c>
      <c r="W14" s="189">
        <f>MAX(0,W12-W18)*'37_Inputs_Tax'!$B$2</f>
        <v>0</v>
      </c>
      <c r="X14" s="189">
        <f>MAX(0,X12-X18)*'37_Inputs_Tax'!$B$2</f>
        <v>0</v>
      </c>
      <c r="Y14" s="189">
        <f>MAX(0,Y12-Y18)*'37_Inputs_Tax'!$B$2</f>
        <v>0</v>
      </c>
      <c r="Z14" s="189">
        <f>MAX(0,Z12-Z18)*'37_Inputs_Tax'!$B$2</f>
        <v>0</v>
      </c>
      <c r="AA14" s="189">
        <f>MAX(0,AA12-AA18)*'37_Inputs_Tax'!$B$2</f>
        <v>0</v>
      </c>
      <c r="AB14" s="189">
        <f>MAX(0,AB12-AB18)*'37_Inputs_Tax'!$B$2</f>
        <v>0</v>
      </c>
      <c r="AC14" s="189">
        <f>MAX(0,AC12-AC18)*'37_Inputs_Tax'!$B$2</f>
        <v>0</v>
      </c>
      <c r="AD14" s="189">
        <f>MAX(0,AD12-AD18)*'37_Inputs_Tax'!$B$2</f>
        <v>0</v>
      </c>
      <c r="AE14" s="189">
        <f>MAX(0,AE12-AE18)*'37_Inputs_Tax'!$B$2</f>
        <v>0</v>
      </c>
      <c r="AF14" s="189">
        <f>MAX(0,AF12-AF18)*'37_Inputs_Tax'!$B$2</f>
        <v>0</v>
      </c>
      <c r="AG14" s="189">
        <f>MAX(0,AG12-AG18)*'37_Inputs_Tax'!$B$2</f>
        <v>0</v>
      </c>
      <c r="AH14" s="189">
        <f>MAX(0,AH12-AH18)*'37_Inputs_Tax'!$B$2</f>
        <v>0</v>
      </c>
      <c r="AI14" s="189">
        <f>MAX(0,AI12-AI18)*'37_Inputs_Tax'!$B$2</f>
        <v>0</v>
      </c>
      <c r="AJ14" s="189">
        <f>MAX(0,AJ12-AJ18)*'37_Inputs_Tax'!$B$2</f>
        <v>0</v>
      </c>
      <c r="AK14" s="189">
        <f>MAX(0,AK12-AK18)*'37_Inputs_Tax'!$B$2</f>
        <v>0</v>
      </c>
      <c r="AL14" s="188">
        <f>SUMIF('23_Time'!$B$3:$AK$3, 1,B14:AK14)</f>
        <v>0</v>
      </c>
      <c r="AM14" s="189">
        <f>SUMIF('23_Time'!$B$3:$AK$3, 2,B14:AK14)</f>
        <v>0</v>
      </c>
      <c r="AN14" s="190">
        <f>SUMIF('23_Time'!$B$3:$AK$3, 3,B14:AK14)</f>
        <v>0</v>
      </c>
    </row>
    <row r="15" spans="1:40" ht="15" thickBot="1" x14ac:dyDescent="0.35">
      <c r="A15" s="24" t="s">
        <v>61</v>
      </c>
      <c r="B15" s="25">
        <f>B12-B14</f>
        <v>-1227720</v>
      </c>
      <c r="C15" s="25">
        <f t="shared" ref="C15:AK15" si="5">C12-C14</f>
        <v>-1216545.1267379117</v>
      </c>
      <c r="D15" s="25">
        <f t="shared" si="5"/>
        <v>-1205253.180130234</v>
      </c>
      <c r="E15" s="25">
        <f t="shared" si="5"/>
        <v>-1197998.4841253008</v>
      </c>
      <c r="F15" s="25">
        <f t="shared" si="5"/>
        <v>-1198935.3615112193</v>
      </c>
      <c r="G15" s="25">
        <f t="shared" si="5"/>
        <v>-1195551.4553519641</v>
      </c>
      <c r="H15" s="25">
        <f t="shared" si="5"/>
        <v>-1243034.3838739537</v>
      </c>
      <c r="I15" s="25">
        <f t="shared" si="5"/>
        <v>-1322661.0621242654</v>
      </c>
      <c r="J15" s="25">
        <f t="shared" si="5"/>
        <v>-1362778.8034831863</v>
      </c>
      <c r="K15" s="25">
        <f t="shared" si="5"/>
        <v>-1413772.5250511123</v>
      </c>
      <c r="L15" s="25">
        <f t="shared" si="5"/>
        <v>-1478371.0741505881</v>
      </c>
      <c r="M15" s="25">
        <f t="shared" si="5"/>
        <v>-1529017.0986272551</v>
      </c>
      <c r="N15" s="25">
        <f t="shared" si="5"/>
        <v>-1841665.9954692333</v>
      </c>
      <c r="O15" s="25">
        <f t="shared" si="5"/>
        <v>-1792781.600863958</v>
      </c>
      <c r="P15" s="25">
        <f t="shared" si="5"/>
        <v>-1730158.5126325935</v>
      </c>
      <c r="Q15" s="25">
        <f t="shared" si="5"/>
        <v>-1667558.5953220346</v>
      </c>
      <c r="R15" s="25">
        <f t="shared" si="5"/>
        <v>-1618742.077599623</v>
      </c>
      <c r="S15" s="25">
        <f t="shared" si="5"/>
        <v>-1556067.6986500227</v>
      </c>
      <c r="T15" s="25">
        <f t="shared" si="5"/>
        <v>-1493292.8378589253</v>
      </c>
      <c r="U15" s="25">
        <f t="shared" si="5"/>
        <v>-2133001.6996825491</v>
      </c>
      <c r="V15" s="25">
        <f t="shared" si="5"/>
        <v>-2029016.5366395097</v>
      </c>
      <c r="W15" s="25">
        <f t="shared" si="5"/>
        <v>-1973860.8526231952</v>
      </c>
      <c r="X15" s="25">
        <f t="shared" si="5"/>
        <v>-1884693.8536230787</v>
      </c>
      <c r="Y15" s="25">
        <f t="shared" si="5"/>
        <v>-1782057.3081602217</v>
      </c>
      <c r="Z15" s="25">
        <f t="shared" si="5"/>
        <v>-1649747.7140355138</v>
      </c>
      <c r="AA15" s="25">
        <f t="shared" si="5"/>
        <v>-1510592.3199233909</v>
      </c>
      <c r="AB15" s="25">
        <f t="shared" si="5"/>
        <v>-1408184.1192429899</v>
      </c>
      <c r="AC15" s="25">
        <f t="shared" si="5"/>
        <v>-1280380.1802788298</v>
      </c>
      <c r="AD15" s="25">
        <f t="shared" si="5"/>
        <v>-1161556.8884535069</v>
      </c>
      <c r="AE15" s="25">
        <f t="shared" si="5"/>
        <v>-1060742.9660467182</v>
      </c>
      <c r="AF15" s="25">
        <f t="shared" si="5"/>
        <v>-927289.55491081497</v>
      </c>
      <c r="AG15" s="25">
        <f t="shared" si="5"/>
        <v>-811611.33410544042</v>
      </c>
      <c r="AH15" s="25">
        <f t="shared" si="5"/>
        <v>-706745.92280318798</v>
      </c>
      <c r="AI15" s="25">
        <f t="shared" si="5"/>
        <v>-550481.83952379494</v>
      </c>
      <c r="AJ15" s="25">
        <f t="shared" si="5"/>
        <v>-427729.22556135914</v>
      </c>
      <c r="AK15" s="25">
        <f t="shared" si="5"/>
        <v>-269365.14570689626</v>
      </c>
      <c r="AL15" s="26">
        <f>SUMIF('23_Time'!$B$3:$AK$3, 1,B15:AK15)</f>
        <v>-15591638.55516699</v>
      </c>
      <c r="AM15" s="25">
        <f>SUMIF('23_Time'!$B$3:$AK$3, 2,B15:AK15)</f>
        <v>-21502897.569124945</v>
      </c>
      <c r="AN15" s="27">
        <f>SUMIF('23_Time'!$B$3:$AK$3, 3,B15:AK15)</f>
        <v>-11764427.210592443</v>
      </c>
    </row>
    <row r="16" spans="1:40" ht="15" thickBot="1" x14ac:dyDescent="0.35">
      <c r="A16" s="129"/>
      <c r="B16" s="148"/>
      <c r="C16" s="148"/>
      <c r="D16" s="148"/>
      <c r="E16" s="148"/>
      <c r="F16" s="148"/>
      <c r="G16" s="148"/>
      <c r="H16" s="148"/>
      <c r="I16" s="148"/>
      <c r="J16" s="148"/>
      <c r="K16" s="148"/>
      <c r="L16" s="148"/>
      <c r="M16" s="148"/>
      <c r="N16" s="148"/>
      <c r="O16" s="148"/>
      <c r="P16" s="148"/>
      <c r="Q16" s="148"/>
      <c r="R16" s="148"/>
      <c r="S16" s="148"/>
      <c r="T16" s="148"/>
      <c r="U16" s="148"/>
      <c r="V16" s="148"/>
      <c r="W16" s="148"/>
      <c r="X16" s="148"/>
      <c r="Y16" s="148"/>
      <c r="Z16" s="148"/>
      <c r="AA16" s="148"/>
      <c r="AB16" s="148"/>
      <c r="AC16" s="148"/>
      <c r="AD16" s="148"/>
      <c r="AE16" s="148"/>
      <c r="AF16" s="148"/>
      <c r="AG16" s="148"/>
      <c r="AH16" s="148"/>
      <c r="AI16" s="148"/>
      <c r="AJ16" s="148"/>
      <c r="AK16" s="148"/>
      <c r="AL16" s="148"/>
      <c r="AM16" s="148"/>
      <c r="AN16" s="195"/>
    </row>
    <row r="17" spans="1:40" x14ac:dyDescent="0.3">
      <c r="A17" s="129" t="s">
        <v>268</v>
      </c>
      <c r="B17" s="196">
        <f>0</f>
        <v>0</v>
      </c>
      <c r="C17" s="196">
        <f>B19</f>
        <v>1227720</v>
      </c>
      <c r="D17" s="196">
        <f t="shared" ref="D17:AK17" si="6">C19</f>
        <v>2444265.1267379117</v>
      </c>
      <c r="E17" s="196">
        <f t="shared" si="6"/>
        <v>3649518.3068681457</v>
      </c>
      <c r="F17" s="196">
        <f t="shared" si="6"/>
        <v>4847516.7909934465</v>
      </c>
      <c r="G17" s="196">
        <f t="shared" si="6"/>
        <v>6046452.1525046658</v>
      </c>
      <c r="H17" s="196">
        <f t="shared" si="6"/>
        <v>7242003.6078566294</v>
      </c>
      <c r="I17" s="196">
        <f t="shared" si="6"/>
        <v>8485037.9917305838</v>
      </c>
      <c r="J17" s="196">
        <f t="shared" si="6"/>
        <v>9807699.0538548492</v>
      </c>
      <c r="K17" s="196">
        <f t="shared" si="6"/>
        <v>11170477.857338035</v>
      </c>
      <c r="L17" s="196">
        <f t="shared" si="6"/>
        <v>12584250.382389147</v>
      </c>
      <c r="M17" s="196">
        <f t="shared" si="6"/>
        <v>14062621.456539735</v>
      </c>
      <c r="N17" s="196">
        <f t="shared" si="6"/>
        <v>15591638.55516699</v>
      </c>
      <c r="O17" s="196">
        <f t="shared" si="6"/>
        <v>17433304.550636224</v>
      </c>
      <c r="P17" s="196">
        <f t="shared" si="6"/>
        <v>19226086.151500184</v>
      </c>
      <c r="Q17" s="196">
        <f t="shared" si="6"/>
        <v>20956244.664132778</v>
      </c>
      <c r="R17" s="196">
        <f t="shared" si="6"/>
        <v>22623803.259454813</v>
      </c>
      <c r="S17" s="196">
        <f t="shared" si="6"/>
        <v>24242545.337054435</v>
      </c>
      <c r="T17" s="196">
        <f t="shared" si="6"/>
        <v>25798613.035704456</v>
      </c>
      <c r="U17" s="196">
        <f t="shared" si="6"/>
        <v>27291905.873563383</v>
      </c>
      <c r="V17" s="196">
        <f t="shared" si="6"/>
        <v>29424907.573245931</v>
      </c>
      <c r="W17" s="196">
        <f t="shared" si="6"/>
        <v>31453924.109885439</v>
      </c>
      <c r="X17" s="196">
        <f t="shared" si="6"/>
        <v>33427784.962508634</v>
      </c>
      <c r="Y17" s="196">
        <f t="shared" si="6"/>
        <v>35312478.816131711</v>
      </c>
      <c r="Z17" s="196">
        <f t="shared" si="6"/>
        <v>37094536.124291934</v>
      </c>
      <c r="AA17" s="196">
        <f t="shared" si="6"/>
        <v>38744283.838327445</v>
      </c>
      <c r="AB17" s="196">
        <f t="shared" si="6"/>
        <v>40254876.158250839</v>
      </c>
      <c r="AC17" s="196">
        <f t="shared" si="6"/>
        <v>41663060.277493827</v>
      </c>
      <c r="AD17" s="196">
        <f t="shared" si="6"/>
        <v>42943440.457772657</v>
      </c>
      <c r="AE17" s="196">
        <f t="shared" si="6"/>
        <v>44104997.346226163</v>
      </c>
      <c r="AF17" s="196">
        <f t="shared" si="6"/>
        <v>45165740.312272884</v>
      </c>
      <c r="AG17" s="196">
        <f t="shared" si="6"/>
        <v>46093029.8671837</v>
      </c>
      <c r="AH17" s="196">
        <f t="shared" si="6"/>
        <v>46904641.20128914</v>
      </c>
      <c r="AI17" s="196">
        <f t="shared" si="6"/>
        <v>47611387.124092326</v>
      </c>
      <c r="AJ17" s="196">
        <f t="shared" si="6"/>
        <v>48161868.963616118</v>
      </c>
      <c r="AK17" s="196">
        <f t="shared" si="6"/>
        <v>48589598.189177476</v>
      </c>
      <c r="AL17" s="197">
        <f>B17</f>
        <v>0</v>
      </c>
      <c r="AM17" s="196">
        <f>N17</f>
        <v>15591638.55516699</v>
      </c>
      <c r="AN17" s="198">
        <f>Z17</f>
        <v>37094536.124291934</v>
      </c>
    </row>
    <row r="18" spans="1:40" x14ac:dyDescent="0.3">
      <c r="A18" s="127" t="s">
        <v>269</v>
      </c>
      <c r="B18" s="199">
        <f>MIN(B17,'37_Inputs_Tax'!$B$3*MAX(0,B12))</f>
        <v>0</v>
      </c>
      <c r="C18" s="199">
        <f>MIN(C17,'37_Inputs_Tax'!$B$3*MAX(0,C12))</f>
        <v>0</v>
      </c>
      <c r="D18" s="199">
        <f>MIN(D17,'37_Inputs_Tax'!$B$3*MAX(0,D12))</f>
        <v>0</v>
      </c>
      <c r="E18" s="199">
        <f>MIN(E17,'37_Inputs_Tax'!$B$3*MAX(0,E12))</f>
        <v>0</v>
      </c>
      <c r="F18" s="199">
        <f>MIN(F17,'37_Inputs_Tax'!$B$3*MAX(0,F12))</f>
        <v>0</v>
      </c>
      <c r="G18" s="199">
        <f>MIN(G17,'37_Inputs_Tax'!$B$3*MAX(0,G12))</f>
        <v>0</v>
      </c>
      <c r="H18" s="199">
        <f>MIN(H17,'37_Inputs_Tax'!$B$3*MAX(0,H12))</f>
        <v>0</v>
      </c>
      <c r="I18" s="199">
        <f>MIN(I17,'37_Inputs_Tax'!$B$3*MAX(0,I12))</f>
        <v>0</v>
      </c>
      <c r="J18" s="199">
        <f>MIN(J17,'37_Inputs_Tax'!$B$3*MAX(0,J12))</f>
        <v>0</v>
      </c>
      <c r="K18" s="199">
        <f>MIN(K17,'37_Inputs_Tax'!$B$3*MAX(0,K12))</f>
        <v>0</v>
      </c>
      <c r="L18" s="199">
        <f>MIN(L17,'37_Inputs_Tax'!$B$3*MAX(0,L12))</f>
        <v>0</v>
      </c>
      <c r="M18" s="199">
        <f>MIN(M17,'37_Inputs_Tax'!$B$3*MAX(0,M12))</f>
        <v>0</v>
      </c>
      <c r="N18" s="199">
        <f>MIN(N17,'37_Inputs_Tax'!$B$3*MAX(0,N12))</f>
        <v>0</v>
      </c>
      <c r="O18" s="199">
        <f>MIN(O17,'37_Inputs_Tax'!$B$3*MAX(0,O12))</f>
        <v>0</v>
      </c>
      <c r="P18" s="199">
        <f>MIN(P17,'37_Inputs_Tax'!$B$3*MAX(0,P12))</f>
        <v>0</v>
      </c>
      <c r="Q18" s="199">
        <f>MIN(Q17,'37_Inputs_Tax'!$B$3*MAX(0,Q12))</f>
        <v>0</v>
      </c>
      <c r="R18" s="199">
        <f>MIN(R17,'37_Inputs_Tax'!$B$3*MAX(0,R12))</f>
        <v>0</v>
      </c>
      <c r="S18" s="199">
        <f>MIN(S17,'37_Inputs_Tax'!$B$3*MAX(0,S12))</f>
        <v>0</v>
      </c>
      <c r="T18" s="199">
        <f>MIN(T17,'37_Inputs_Tax'!$B$3*MAX(0,T12))</f>
        <v>0</v>
      </c>
      <c r="U18" s="199">
        <f>MIN(U17,'37_Inputs_Tax'!$B$3*MAX(0,U12))</f>
        <v>0</v>
      </c>
      <c r="V18" s="199">
        <f>MIN(V17,'37_Inputs_Tax'!$B$3*MAX(0,V12))</f>
        <v>0</v>
      </c>
      <c r="W18" s="199">
        <f>MIN(W17,'37_Inputs_Tax'!$B$3*MAX(0,W12))</f>
        <v>0</v>
      </c>
      <c r="X18" s="199">
        <f>MIN(X17,'37_Inputs_Tax'!$B$3*MAX(0,X12))</f>
        <v>0</v>
      </c>
      <c r="Y18" s="199">
        <f>MIN(Y17,'37_Inputs_Tax'!$B$3*MAX(0,Y12))</f>
        <v>0</v>
      </c>
      <c r="Z18" s="199">
        <f>MIN(Z17,'37_Inputs_Tax'!$B$3*MAX(0,Z12))</f>
        <v>0</v>
      </c>
      <c r="AA18" s="199">
        <f>MIN(AA17,'37_Inputs_Tax'!$B$3*MAX(0,AA12))</f>
        <v>0</v>
      </c>
      <c r="AB18" s="199">
        <f>MIN(AB17,'37_Inputs_Tax'!$B$3*MAX(0,AB12))</f>
        <v>0</v>
      </c>
      <c r="AC18" s="199">
        <f>MIN(AC17,'37_Inputs_Tax'!$B$3*MAX(0,AC12))</f>
        <v>0</v>
      </c>
      <c r="AD18" s="199">
        <f>MIN(AD17,'37_Inputs_Tax'!$B$3*MAX(0,AD12))</f>
        <v>0</v>
      </c>
      <c r="AE18" s="199">
        <f>MIN(AE17,'37_Inputs_Tax'!$B$3*MAX(0,AE12))</f>
        <v>0</v>
      </c>
      <c r="AF18" s="199">
        <f>MIN(AF17,'37_Inputs_Tax'!$B$3*MAX(0,AF12))</f>
        <v>0</v>
      </c>
      <c r="AG18" s="199">
        <f>MIN(AG17,'37_Inputs_Tax'!$B$3*MAX(0,AG12))</f>
        <v>0</v>
      </c>
      <c r="AH18" s="199">
        <f>MIN(AH17,'37_Inputs_Tax'!$B$3*MAX(0,AH12))</f>
        <v>0</v>
      </c>
      <c r="AI18" s="199">
        <f>MIN(AI17,'37_Inputs_Tax'!$B$3*MAX(0,AI12))</f>
        <v>0</v>
      </c>
      <c r="AJ18" s="199">
        <f>MIN(AJ17,'37_Inputs_Tax'!$B$3*MAX(0,AJ12))</f>
        <v>0</v>
      </c>
      <c r="AK18" s="199">
        <f>MIN(AK17,'37_Inputs_Tax'!$B$3*MAX(0,AK12))</f>
        <v>0</v>
      </c>
      <c r="AL18" s="200">
        <f>SUMIF('23_Time'!$B$3:$AK$3, 1, B18:AK18)</f>
        <v>0</v>
      </c>
      <c r="AM18" s="199">
        <f>SUMIF('23_Time'!$B$3:$AK$3, 2, B18:AK18)</f>
        <v>0</v>
      </c>
      <c r="AN18" s="201">
        <f>SUMIF('23_Time'!$B$3:$AK$3, 3, B18:AK18)</f>
        <v>0</v>
      </c>
    </row>
    <row r="19" spans="1:40" ht="15" thickBot="1" x14ac:dyDescent="0.35">
      <c r="A19" s="24" t="s">
        <v>270</v>
      </c>
      <c r="B19" s="12">
        <f>B17-B18+MAX(0,-B12)</f>
        <v>1227720</v>
      </c>
      <c r="C19" s="12">
        <f>C17-C18+MAX(0,-C12)</f>
        <v>2444265.1267379117</v>
      </c>
      <c r="D19" s="12">
        <f t="shared" ref="D19:AK19" si="7">D17-D18+MAX(0,-D12)</f>
        <v>3649518.3068681457</v>
      </c>
      <c r="E19" s="12">
        <f t="shared" si="7"/>
        <v>4847516.7909934465</v>
      </c>
      <c r="F19" s="12">
        <f t="shared" si="7"/>
        <v>6046452.1525046658</v>
      </c>
      <c r="G19" s="12">
        <f t="shared" si="7"/>
        <v>7242003.6078566294</v>
      </c>
      <c r="H19" s="12">
        <f t="shared" si="7"/>
        <v>8485037.9917305838</v>
      </c>
      <c r="I19" s="12">
        <f t="shared" si="7"/>
        <v>9807699.0538548492</v>
      </c>
      <c r="J19" s="12">
        <f t="shared" si="7"/>
        <v>11170477.857338035</v>
      </c>
      <c r="K19" s="12">
        <f t="shared" si="7"/>
        <v>12584250.382389147</v>
      </c>
      <c r="L19" s="12">
        <f t="shared" si="7"/>
        <v>14062621.456539735</v>
      </c>
      <c r="M19" s="12">
        <f t="shared" si="7"/>
        <v>15591638.55516699</v>
      </c>
      <c r="N19" s="12">
        <f t="shared" si="7"/>
        <v>17433304.550636224</v>
      </c>
      <c r="O19" s="12">
        <f t="shared" si="7"/>
        <v>19226086.151500184</v>
      </c>
      <c r="P19" s="12">
        <f t="shared" si="7"/>
        <v>20956244.664132778</v>
      </c>
      <c r="Q19" s="12">
        <f t="shared" si="7"/>
        <v>22623803.259454813</v>
      </c>
      <c r="R19" s="12">
        <f t="shared" si="7"/>
        <v>24242545.337054435</v>
      </c>
      <c r="S19" s="12">
        <f t="shared" si="7"/>
        <v>25798613.035704456</v>
      </c>
      <c r="T19" s="12">
        <f t="shared" si="7"/>
        <v>27291905.873563383</v>
      </c>
      <c r="U19" s="12">
        <f t="shared" si="7"/>
        <v>29424907.573245931</v>
      </c>
      <c r="V19" s="12">
        <f t="shared" si="7"/>
        <v>31453924.109885439</v>
      </c>
      <c r="W19" s="12">
        <f t="shared" si="7"/>
        <v>33427784.962508634</v>
      </c>
      <c r="X19" s="12">
        <f t="shared" si="7"/>
        <v>35312478.816131711</v>
      </c>
      <c r="Y19" s="12">
        <f t="shared" si="7"/>
        <v>37094536.124291934</v>
      </c>
      <c r="Z19" s="12">
        <f t="shared" si="7"/>
        <v>38744283.838327445</v>
      </c>
      <c r="AA19" s="12">
        <f t="shared" si="7"/>
        <v>40254876.158250839</v>
      </c>
      <c r="AB19" s="12">
        <f t="shared" si="7"/>
        <v>41663060.277493827</v>
      </c>
      <c r="AC19" s="12">
        <f t="shared" si="7"/>
        <v>42943440.457772657</v>
      </c>
      <c r="AD19" s="12">
        <f t="shared" si="7"/>
        <v>44104997.346226163</v>
      </c>
      <c r="AE19" s="12">
        <f t="shared" si="7"/>
        <v>45165740.312272884</v>
      </c>
      <c r="AF19" s="12">
        <f t="shared" si="7"/>
        <v>46093029.8671837</v>
      </c>
      <c r="AG19" s="12">
        <f t="shared" si="7"/>
        <v>46904641.20128914</v>
      </c>
      <c r="AH19" s="12">
        <f t="shared" si="7"/>
        <v>47611387.124092326</v>
      </c>
      <c r="AI19" s="12">
        <f t="shared" si="7"/>
        <v>48161868.963616118</v>
      </c>
      <c r="AJ19" s="12">
        <f t="shared" si="7"/>
        <v>48589598.189177476</v>
      </c>
      <c r="AK19" s="12">
        <f t="shared" si="7"/>
        <v>48858963.334884375</v>
      </c>
      <c r="AL19" s="20">
        <f>M19</f>
        <v>15591638.55516699</v>
      </c>
      <c r="AM19" s="12">
        <f>Y19</f>
        <v>37094536.124291934</v>
      </c>
      <c r="AN19" s="13">
        <f>AK19</f>
        <v>48858963.334884375</v>
      </c>
    </row>
    <row r="20" spans="1:40" x14ac:dyDescent="0.3">
      <c r="B20" s="5"/>
      <c r="C20" s="5"/>
      <c r="D20" s="5"/>
      <c r="E20" s="5"/>
      <c r="F20" s="5"/>
      <c r="G20" s="5"/>
      <c r="H20" s="5"/>
      <c r="I20" s="5"/>
      <c r="J20" s="5"/>
      <c r="K20" s="5"/>
      <c r="L20" s="5"/>
      <c r="M20" s="5"/>
      <c r="N20" s="5"/>
      <c r="O20" s="5"/>
      <c r="P20" s="5"/>
      <c r="Q20" s="5"/>
      <c r="R20" s="5"/>
      <c r="S20" s="5"/>
      <c r="T20" s="5"/>
      <c r="U20" s="5"/>
      <c r="V20" s="5"/>
      <c r="W20" s="5"/>
      <c r="X20" s="5"/>
      <c r="Y20" s="5"/>
      <c r="Z20" s="5"/>
      <c r="AA20" s="5"/>
      <c r="AB20" s="5"/>
      <c r="AC20" s="5"/>
      <c r="AD20" s="5"/>
      <c r="AE20" s="5"/>
      <c r="AF20" s="5"/>
      <c r="AG20" s="5"/>
      <c r="AH20" s="5"/>
      <c r="AI20" s="5"/>
      <c r="AJ20" s="5"/>
      <c r="AK20" s="5"/>
      <c r="AL20" s="5"/>
      <c r="AM20" s="5"/>
      <c r="AN20" s="5"/>
    </row>
    <row r="21" spans="1:40" x14ac:dyDescent="0.3">
      <c r="B21" s="5"/>
      <c r="C21" s="5"/>
      <c r="D21" s="5"/>
      <c r="E21" s="5"/>
      <c r="F21" s="5"/>
      <c r="G21" s="5"/>
      <c r="H21" s="5"/>
      <c r="I21" s="5"/>
      <c r="J21" s="5"/>
      <c r="K21" s="5"/>
      <c r="L21" s="5"/>
      <c r="M21" s="5"/>
      <c r="N21" s="5"/>
      <c r="O21" s="5"/>
      <c r="P21" s="5"/>
      <c r="Q21" s="5"/>
      <c r="R21" s="5"/>
      <c r="S21" s="5"/>
      <c r="T21" s="5"/>
      <c r="U21" s="5"/>
      <c r="V21" s="5"/>
      <c r="W21" s="5"/>
      <c r="X21" s="5"/>
      <c r="Y21" s="5"/>
      <c r="Z21" s="5"/>
      <c r="AA21" s="5"/>
      <c r="AB21" s="5"/>
      <c r="AC21" s="5"/>
      <c r="AD21" s="5"/>
      <c r="AE21" s="5"/>
      <c r="AF21" s="5"/>
      <c r="AG21" s="5"/>
      <c r="AH21" s="5"/>
      <c r="AI21" s="5"/>
      <c r="AJ21" s="5"/>
      <c r="AK21" s="5"/>
      <c r="AL21" s="5"/>
      <c r="AM21" s="5"/>
      <c r="AN21" s="5"/>
    </row>
    <row r="22" spans="1:40" x14ac:dyDescent="0.3">
      <c r="B22" s="5"/>
      <c r="C22" s="5"/>
      <c r="D22" s="5"/>
      <c r="E22" s="5"/>
      <c r="F22" s="5"/>
      <c r="G22" s="5"/>
      <c r="H22" s="5"/>
      <c r="I22" s="5"/>
      <c r="J22" s="5"/>
      <c r="K22" s="5"/>
      <c r="L22" s="5"/>
      <c r="M22" s="5"/>
      <c r="N22" s="5"/>
      <c r="O22" s="5"/>
      <c r="P22" s="5"/>
      <c r="Q22" s="5"/>
      <c r="R22" s="5"/>
      <c r="S22" s="5"/>
      <c r="T22" s="5"/>
      <c r="U22" s="5"/>
      <c r="V22" s="5"/>
      <c r="W22" s="5"/>
      <c r="X22" s="5"/>
      <c r="Y22" s="5"/>
      <c r="Z22" s="5"/>
      <c r="AA22" s="5"/>
      <c r="AB22" s="5"/>
      <c r="AC22" s="5"/>
      <c r="AD22" s="5"/>
      <c r="AE22" s="5"/>
      <c r="AF22" s="5"/>
      <c r="AG22" s="5"/>
      <c r="AH22" s="5"/>
      <c r="AI22" s="5"/>
      <c r="AJ22" s="5"/>
      <c r="AK22" s="5"/>
      <c r="AL22" s="5"/>
      <c r="AM22" s="5"/>
      <c r="AN22" s="5"/>
    </row>
    <row r="23" spans="1:40" x14ac:dyDescent="0.3">
      <c r="B23" s="5"/>
      <c r="C23" s="5"/>
      <c r="D23" s="5"/>
      <c r="E23" s="5"/>
      <c r="F23" s="5"/>
      <c r="G23" s="5"/>
      <c r="H23" s="5"/>
      <c r="I23" s="5"/>
      <c r="J23" s="5"/>
      <c r="K23" s="5"/>
      <c r="L23" s="5"/>
      <c r="M23" s="5"/>
      <c r="N23" s="5"/>
      <c r="O23" s="5"/>
      <c r="P23" s="5"/>
      <c r="Q23" s="5"/>
      <c r="R23" s="5"/>
      <c r="S23" s="5"/>
      <c r="T23" s="5"/>
      <c r="U23" s="5"/>
      <c r="V23" s="5"/>
      <c r="W23" s="5"/>
      <c r="X23" s="5"/>
      <c r="Y23" s="5"/>
      <c r="Z23" s="5"/>
      <c r="AA23" s="5"/>
      <c r="AB23" s="5"/>
      <c r="AC23" s="5"/>
      <c r="AD23" s="5"/>
      <c r="AE23" s="5"/>
      <c r="AF23" s="5"/>
      <c r="AG23" s="5"/>
      <c r="AH23" s="5"/>
      <c r="AI23" s="5"/>
      <c r="AJ23" s="5"/>
      <c r="AK23" s="5"/>
      <c r="AL23" s="5"/>
      <c r="AM23" s="5"/>
      <c r="AN23" s="5"/>
    </row>
    <row r="24" spans="1:40" x14ac:dyDescent="0.3">
      <c r="B24" s="5"/>
      <c r="C24" s="5"/>
      <c r="D24" s="5"/>
      <c r="E24" s="5"/>
      <c r="F24" s="5"/>
      <c r="G24" s="5"/>
      <c r="H24" s="5"/>
      <c r="I24" s="5"/>
      <c r="J24" s="5"/>
      <c r="K24" s="5"/>
      <c r="L24" s="5"/>
      <c r="M24" s="5"/>
      <c r="N24" s="5"/>
      <c r="O24" s="5"/>
      <c r="P24" s="5"/>
      <c r="Q24" s="5"/>
      <c r="R24" s="5"/>
      <c r="S24" s="5"/>
      <c r="T24" s="5"/>
      <c r="U24" s="5"/>
      <c r="V24" s="5"/>
      <c r="W24" s="5"/>
      <c r="X24" s="5"/>
      <c r="Y24" s="5"/>
      <c r="Z24" s="5"/>
      <c r="AA24" s="5"/>
      <c r="AB24" s="5"/>
      <c r="AC24" s="5"/>
      <c r="AD24" s="5"/>
      <c r="AE24" s="5"/>
      <c r="AF24" s="5"/>
      <c r="AG24" s="5"/>
      <c r="AH24" s="5"/>
      <c r="AI24" s="5"/>
      <c r="AJ24" s="5"/>
      <c r="AK24" s="5"/>
      <c r="AL24" s="5"/>
      <c r="AM24" s="5"/>
      <c r="AN24" s="5"/>
    </row>
    <row r="25" spans="1:40" x14ac:dyDescent="0.3">
      <c r="B25" s="5"/>
      <c r="C25" s="5"/>
      <c r="D25" s="5"/>
      <c r="E25" s="5"/>
      <c r="F25" s="5"/>
      <c r="G25" s="5"/>
      <c r="H25" s="5"/>
      <c r="I25" s="5"/>
      <c r="J25" s="5"/>
      <c r="K25" s="5"/>
      <c r="L25" s="5"/>
      <c r="M25" s="5"/>
      <c r="N25" s="5"/>
      <c r="O25" s="5"/>
      <c r="P25" s="5"/>
      <c r="Q25" s="5"/>
      <c r="R25" s="5"/>
      <c r="S25" s="5"/>
      <c r="T25" s="5"/>
      <c r="U25" s="5"/>
      <c r="V25" s="5"/>
      <c r="W25" s="5"/>
      <c r="X25" s="5"/>
      <c r="Y25" s="5"/>
      <c r="Z25" s="5"/>
      <c r="AA25" s="5"/>
      <c r="AB25" s="5"/>
      <c r="AC25" s="5"/>
      <c r="AD25" s="5"/>
      <c r="AE25" s="5"/>
      <c r="AF25" s="5"/>
      <c r="AG25" s="5"/>
      <c r="AH25" s="5"/>
      <c r="AI25" s="5"/>
      <c r="AJ25" s="5"/>
      <c r="AK25" s="5"/>
      <c r="AL25" s="5"/>
      <c r="AM25" s="5"/>
      <c r="AN25" s="5"/>
    </row>
    <row r="26" spans="1:40" x14ac:dyDescent="0.3">
      <c r="B26" s="5"/>
      <c r="C26" s="5"/>
      <c r="D26" s="5"/>
      <c r="E26" s="5"/>
      <c r="F26" s="5"/>
      <c r="G26" s="5"/>
      <c r="H26" s="5"/>
      <c r="I26" s="5"/>
      <c r="J26" s="5"/>
      <c r="K26" s="5"/>
      <c r="L26" s="5"/>
      <c r="M26" s="5"/>
      <c r="N26" s="5"/>
      <c r="O26" s="5"/>
      <c r="P26" s="5"/>
      <c r="Q26" s="5"/>
      <c r="R26" s="5"/>
      <c r="S26" s="5"/>
      <c r="T26" s="5"/>
      <c r="U26" s="5"/>
      <c r="V26" s="5"/>
      <c r="W26" s="5"/>
      <c r="X26" s="5"/>
      <c r="Y26" s="5"/>
      <c r="Z26" s="5"/>
      <c r="AA26" s="5"/>
      <c r="AB26" s="5"/>
      <c r="AC26" s="5"/>
      <c r="AD26" s="5"/>
      <c r="AE26" s="5"/>
      <c r="AF26" s="5"/>
      <c r="AG26" s="5"/>
      <c r="AH26" s="5"/>
      <c r="AI26" s="5"/>
      <c r="AJ26" s="5"/>
      <c r="AK26" s="5"/>
      <c r="AL26" s="5"/>
      <c r="AM26" s="5"/>
      <c r="AN26" s="5"/>
    </row>
    <row r="27" spans="1:40" x14ac:dyDescent="0.3">
      <c r="B27" s="5"/>
      <c r="C27" s="5"/>
      <c r="D27" s="5"/>
      <c r="E27" s="5"/>
      <c r="F27" s="5"/>
      <c r="G27" s="5"/>
      <c r="H27" s="5"/>
      <c r="I27" s="5"/>
      <c r="J27" s="5"/>
      <c r="K27" s="5"/>
      <c r="L27" s="5"/>
      <c r="M27" s="5"/>
      <c r="N27" s="5"/>
      <c r="O27" s="5"/>
      <c r="P27" s="5"/>
      <c r="Q27" s="5"/>
      <c r="R27" s="5"/>
      <c r="S27" s="5"/>
      <c r="T27" s="5"/>
      <c r="U27" s="5"/>
      <c r="V27" s="5"/>
      <c r="W27" s="5"/>
      <c r="X27" s="5"/>
      <c r="Y27" s="5"/>
      <c r="Z27" s="5"/>
      <c r="AA27" s="5"/>
      <c r="AB27" s="5"/>
      <c r="AC27" s="5"/>
      <c r="AD27" s="5"/>
      <c r="AE27" s="5"/>
      <c r="AF27" s="5"/>
      <c r="AG27" s="5"/>
      <c r="AH27" s="5"/>
      <c r="AI27" s="5"/>
      <c r="AJ27" s="5"/>
      <c r="AK27" s="5"/>
      <c r="AL27" s="5"/>
      <c r="AM27" s="5"/>
      <c r="AN27" s="5"/>
    </row>
    <row r="28" spans="1:40" x14ac:dyDescent="0.3">
      <c r="B28" s="5"/>
      <c r="C28" s="5"/>
      <c r="D28" s="5"/>
      <c r="E28" s="5"/>
      <c r="F28" s="5"/>
      <c r="G28" s="5"/>
      <c r="H28" s="5"/>
      <c r="I28" s="5"/>
      <c r="J28" s="5"/>
      <c r="K28" s="5"/>
      <c r="L28" s="5"/>
      <c r="M28" s="5"/>
      <c r="N28" s="5"/>
      <c r="O28" s="5"/>
      <c r="P28" s="5"/>
      <c r="Q28" s="5"/>
      <c r="R28" s="5"/>
      <c r="S28" s="5"/>
      <c r="T28" s="5"/>
      <c r="U28" s="5"/>
      <c r="V28" s="5"/>
      <c r="W28" s="5"/>
      <c r="X28" s="5"/>
      <c r="Y28" s="5"/>
      <c r="Z28" s="5"/>
      <c r="AA28" s="5"/>
      <c r="AB28" s="5"/>
      <c r="AC28" s="5"/>
      <c r="AD28" s="5"/>
      <c r="AE28" s="5"/>
      <c r="AF28" s="5"/>
      <c r="AG28" s="5"/>
      <c r="AH28" s="5"/>
      <c r="AI28" s="5"/>
      <c r="AJ28" s="5"/>
      <c r="AK28" s="5"/>
      <c r="AL28" s="5"/>
      <c r="AM28" s="5"/>
      <c r="AN28" s="5"/>
    </row>
    <row r="29" spans="1:40" x14ac:dyDescent="0.3">
      <c r="B29" s="5"/>
      <c r="C29" s="5"/>
      <c r="D29" s="5"/>
      <c r="E29" s="5"/>
      <c r="F29" s="5"/>
      <c r="G29" s="5"/>
      <c r="H29" s="5"/>
      <c r="I29" s="5"/>
      <c r="J29" s="5"/>
      <c r="K29" s="5"/>
      <c r="L29" s="5"/>
      <c r="M29" s="5"/>
      <c r="N29" s="5"/>
      <c r="O29" s="5"/>
      <c r="P29" s="5"/>
      <c r="Q29" s="5"/>
      <c r="R29" s="5"/>
      <c r="S29" s="5"/>
      <c r="T29" s="5"/>
      <c r="U29" s="5"/>
      <c r="V29" s="5"/>
      <c r="W29" s="5"/>
      <c r="X29" s="5"/>
      <c r="Y29" s="5"/>
      <c r="Z29" s="5"/>
      <c r="AA29" s="5"/>
      <c r="AB29" s="5"/>
      <c r="AC29" s="5"/>
      <c r="AD29" s="5"/>
      <c r="AE29" s="5"/>
      <c r="AF29" s="5"/>
      <c r="AG29" s="5"/>
      <c r="AH29" s="5"/>
      <c r="AI29" s="5"/>
      <c r="AJ29" s="5"/>
      <c r="AK29" s="5"/>
      <c r="AL29" s="5"/>
      <c r="AM29" s="5"/>
      <c r="AN29" s="5"/>
    </row>
    <row r="30" spans="1:40" x14ac:dyDescent="0.3">
      <c r="B30" s="5"/>
      <c r="C30" s="5"/>
      <c r="D30" s="5"/>
      <c r="E30" s="5"/>
      <c r="F30" s="5"/>
      <c r="G30" s="5"/>
      <c r="H30" s="5"/>
      <c r="I30" s="5"/>
      <c r="J30" s="5"/>
      <c r="K30" s="5"/>
      <c r="L30" s="5"/>
      <c r="M30" s="5"/>
      <c r="N30" s="5"/>
      <c r="O30" s="5"/>
      <c r="P30" s="5"/>
      <c r="Q30" s="5"/>
      <c r="R30" s="5"/>
      <c r="S30" s="5"/>
      <c r="T30" s="5"/>
      <c r="U30" s="5"/>
      <c r="V30" s="5"/>
      <c r="W30" s="5"/>
      <c r="X30" s="5"/>
      <c r="Y30" s="5"/>
      <c r="Z30" s="5"/>
      <c r="AA30" s="5"/>
      <c r="AB30" s="5"/>
      <c r="AC30" s="5"/>
      <c r="AD30" s="5"/>
      <c r="AE30" s="5"/>
      <c r="AF30" s="5"/>
      <c r="AG30" s="5"/>
      <c r="AH30" s="5"/>
      <c r="AI30" s="5"/>
      <c r="AJ30" s="5"/>
      <c r="AK30" s="5"/>
      <c r="AL30" s="5"/>
      <c r="AM30" s="5"/>
      <c r="AN30" s="5"/>
    </row>
    <row r="31" spans="1:40" x14ac:dyDescent="0.3">
      <c r="B31" s="5"/>
      <c r="C31" s="5"/>
      <c r="D31" s="5"/>
      <c r="E31" s="5"/>
      <c r="F31" s="5"/>
      <c r="G31" s="5"/>
      <c r="H31" s="5"/>
      <c r="I31" s="5"/>
      <c r="J31" s="5"/>
      <c r="K31" s="5"/>
      <c r="L31" s="5"/>
      <c r="M31" s="5"/>
      <c r="N31" s="5"/>
      <c r="O31" s="5"/>
      <c r="P31" s="5"/>
      <c r="Q31" s="5"/>
      <c r="R31" s="5"/>
      <c r="S31" s="5"/>
      <c r="T31" s="5"/>
      <c r="U31" s="5"/>
      <c r="V31" s="5"/>
      <c r="W31" s="5"/>
      <c r="X31" s="5"/>
      <c r="Y31" s="5"/>
      <c r="Z31" s="5"/>
      <c r="AA31" s="5"/>
      <c r="AB31" s="5"/>
      <c r="AC31" s="5"/>
      <c r="AD31" s="5"/>
      <c r="AE31" s="5"/>
      <c r="AF31" s="5"/>
      <c r="AG31" s="5"/>
      <c r="AH31" s="5"/>
      <c r="AI31" s="5"/>
      <c r="AJ31" s="5"/>
      <c r="AK31" s="5"/>
      <c r="AL31" s="5"/>
      <c r="AM31" s="5"/>
      <c r="AN31" s="5"/>
    </row>
    <row r="32" spans="1:40" x14ac:dyDescent="0.3">
      <c r="B32" s="5"/>
      <c r="C32" s="5"/>
      <c r="D32" s="5"/>
      <c r="E32" s="5"/>
      <c r="F32" s="5"/>
      <c r="G32" s="5"/>
      <c r="H32" s="5"/>
      <c r="I32" s="5"/>
      <c r="J32" s="5"/>
      <c r="K32" s="5"/>
      <c r="L32" s="5"/>
      <c r="M32" s="5"/>
      <c r="N32" s="5"/>
      <c r="O32" s="5"/>
      <c r="P32" s="5"/>
      <c r="Q32" s="5"/>
      <c r="R32" s="5"/>
      <c r="S32" s="5"/>
      <c r="T32" s="5"/>
      <c r="U32" s="5"/>
      <c r="V32" s="5"/>
      <c r="W32" s="5"/>
      <c r="X32" s="5"/>
      <c r="Y32" s="5"/>
      <c r="Z32" s="5"/>
      <c r="AA32" s="5"/>
      <c r="AB32" s="5"/>
      <c r="AC32" s="5"/>
      <c r="AD32" s="5"/>
      <c r="AE32" s="5"/>
      <c r="AF32" s="5"/>
      <c r="AG32" s="5"/>
      <c r="AH32" s="5"/>
      <c r="AI32" s="5"/>
      <c r="AJ32" s="5"/>
      <c r="AK32" s="5"/>
      <c r="AL32" s="5"/>
      <c r="AM32" s="5"/>
      <c r="AN32" s="5"/>
    </row>
    <row r="33" spans="2:40" x14ac:dyDescent="0.3">
      <c r="B33" s="5"/>
      <c r="C33" s="5"/>
      <c r="D33" s="5"/>
      <c r="E33" s="5"/>
      <c r="F33" s="5"/>
      <c r="G33" s="5"/>
      <c r="H33" s="5"/>
      <c r="I33" s="5"/>
      <c r="J33" s="5"/>
      <c r="K33" s="5"/>
      <c r="L33" s="5"/>
      <c r="M33" s="5"/>
      <c r="N33" s="5"/>
      <c r="O33" s="5"/>
      <c r="P33" s="5"/>
      <c r="Q33" s="5"/>
      <c r="R33" s="5"/>
      <c r="S33" s="5"/>
      <c r="T33" s="5"/>
      <c r="U33" s="5"/>
      <c r="V33" s="5"/>
      <c r="W33" s="5"/>
      <c r="X33" s="5"/>
      <c r="Y33" s="5"/>
      <c r="Z33" s="5"/>
      <c r="AA33" s="5"/>
      <c r="AB33" s="5"/>
      <c r="AC33" s="5"/>
      <c r="AD33" s="5"/>
      <c r="AE33" s="5"/>
      <c r="AF33" s="5"/>
      <c r="AG33" s="5"/>
      <c r="AH33" s="5"/>
      <c r="AI33" s="5"/>
      <c r="AJ33" s="5"/>
      <c r="AK33" s="5"/>
      <c r="AL33" s="5"/>
      <c r="AM33" s="5"/>
      <c r="AN33" s="5"/>
    </row>
    <row r="34" spans="2:40" x14ac:dyDescent="0.3">
      <c r="B34" s="5"/>
      <c r="C34" s="5"/>
      <c r="D34" s="5"/>
      <c r="E34" s="5"/>
      <c r="F34" s="5"/>
      <c r="G34" s="5"/>
      <c r="H34" s="5"/>
      <c r="I34" s="5"/>
      <c r="J34" s="5"/>
      <c r="K34" s="5"/>
      <c r="L34" s="5"/>
      <c r="M34" s="5"/>
      <c r="N34" s="5"/>
      <c r="O34" s="5"/>
      <c r="P34" s="5"/>
      <c r="Q34" s="5"/>
      <c r="R34" s="5"/>
      <c r="S34" s="5"/>
      <c r="T34" s="5"/>
      <c r="U34" s="5"/>
      <c r="V34" s="5"/>
      <c r="W34" s="5"/>
      <c r="X34" s="5"/>
      <c r="Y34" s="5"/>
      <c r="Z34" s="5"/>
      <c r="AA34" s="5"/>
      <c r="AB34" s="5"/>
      <c r="AC34" s="5"/>
      <c r="AD34" s="5"/>
      <c r="AE34" s="5"/>
      <c r="AF34" s="5"/>
      <c r="AG34" s="5"/>
      <c r="AH34" s="5"/>
      <c r="AI34" s="5"/>
      <c r="AJ34" s="5"/>
      <c r="AK34" s="5"/>
      <c r="AL34" s="5"/>
      <c r="AM34" s="5"/>
      <c r="AN34" s="5"/>
    </row>
    <row r="35" spans="2:40" x14ac:dyDescent="0.3">
      <c r="B35" s="5"/>
      <c r="C35" s="5"/>
      <c r="D35" s="5"/>
      <c r="E35" s="5"/>
      <c r="F35" s="5"/>
      <c r="G35" s="5"/>
      <c r="H35" s="5"/>
      <c r="I35" s="5"/>
      <c r="J35" s="5"/>
      <c r="K35" s="5"/>
      <c r="L35" s="5"/>
      <c r="M35" s="5"/>
      <c r="N35" s="5"/>
      <c r="O35" s="5"/>
      <c r="P35" s="5"/>
      <c r="Q35" s="5"/>
      <c r="R35" s="5"/>
      <c r="S35" s="5"/>
      <c r="T35" s="5"/>
      <c r="U35" s="5"/>
      <c r="V35" s="5"/>
      <c r="W35" s="5"/>
      <c r="X35" s="5"/>
      <c r="Y35" s="5"/>
      <c r="Z35" s="5"/>
      <c r="AA35" s="5"/>
      <c r="AB35" s="5"/>
      <c r="AC35" s="5"/>
      <c r="AD35" s="5"/>
      <c r="AE35" s="5"/>
      <c r="AF35" s="5"/>
      <c r="AG35" s="5"/>
      <c r="AH35" s="5"/>
      <c r="AI35" s="5"/>
      <c r="AJ35" s="5"/>
      <c r="AK35" s="5"/>
      <c r="AL35" s="5"/>
      <c r="AM35" s="5"/>
      <c r="AN35" s="5"/>
    </row>
    <row r="36" spans="2:40" x14ac:dyDescent="0.3">
      <c r="B36" s="5"/>
      <c r="C36" s="5"/>
      <c r="D36" s="5"/>
      <c r="E36" s="5"/>
      <c r="F36" s="5"/>
      <c r="G36" s="5"/>
      <c r="H36" s="5"/>
      <c r="I36" s="5"/>
      <c r="J36" s="5"/>
      <c r="K36" s="5"/>
      <c r="L36" s="5"/>
      <c r="M36" s="5"/>
      <c r="N36" s="5"/>
      <c r="O36" s="5"/>
      <c r="P36" s="5"/>
      <c r="Q36" s="5"/>
      <c r="R36" s="5"/>
      <c r="S36" s="5"/>
      <c r="T36" s="5"/>
      <c r="U36" s="5"/>
      <c r="V36" s="5"/>
      <c r="W36" s="5"/>
      <c r="X36" s="5"/>
      <c r="Y36" s="5"/>
      <c r="Z36" s="5"/>
      <c r="AA36" s="5"/>
      <c r="AB36" s="5"/>
      <c r="AC36" s="5"/>
      <c r="AD36" s="5"/>
      <c r="AE36" s="5"/>
      <c r="AF36" s="5"/>
      <c r="AG36" s="5"/>
      <c r="AH36" s="5"/>
      <c r="AI36" s="5"/>
      <c r="AJ36" s="5"/>
      <c r="AK36" s="5"/>
      <c r="AL36" s="5"/>
      <c r="AM36" s="5"/>
      <c r="AN36" s="5"/>
    </row>
    <row r="37" spans="2:40" x14ac:dyDescent="0.3">
      <c r="B37" s="5"/>
      <c r="C37" s="5"/>
      <c r="D37" s="5"/>
      <c r="E37" s="5"/>
      <c r="F37" s="5"/>
      <c r="G37" s="5"/>
      <c r="H37" s="5"/>
      <c r="I37" s="5"/>
      <c r="J37" s="5"/>
      <c r="K37" s="5"/>
      <c r="L37" s="5"/>
      <c r="M37" s="5"/>
      <c r="N37" s="5"/>
      <c r="O37" s="5"/>
      <c r="P37" s="5"/>
      <c r="Q37" s="5"/>
      <c r="R37" s="5"/>
      <c r="S37" s="5"/>
      <c r="T37" s="5"/>
      <c r="U37" s="5"/>
      <c r="V37" s="5"/>
      <c r="W37" s="5"/>
      <c r="X37" s="5"/>
      <c r="Y37" s="5"/>
      <c r="Z37" s="5"/>
      <c r="AA37" s="5"/>
      <c r="AB37" s="5"/>
      <c r="AC37" s="5"/>
      <c r="AD37" s="5"/>
      <c r="AE37" s="5"/>
      <c r="AF37" s="5"/>
      <c r="AG37" s="5"/>
      <c r="AH37" s="5"/>
      <c r="AI37" s="5"/>
      <c r="AJ37" s="5"/>
      <c r="AK37" s="5"/>
      <c r="AL37" s="5"/>
      <c r="AM37" s="5"/>
      <c r="AN37" s="5"/>
    </row>
    <row r="38" spans="2:40" x14ac:dyDescent="0.3">
      <c r="B38" s="5"/>
      <c r="C38" s="5"/>
      <c r="D38" s="5"/>
      <c r="E38" s="5"/>
      <c r="F38" s="5"/>
      <c r="G38" s="5"/>
      <c r="H38" s="5"/>
      <c r="I38" s="5"/>
      <c r="J38" s="5"/>
      <c r="K38" s="5"/>
      <c r="L38" s="5"/>
      <c r="M38" s="5"/>
      <c r="N38" s="5"/>
      <c r="O38" s="5"/>
      <c r="P38" s="5"/>
      <c r="Q38" s="5"/>
      <c r="R38" s="5"/>
      <c r="S38" s="5"/>
      <c r="T38" s="5"/>
      <c r="U38" s="5"/>
      <c r="V38" s="5"/>
      <c r="W38" s="5"/>
      <c r="X38" s="5"/>
      <c r="Y38" s="5"/>
      <c r="Z38" s="5"/>
      <c r="AA38" s="5"/>
      <c r="AB38" s="5"/>
      <c r="AC38" s="5"/>
      <c r="AD38" s="5"/>
      <c r="AE38" s="5"/>
      <c r="AF38" s="5"/>
      <c r="AG38" s="5"/>
      <c r="AH38" s="5"/>
      <c r="AI38" s="5"/>
      <c r="AJ38" s="5"/>
      <c r="AK38" s="5"/>
      <c r="AL38" s="5"/>
      <c r="AM38" s="5"/>
      <c r="AN38" s="5"/>
    </row>
    <row r="39" spans="2:40" x14ac:dyDescent="0.3">
      <c r="B39" s="5"/>
      <c r="C39" s="5"/>
      <c r="D39" s="5"/>
      <c r="E39" s="5"/>
      <c r="F39" s="5"/>
      <c r="G39" s="5"/>
      <c r="H39" s="5"/>
      <c r="I39" s="5"/>
      <c r="J39" s="5"/>
      <c r="K39" s="5"/>
      <c r="L39" s="5"/>
      <c r="M39" s="5"/>
      <c r="N39" s="5"/>
      <c r="O39" s="5"/>
      <c r="P39" s="5"/>
      <c r="Q39" s="5"/>
      <c r="R39" s="5"/>
      <c r="S39" s="5"/>
      <c r="T39" s="5"/>
      <c r="U39" s="5"/>
      <c r="V39" s="5"/>
      <c r="W39" s="5"/>
      <c r="X39" s="5"/>
      <c r="Y39" s="5"/>
      <c r="Z39" s="5"/>
      <c r="AA39" s="5"/>
      <c r="AB39" s="5"/>
      <c r="AC39" s="5"/>
      <c r="AD39" s="5"/>
      <c r="AE39" s="5"/>
      <c r="AF39" s="5"/>
      <c r="AG39" s="5"/>
      <c r="AH39" s="5"/>
      <c r="AI39" s="5"/>
      <c r="AJ39" s="5"/>
      <c r="AK39" s="5"/>
      <c r="AL39" s="5"/>
      <c r="AM39" s="5"/>
      <c r="AN39" s="5"/>
    </row>
    <row r="40" spans="2:40" x14ac:dyDescent="0.3">
      <c r="B40" s="5"/>
      <c r="C40" s="5"/>
      <c r="D40" s="5"/>
      <c r="E40" s="5"/>
      <c r="F40" s="5"/>
      <c r="G40" s="5"/>
      <c r="H40" s="5"/>
      <c r="I40" s="5"/>
      <c r="J40" s="5"/>
      <c r="K40" s="5"/>
      <c r="L40" s="5"/>
      <c r="M40" s="5"/>
      <c r="N40" s="5"/>
      <c r="O40" s="5"/>
      <c r="P40" s="5"/>
      <c r="Q40" s="5"/>
      <c r="R40" s="5"/>
      <c r="S40" s="5"/>
      <c r="T40" s="5"/>
      <c r="U40" s="5"/>
      <c r="V40" s="5"/>
      <c r="W40" s="5"/>
      <c r="X40" s="5"/>
      <c r="Y40" s="5"/>
      <c r="Z40" s="5"/>
      <c r="AA40" s="5"/>
      <c r="AB40" s="5"/>
      <c r="AC40" s="5"/>
      <c r="AD40" s="5"/>
      <c r="AE40" s="5"/>
      <c r="AF40" s="5"/>
      <c r="AG40" s="5"/>
      <c r="AH40" s="5"/>
      <c r="AI40" s="5"/>
      <c r="AJ40" s="5"/>
      <c r="AK40" s="5"/>
      <c r="AL40" s="5"/>
      <c r="AM40" s="5"/>
      <c r="AN40" s="5"/>
    </row>
    <row r="41" spans="2:40" x14ac:dyDescent="0.3">
      <c r="B41" s="5"/>
      <c r="C41" s="5"/>
      <c r="D41" s="5"/>
      <c r="E41" s="5"/>
      <c r="F41" s="5"/>
      <c r="G41" s="5"/>
      <c r="H41" s="5"/>
      <c r="I41" s="5"/>
      <c r="J41" s="5"/>
      <c r="K41" s="5"/>
      <c r="L41" s="5"/>
      <c r="M41" s="5"/>
      <c r="N41" s="5"/>
      <c r="O41" s="5"/>
      <c r="P41" s="5"/>
      <c r="Q41" s="5"/>
      <c r="R41" s="5"/>
      <c r="S41" s="5"/>
      <c r="T41" s="5"/>
      <c r="U41" s="5"/>
      <c r="V41" s="5"/>
      <c r="W41" s="5"/>
      <c r="X41" s="5"/>
      <c r="Y41" s="5"/>
      <c r="Z41" s="5"/>
      <c r="AA41" s="5"/>
      <c r="AB41" s="5"/>
      <c r="AC41" s="5"/>
      <c r="AD41" s="5"/>
      <c r="AE41" s="5"/>
      <c r="AF41" s="5"/>
      <c r="AG41" s="5"/>
      <c r="AH41" s="5"/>
      <c r="AI41" s="5"/>
      <c r="AJ41" s="5"/>
      <c r="AK41" s="5"/>
      <c r="AL41" s="5"/>
      <c r="AM41" s="5"/>
      <c r="AN41" s="5"/>
    </row>
    <row r="42" spans="2:40" x14ac:dyDescent="0.3">
      <c r="B42" s="5"/>
      <c r="C42" s="5"/>
      <c r="D42" s="5"/>
      <c r="E42" s="5"/>
      <c r="F42" s="5"/>
      <c r="G42" s="5"/>
      <c r="H42" s="5"/>
      <c r="I42" s="5"/>
      <c r="J42" s="5"/>
      <c r="K42" s="5"/>
      <c r="L42" s="5"/>
      <c r="M42" s="5"/>
      <c r="N42" s="5"/>
      <c r="O42" s="5"/>
      <c r="P42" s="5"/>
      <c r="Q42" s="5"/>
      <c r="R42" s="5"/>
      <c r="S42" s="5"/>
      <c r="T42" s="5"/>
      <c r="U42" s="5"/>
      <c r="V42" s="5"/>
      <c r="W42" s="5"/>
      <c r="X42" s="5"/>
      <c r="Y42" s="5"/>
      <c r="Z42" s="5"/>
      <c r="AA42" s="5"/>
      <c r="AB42" s="5"/>
      <c r="AC42" s="5"/>
      <c r="AD42" s="5"/>
      <c r="AE42" s="5"/>
      <c r="AF42" s="5"/>
      <c r="AG42" s="5"/>
      <c r="AH42" s="5"/>
      <c r="AI42" s="5"/>
      <c r="AJ42" s="5"/>
      <c r="AK42" s="5"/>
      <c r="AL42" s="5"/>
      <c r="AM42" s="5"/>
      <c r="AN42" s="5"/>
    </row>
    <row r="43" spans="2:40" x14ac:dyDescent="0.3">
      <c r="B43" s="5"/>
      <c r="C43" s="5"/>
      <c r="D43" s="5"/>
      <c r="E43" s="5"/>
      <c r="F43" s="5"/>
      <c r="G43" s="5"/>
      <c r="H43" s="5"/>
      <c r="I43" s="5"/>
      <c r="J43" s="5"/>
      <c r="K43" s="5"/>
      <c r="L43" s="5"/>
      <c r="M43" s="5"/>
      <c r="N43" s="5"/>
      <c r="O43" s="5"/>
      <c r="P43" s="5"/>
      <c r="Q43" s="5"/>
      <c r="R43" s="5"/>
      <c r="S43" s="5"/>
      <c r="T43" s="5"/>
      <c r="U43" s="5"/>
      <c r="V43" s="5"/>
      <c r="W43" s="5"/>
      <c r="X43" s="5"/>
      <c r="Y43" s="5"/>
      <c r="Z43" s="5"/>
      <c r="AA43" s="5"/>
      <c r="AB43" s="5"/>
      <c r="AC43" s="5"/>
      <c r="AD43" s="5"/>
      <c r="AE43" s="5"/>
      <c r="AF43" s="5"/>
      <c r="AG43" s="5"/>
      <c r="AH43" s="5"/>
      <c r="AI43" s="5"/>
      <c r="AJ43" s="5"/>
      <c r="AK43" s="5"/>
      <c r="AL43" s="5"/>
      <c r="AM43" s="5"/>
      <c r="AN43" s="5"/>
    </row>
    <row r="44" spans="2:40" x14ac:dyDescent="0.3">
      <c r="B44" s="5"/>
      <c r="C44" s="5"/>
      <c r="D44" s="5"/>
      <c r="E44" s="5"/>
      <c r="F44" s="5"/>
      <c r="G44" s="5"/>
      <c r="H44" s="5"/>
      <c r="I44" s="5"/>
      <c r="J44" s="5"/>
      <c r="K44" s="5"/>
      <c r="L44" s="5"/>
      <c r="M44" s="5"/>
      <c r="N44" s="5"/>
      <c r="O44" s="5"/>
      <c r="P44" s="5"/>
      <c r="Q44" s="5"/>
      <c r="R44" s="5"/>
      <c r="S44" s="5"/>
      <c r="T44" s="5"/>
      <c r="U44" s="5"/>
      <c r="V44" s="5"/>
      <c r="W44" s="5"/>
      <c r="X44" s="5"/>
      <c r="Y44" s="5"/>
      <c r="Z44" s="5"/>
      <c r="AA44" s="5"/>
      <c r="AB44" s="5"/>
      <c r="AC44" s="5"/>
      <c r="AD44" s="5"/>
      <c r="AE44" s="5"/>
      <c r="AF44" s="5"/>
      <c r="AG44" s="5"/>
      <c r="AH44" s="5"/>
      <c r="AI44" s="5"/>
      <c r="AJ44" s="5"/>
      <c r="AK44" s="5"/>
      <c r="AL44" s="5"/>
      <c r="AM44" s="5"/>
      <c r="AN44" s="5"/>
    </row>
    <row r="45" spans="2:40" x14ac:dyDescent="0.3">
      <c r="B45" s="5"/>
      <c r="C45" s="5"/>
      <c r="D45" s="5"/>
      <c r="E45" s="5"/>
      <c r="F45" s="5"/>
      <c r="G45" s="5"/>
      <c r="H45" s="5"/>
      <c r="I45" s="5"/>
      <c r="J45" s="5"/>
      <c r="K45" s="5"/>
      <c r="L45" s="5"/>
      <c r="M45" s="5"/>
      <c r="N45" s="5"/>
      <c r="O45" s="5"/>
      <c r="P45" s="5"/>
      <c r="Q45" s="5"/>
      <c r="R45" s="5"/>
      <c r="S45" s="5"/>
      <c r="T45" s="5"/>
      <c r="U45" s="5"/>
      <c r="V45" s="5"/>
      <c r="W45" s="5"/>
      <c r="X45" s="5"/>
      <c r="Y45" s="5"/>
      <c r="Z45" s="5"/>
      <c r="AA45" s="5"/>
      <c r="AB45" s="5"/>
      <c r="AC45" s="5"/>
      <c r="AD45" s="5"/>
      <c r="AE45" s="5"/>
      <c r="AF45" s="5"/>
      <c r="AG45" s="5"/>
      <c r="AH45" s="5"/>
      <c r="AI45" s="5"/>
      <c r="AJ45" s="5"/>
      <c r="AK45" s="5"/>
      <c r="AL45" s="5"/>
      <c r="AM45" s="5"/>
      <c r="AN45" s="5"/>
    </row>
    <row r="46" spans="2:40" x14ac:dyDescent="0.3">
      <c r="B46" s="5"/>
      <c r="C46" s="5"/>
      <c r="D46" s="5"/>
      <c r="E46" s="5"/>
      <c r="F46" s="5"/>
      <c r="G46" s="5"/>
      <c r="H46" s="5"/>
      <c r="I46" s="5"/>
      <c r="J46" s="5"/>
      <c r="K46" s="5"/>
      <c r="L46" s="5"/>
      <c r="M46" s="5"/>
      <c r="N46" s="5"/>
      <c r="O46" s="5"/>
      <c r="P46" s="5"/>
      <c r="Q46" s="5"/>
      <c r="R46" s="5"/>
      <c r="S46" s="5"/>
      <c r="T46" s="5"/>
      <c r="U46" s="5"/>
      <c r="V46" s="5"/>
      <c r="W46" s="5"/>
      <c r="X46" s="5"/>
      <c r="Y46" s="5"/>
      <c r="Z46" s="5"/>
      <c r="AA46" s="5"/>
      <c r="AB46" s="5"/>
      <c r="AC46" s="5"/>
      <c r="AD46" s="5"/>
      <c r="AE46" s="5"/>
      <c r="AF46" s="5"/>
      <c r="AG46" s="5"/>
      <c r="AH46" s="5"/>
      <c r="AI46" s="5"/>
      <c r="AJ46" s="5"/>
      <c r="AK46" s="5"/>
      <c r="AL46" s="5"/>
      <c r="AM46" s="5"/>
      <c r="AN46" s="5"/>
    </row>
    <row r="47" spans="2:40" x14ac:dyDescent="0.3">
      <c r="B47" s="5"/>
      <c r="C47" s="5"/>
      <c r="D47" s="5"/>
      <c r="E47" s="5"/>
      <c r="F47" s="5"/>
      <c r="G47" s="5"/>
      <c r="H47" s="5"/>
      <c r="I47" s="5"/>
      <c r="J47" s="5"/>
      <c r="K47" s="5"/>
      <c r="L47" s="5"/>
      <c r="M47" s="5"/>
      <c r="N47" s="5"/>
      <c r="O47" s="5"/>
      <c r="P47" s="5"/>
      <c r="Q47" s="5"/>
      <c r="R47" s="5"/>
      <c r="S47" s="5"/>
      <c r="T47" s="5"/>
      <c r="U47" s="5"/>
      <c r="V47" s="5"/>
      <c r="W47" s="5"/>
      <c r="X47" s="5"/>
      <c r="Y47" s="5"/>
      <c r="Z47" s="5"/>
      <c r="AA47" s="5"/>
      <c r="AB47" s="5"/>
      <c r="AC47" s="5"/>
      <c r="AD47" s="5"/>
      <c r="AE47" s="5"/>
      <c r="AF47" s="5"/>
      <c r="AG47" s="5"/>
      <c r="AH47" s="5"/>
      <c r="AI47" s="5"/>
      <c r="AJ47" s="5"/>
      <c r="AK47" s="5"/>
      <c r="AL47" s="5"/>
      <c r="AM47" s="5"/>
      <c r="AN47" s="5"/>
    </row>
    <row r="48" spans="2:40" x14ac:dyDescent="0.3">
      <c r="B48" s="5"/>
      <c r="C48" s="5"/>
      <c r="D48" s="5"/>
      <c r="E48" s="5"/>
      <c r="F48" s="5"/>
      <c r="G48" s="5"/>
      <c r="H48" s="5"/>
      <c r="I48" s="5"/>
      <c r="J48" s="5"/>
      <c r="K48" s="5"/>
      <c r="L48" s="5"/>
      <c r="M48" s="5"/>
      <c r="N48" s="5"/>
      <c r="O48" s="5"/>
      <c r="P48" s="5"/>
      <c r="Q48" s="5"/>
      <c r="R48" s="5"/>
      <c r="S48" s="5"/>
      <c r="T48" s="5"/>
      <c r="U48" s="5"/>
      <c r="V48" s="5"/>
      <c r="W48" s="5"/>
      <c r="X48" s="5"/>
      <c r="Y48" s="5"/>
      <c r="Z48" s="5"/>
      <c r="AA48" s="5"/>
      <c r="AB48" s="5"/>
      <c r="AC48" s="5"/>
      <c r="AD48" s="5"/>
      <c r="AE48" s="5"/>
      <c r="AF48" s="5"/>
      <c r="AG48" s="5"/>
      <c r="AH48" s="5"/>
      <c r="AI48" s="5"/>
      <c r="AJ48" s="5"/>
      <c r="AK48" s="5"/>
      <c r="AL48" s="5"/>
      <c r="AM48" s="5"/>
      <c r="AN48" s="5"/>
    </row>
    <row r="49" spans="2:40" x14ac:dyDescent="0.3">
      <c r="B49" s="5"/>
      <c r="C49" s="5"/>
      <c r="D49" s="5"/>
      <c r="E49" s="5"/>
      <c r="F49" s="5"/>
      <c r="G49" s="5"/>
      <c r="H49" s="5"/>
      <c r="I49" s="5"/>
      <c r="J49" s="5"/>
      <c r="K49" s="5"/>
      <c r="L49" s="5"/>
      <c r="M49" s="5"/>
      <c r="N49" s="5"/>
      <c r="O49" s="5"/>
      <c r="P49" s="5"/>
      <c r="Q49" s="5"/>
      <c r="R49" s="5"/>
      <c r="S49" s="5"/>
      <c r="T49" s="5"/>
      <c r="U49" s="5"/>
      <c r="V49" s="5"/>
      <c r="W49" s="5"/>
      <c r="X49" s="5"/>
      <c r="Y49" s="5"/>
      <c r="Z49" s="5"/>
      <c r="AA49" s="5"/>
      <c r="AB49" s="5"/>
      <c r="AC49" s="5"/>
      <c r="AD49" s="5"/>
      <c r="AE49" s="5"/>
      <c r="AF49" s="5"/>
      <c r="AG49" s="5"/>
      <c r="AH49" s="5"/>
      <c r="AI49" s="5"/>
      <c r="AJ49" s="5"/>
      <c r="AK49" s="5"/>
      <c r="AL49" s="5"/>
      <c r="AM49" s="5"/>
      <c r="AN49" s="5"/>
    </row>
    <row r="50" spans="2:40" x14ac:dyDescent="0.3">
      <c r="B50" s="5"/>
      <c r="C50" s="5"/>
      <c r="D50" s="5"/>
      <c r="E50" s="5"/>
      <c r="F50" s="5"/>
      <c r="G50" s="5"/>
      <c r="H50" s="5"/>
      <c r="I50" s="5"/>
      <c r="J50" s="5"/>
      <c r="K50" s="5"/>
      <c r="L50" s="5"/>
      <c r="M50" s="5"/>
      <c r="N50" s="5"/>
      <c r="O50" s="5"/>
      <c r="P50" s="5"/>
      <c r="Q50" s="5"/>
      <c r="R50" s="5"/>
      <c r="S50" s="5"/>
      <c r="T50" s="5"/>
      <c r="U50" s="5"/>
      <c r="V50" s="5"/>
      <c r="W50" s="5"/>
      <c r="X50" s="5"/>
      <c r="Y50" s="5"/>
      <c r="Z50" s="5"/>
      <c r="AA50" s="5"/>
      <c r="AB50" s="5"/>
      <c r="AC50" s="5"/>
      <c r="AD50" s="5"/>
      <c r="AE50" s="5"/>
      <c r="AF50" s="5"/>
      <c r="AG50" s="5"/>
      <c r="AH50" s="5"/>
      <c r="AI50" s="5"/>
      <c r="AJ50" s="5"/>
      <c r="AK50" s="5"/>
      <c r="AL50" s="5"/>
      <c r="AM50" s="5"/>
      <c r="AN50" s="5"/>
    </row>
    <row r="51" spans="2:40" x14ac:dyDescent="0.3">
      <c r="B51" s="5"/>
      <c r="C51" s="5"/>
      <c r="D51" s="5"/>
      <c r="E51" s="5"/>
      <c r="F51" s="5"/>
      <c r="G51" s="5"/>
      <c r="H51" s="5"/>
      <c r="I51" s="5"/>
      <c r="J51" s="5"/>
      <c r="K51" s="5"/>
      <c r="L51" s="5"/>
      <c r="M51" s="5"/>
      <c r="N51" s="5"/>
      <c r="O51" s="5"/>
      <c r="P51" s="5"/>
      <c r="Q51" s="5"/>
      <c r="R51" s="5"/>
      <c r="S51" s="5"/>
      <c r="T51" s="5"/>
      <c r="U51" s="5"/>
      <c r="V51" s="5"/>
      <c r="W51" s="5"/>
      <c r="X51" s="5"/>
      <c r="Y51" s="5"/>
      <c r="Z51" s="5"/>
      <c r="AA51" s="5"/>
      <c r="AB51" s="5"/>
      <c r="AC51" s="5"/>
      <c r="AD51" s="5"/>
      <c r="AE51" s="5"/>
      <c r="AF51" s="5"/>
      <c r="AG51" s="5"/>
      <c r="AH51" s="5"/>
      <c r="AI51" s="5"/>
      <c r="AJ51" s="5"/>
      <c r="AK51" s="5"/>
      <c r="AL51" s="5"/>
      <c r="AM51" s="5"/>
      <c r="AN51" s="5"/>
    </row>
    <row r="52" spans="2:40" x14ac:dyDescent="0.3">
      <c r="B52" s="5"/>
      <c r="C52" s="5"/>
      <c r="D52" s="5"/>
      <c r="E52" s="5"/>
      <c r="F52" s="5"/>
      <c r="G52" s="5"/>
      <c r="H52" s="5"/>
      <c r="I52" s="5"/>
      <c r="J52" s="5"/>
      <c r="K52" s="5"/>
      <c r="L52" s="5"/>
      <c r="M52" s="5"/>
      <c r="N52" s="5"/>
      <c r="O52" s="5"/>
      <c r="P52" s="5"/>
      <c r="Q52" s="5"/>
      <c r="R52" s="5"/>
      <c r="S52" s="5"/>
      <c r="T52" s="5"/>
      <c r="U52" s="5"/>
      <c r="V52" s="5"/>
      <c r="W52" s="5"/>
      <c r="X52" s="5"/>
      <c r="Y52" s="5"/>
      <c r="Z52" s="5"/>
      <c r="AA52" s="5"/>
      <c r="AB52" s="5"/>
      <c r="AC52" s="5"/>
      <c r="AD52" s="5"/>
      <c r="AE52" s="5"/>
      <c r="AF52" s="5"/>
      <c r="AG52" s="5"/>
      <c r="AH52" s="5"/>
      <c r="AI52" s="5"/>
      <c r="AJ52" s="5"/>
      <c r="AK52" s="5"/>
      <c r="AL52" s="5"/>
      <c r="AM52" s="5"/>
      <c r="AN52" s="5"/>
    </row>
    <row r="53" spans="2:40" x14ac:dyDescent="0.3">
      <c r="B53" s="5"/>
      <c r="C53" s="5"/>
      <c r="D53" s="5"/>
      <c r="E53" s="5"/>
      <c r="F53" s="5"/>
      <c r="G53" s="5"/>
      <c r="H53" s="5"/>
      <c r="I53" s="5"/>
      <c r="J53" s="5"/>
      <c r="K53" s="5"/>
      <c r="L53" s="5"/>
      <c r="M53" s="5"/>
      <c r="N53" s="5"/>
      <c r="O53" s="5"/>
      <c r="P53" s="5"/>
      <c r="Q53" s="5"/>
      <c r="R53" s="5"/>
      <c r="S53" s="5"/>
      <c r="T53" s="5"/>
      <c r="U53" s="5"/>
      <c r="V53" s="5"/>
      <c r="W53" s="5"/>
      <c r="X53" s="5"/>
      <c r="Y53" s="5"/>
      <c r="Z53" s="5"/>
      <c r="AA53" s="5"/>
      <c r="AB53" s="5"/>
      <c r="AC53" s="5"/>
      <c r="AD53" s="5"/>
      <c r="AE53" s="5"/>
      <c r="AF53" s="5"/>
      <c r="AG53" s="5"/>
      <c r="AH53" s="5"/>
      <c r="AI53" s="5"/>
      <c r="AJ53" s="5"/>
      <c r="AK53" s="5"/>
      <c r="AL53" s="5"/>
      <c r="AM53" s="5"/>
      <c r="AN53" s="5"/>
    </row>
    <row r="54" spans="2:40" x14ac:dyDescent="0.3">
      <c r="B54" s="5"/>
      <c r="C54" s="5"/>
      <c r="D54" s="5"/>
      <c r="E54" s="5"/>
      <c r="F54" s="5"/>
      <c r="G54" s="5"/>
      <c r="H54" s="5"/>
      <c r="I54" s="5"/>
      <c r="J54" s="5"/>
      <c r="K54" s="5"/>
      <c r="L54" s="5"/>
      <c r="M54" s="5"/>
      <c r="N54" s="5"/>
      <c r="O54" s="5"/>
      <c r="P54" s="5"/>
      <c r="Q54" s="5"/>
      <c r="R54" s="5"/>
      <c r="S54" s="5"/>
      <c r="T54" s="5"/>
      <c r="U54" s="5"/>
      <c r="V54" s="5"/>
      <c r="W54" s="5"/>
      <c r="X54" s="5"/>
      <c r="Y54" s="5"/>
      <c r="Z54" s="5"/>
      <c r="AA54" s="5"/>
      <c r="AB54" s="5"/>
      <c r="AC54" s="5"/>
      <c r="AD54" s="5"/>
      <c r="AE54" s="5"/>
      <c r="AF54" s="5"/>
      <c r="AG54" s="5"/>
      <c r="AH54" s="5"/>
      <c r="AI54" s="5"/>
      <c r="AJ54" s="5"/>
      <c r="AK54" s="5"/>
      <c r="AL54" s="5"/>
      <c r="AM54" s="5"/>
      <c r="AN54" s="5"/>
    </row>
    <row r="55" spans="2:40" x14ac:dyDescent="0.3">
      <c r="B55" s="5"/>
      <c r="C55" s="5"/>
      <c r="D55" s="5"/>
      <c r="E55" s="5"/>
      <c r="F55" s="5"/>
      <c r="G55" s="5"/>
      <c r="H55" s="5"/>
      <c r="I55" s="5"/>
      <c r="J55" s="5"/>
      <c r="K55" s="5"/>
      <c r="L55" s="5"/>
      <c r="M55" s="5"/>
      <c r="N55" s="5"/>
      <c r="O55" s="5"/>
      <c r="P55" s="5"/>
      <c r="Q55" s="5"/>
      <c r="R55" s="5"/>
      <c r="S55" s="5"/>
      <c r="T55" s="5"/>
      <c r="U55" s="5"/>
      <c r="V55" s="5"/>
      <c r="W55" s="5"/>
      <c r="X55" s="5"/>
      <c r="Y55" s="5"/>
      <c r="Z55" s="5"/>
      <c r="AA55" s="5"/>
      <c r="AB55" s="5"/>
      <c r="AC55" s="5"/>
      <c r="AD55" s="5"/>
      <c r="AE55" s="5"/>
      <c r="AF55" s="5"/>
      <c r="AG55" s="5"/>
      <c r="AH55" s="5"/>
      <c r="AI55" s="5"/>
      <c r="AJ55" s="5"/>
      <c r="AK55" s="5"/>
      <c r="AL55" s="5"/>
      <c r="AM55" s="5"/>
      <c r="AN55" s="5"/>
    </row>
    <row r="56" spans="2:40" x14ac:dyDescent="0.3">
      <c r="B56" s="5"/>
      <c r="C56" s="5"/>
      <c r="D56" s="5"/>
      <c r="E56" s="5"/>
      <c r="F56" s="5"/>
      <c r="G56" s="5"/>
      <c r="H56" s="5"/>
      <c r="I56" s="5"/>
      <c r="J56" s="5"/>
      <c r="K56" s="5"/>
      <c r="L56" s="5"/>
      <c r="M56" s="5"/>
      <c r="N56" s="5"/>
      <c r="O56" s="5"/>
      <c r="P56" s="5"/>
      <c r="Q56" s="5"/>
      <c r="R56" s="5"/>
      <c r="S56" s="5"/>
      <c r="T56" s="5"/>
      <c r="U56" s="5"/>
      <c r="V56" s="5"/>
      <c r="W56" s="5"/>
      <c r="X56" s="5"/>
      <c r="Y56" s="5"/>
      <c r="Z56" s="5"/>
      <c r="AA56" s="5"/>
      <c r="AB56" s="5"/>
      <c r="AC56" s="5"/>
      <c r="AD56" s="5"/>
      <c r="AE56" s="5"/>
      <c r="AF56" s="5"/>
      <c r="AG56" s="5"/>
      <c r="AH56" s="5"/>
      <c r="AI56" s="5"/>
      <c r="AJ56" s="5"/>
      <c r="AK56" s="5"/>
      <c r="AL56" s="5"/>
      <c r="AM56" s="5"/>
      <c r="AN56" s="5"/>
    </row>
    <row r="57" spans="2:40" x14ac:dyDescent="0.3">
      <c r="B57" s="5"/>
      <c r="C57" s="5"/>
      <c r="D57" s="5"/>
      <c r="E57" s="5"/>
      <c r="F57" s="5"/>
      <c r="G57" s="5"/>
      <c r="H57" s="5"/>
      <c r="I57" s="5"/>
      <c r="J57" s="5"/>
      <c r="K57" s="5"/>
      <c r="L57" s="5"/>
      <c r="M57" s="5"/>
      <c r="N57" s="5"/>
      <c r="O57" s="5"/>
      <c r="P57" s="5"/>
      <c r="Q57" s="5"/>
      <c r="R57" s="5"/>
      <c r="S57" s="5"/>
      <c r="T57" s="5"/>
      <c r="U57" s="5"/>
      <c r="V57" s="5"/>
      <c r="W57" s="5"/>
      <c r="X57" s="5"/>
      <c r="Y57" s="5"/>
      <c r="Z57" s="5"/>
      <c r="AA57" s="5"/>
      <c r="AB57" s="5"/>
      <c r="AC57" s="5"/>
      <c r="AD57" s="5"/>
      <c r="AE57" s="5"/>
      <c r="AF57" s="5"/>
      <c r="AG57" s="5"/>
      <c r="AH57" s="5"/>
      <c r="AI57" s="5"/>
      <c r="AJ57" s="5"/>
      <c r="AK57" s="5"/>
      <c r="AL57" s="5"/>
      <c r="AM57" s="5"/>
      <c r="AN57" s="5"/>
    </row>
    <row r="58" spans="2:40" x14ac:dyDescent="0.3">
      <c r="B58" s="5"/>
      <c r="C58" s="5"/>
      <c r="D58" s="5"/>
      <c r="E58" s="5"/>
      <c r="F58" s="5"/>
      <c r="G58" s="5"/>
      <c r="H58" s="5"/>
      <c r="I58" s="5"/>
      <c r="J58" s="5"/>
      <c r="K58" s="5"/>
      <c r="L58" s="5"/>
      <c r="M58" s="5"/>
      <c r="N58" s="5"/>
      <c r="O58" s="5"/>
      <c r="P58" s="5"/>
      <c r="Q58" s="5"/>
      <c r="R58" s="5"/>
      <c r="S58" s="5"/>
      <c r="T58" s="5"/>
      <c r="U58" s="5"/>
      <c r="V58" s="5"/>
      <c r="W58" s="5"/>
      <c r="X58" s="5"/>
      <c r="Y58" s="5"/>
      <c r="Z58" s="5"/>
      <c r="AA58" s="5"/>
      <c r="AB58" s="5"/>
      <c r="AC58" s="5"/>
      <c r="AD58" s="5"/>
      <c r="AE58" s="5"/>
      <c r="AF58" s="5"/>
      <c r="AG58" s="5"/>
      <c r="AH58" s="5"/>
      <c r="AI58" s="5"/>
      <c r="AJ58" s="5"/>
      <c r="AK58" s="5"/>
      <c r="AL58" s="5"/>
      <c r="AM58" s="5"/>
      <c r="AN58" s="5"/>
    </row>
    <row r="59" spans="2:40" x14ac:dyDescent="0.3">
      <c r="B59" s="5"/>
      <c r="C59" s="5"/>
      <c r="D59" s="5"/>
      <c r="E59" s="5"/>
      <c r="F59" s="5"/>
      <c r="G59" s="5"/>
      <c r="H59" s="5"/>
      <c r="I59" s="5"/>
      <c r="J59" s="5"/>
      <c r="K59" s="5"/>
      <c r="L59" s="5"/>
      <c r="M59" s="5"/>
      <c r="N59" s="5"/>
      <c r="O59" s="5"/>
      <c r="P59" s="5"/>
      <c r="Q59" s="5"/>
      <c r="R59" s="5"/>
      <c r="S59" s="5"/>
      <c r="T59" s="5"/>
      <c r="U59" s="5"/>
      <c r="V59" s="5"/>
      <c r="W59" s="5"/>
      <c r="X59" s="5"/>
      <c r="Y59" s="5"/>
      <c r="Z59" s="5"/>
      <c r="AA59" s="5"/>
      <c r="AB59" s="5"/>
      <c r="AC59" s="5"/>
      <c r="AD59" s="5"/>
      <c r="AE59" s="5"/>
      <c r="AF59" s="5"/>
      <c r="AG59" s="5"/>
      <c r="AH59" s="5"/>
      <c r="AI59" s="5"/>
      <c r="AJ59" s="5"/>
      <c r="AK59" s="5"/>
      <c r="AL59" s="5"/>
      <c r="AM59" s="5"/>
      <c r="AN59" s="5"/>
    </row>
    <row r="60" spans="2:40" x14ac:dyDescent="0.3">
      <c r="B60" s="5"/>
      <c r="C60" s="5"/>
      <c r="D60" s="5"/>
      <c r="E60" s="5"/>
      <c r="F60" s="5"/>
      <c r="G60" s="5"/>
      <c r="H60" s="5"/>
      <c r="I60" s="5"/>
      <c r="J60" s="5"/>
      <c r="K60" s="5"/>
      <c r="L60" s="5"/>
      <c r="M60" s="5"/>
      <c r="N60" s="5"/>
      <c r="O60" s="5"/>
      <c r="P60" s="5"/>
      <c r="Q60" s="5"/>
      <c r="R60" s="5"/>
      <c r="S60" s="5"/>
      <c r="T60" s="5"/>
      <c r="U60" s="5"/>
      <c r="V60" s="5"/>
      <c r="W60" s="5"/>
      <c r="X60" s="5"/>
      <c r="Y60" s="5"/>
      <c r="Z60" s="5"/>
      <c r="AA60" s="5"/>
      <c r="AB60" s="5"/>
      <c r="AC60" s="5"/>
      <c r="AD60" s="5"/>
      <c r="AE60" s="5"/>
      <c r="AF60" s="5"/>
      <c r="AG60" s="5"/>
      <c r="AH60" s="5"/>
      <c r="AI60" s="5"/>
      <c r="AJ60" s="5"/>
      <c r="AK60" s="5"/>
      <c r="AL60" s="5"/>
      <c r="AM60" s="5"/>
      <c r="AN60" s="5"/>
    </row>
    <row r="61" spans="2:40" x14ac:dyDescent="0.3">
      <c r="B61" s="5"/>
      <c r="C61" s="5"/>
      <c r="D61" s="5"/>
      <c r="E61" s="5"/>
      <c r="F61" s="5"/>
      <c r="G61" s="5"/>
      <c r="H61" s="5"/>
      <c r="I61" s="5"/>
      <c r="J61" s="5"/>
      <c r="K61" s="5"/>
      <c r="L61" s="5"/>
      <c r="M61" s="5"/>
      <c r="N61" s="5"/>
      <c r="O61" s="5"/>
      <c r="P61" s="5"/>
      <c r="Q61" s="5"/>
      <c r="R61" s="5"/>
      <c r="S61" s="5"/>
      <c r="T61" s="5"/>
      <c r="U61" s="5"/>
      <c r="V61" s="5"/>
      <c r="W61" s="5"/>
      <c r="X61" s="5"/>
      <c r="Y61" s="5"/>
      <c r="Z61" s="5"/>
      <c r="AA61" s="5"/>
      <c r="AB61" s="5"/>
      <c r="AC61" s="5"/>
      <c r="AD61" s="5"/>
      <c r="AE61" s="5"/>
      <c r="AF61" s="5"/>
      <c r="AG61" s="5"/>
      <c r="AH61" s="5"/>
      <c r="AI61" s="5"/>
      <c r="AJ61" s="5"/>
      <c r="AK61" s="5"/>
      <c r="AL61" s="5"/>
      <c r="AM61" s="5"/>
      <c r="AN61" s="5"/>
    </row>
    <row r="62" spans="2:40" x14ac:dyDescent="0.3">
      <c r="B62" s="5"/>
      <c r="C62" s="5"/>
      <c r="D62" s="5"/>
      <c r="E62" s="5"/>
      <c r="F62" s="5"/>
      <c r="G62" s="5"/>
      <c r="H62" s="5"/>
      <c r="I62" s="5"/>
      <c r="J62" s="5"/>
      <c r="K62" s="5"/>
      <c r="L62" s="5"/>
      <c r="M62" s="5"/>
      <c r="N62" s="5"/>
      <c r="O62" s="5"/>
      <c r="P62" s="5"/>
      <c r="Q62" s="5"/>
      <c r="R62" s="5"/>
      <c r="S62" s="5"/>
      <c r="T62" s="5"/>
      <c r="U62" s="5"/>
      <c r="V62" s="5"/>
      <c r="W62" s="5"/>
      <c r="X62" s="5"/>
      <c r="Y62" s="5"/>
      <c r="Z62" s="5"/>
      <c r="AA62" s="5"/>
      <c r="AB62" s="5"/>
      <c r="AC62" s="5"/>
      <c r="AD62" s="5"/>
      <c r="AE62" s="5"/>
      <c r="AF62" s="5"/>
      <c r="AG62" s="5"/>
      <c r="AH62" s="5"/>
      <c r="AI62" s="5"/>
      <c r="AJ62" s="5"/>
      <c r="AK62" s="5"/>
      <c r="AL62" s="5"/>
      <c r="AM62" s="5"/>
      <c r="AN62" s="5"/>
    </row>
    <row r="63" spans="2:40" x14ac:dyDescent="0.3">
      <c r="B63" s="5"/>
      <c r="C63" s="5"/>
      <c r="D63" s="5"/>
      <c r="E63" s="5"/>
      <c r="F63" s="5"/>
      <c r="G63" s="5"/>
      <c r="H63" s="5"/>
      <c r="I63" s="5"/>
      <c r="J63" s="5"/>
      <c r="K63" s="5"/>
      <c r="L63" s="5"/>
      <c r="M63" s="5"/>
      <c r="N63" s="5"/>
      <c r="O63" s="5"/>
      <c r="P63" s="5"/>
      <c r="Q63" s="5"/>
      <c r="R63" s="5"/>
      <c r="S63" s="5"/>
      <c r="T63" s="5"/>
      <c r="U63" s="5"/>
      <c r="V63" s="5"/>
      <c r="W63" s="5"/>
      <c r="X63" s="5"/>
      <c r="Y63" s="5"/>
      <c r="Z63" s="5"/>
      <c r="AA63" s="5"/>
      <c r="AB63" s="5"/>
      <c r="AC63" s="5"/>
      <c r="AD63" s="5"/>
      <c r="AE63" s="5"/>
      <c r="AF63" s="5"/>
      <c r="AG63" s="5"/>
      <c r="AH63" s="5"/>
      <c r="AI63" s="5"/>
      <c r="AJ63" s="5"/>
      <c r="AK63" s="5"/>
      <c r="AL63" s="5"/>
      <c r="AM63" s="5"/>
      <c r="AN63" s="5"/>
    </row>
    <row r="64" spans="2:40" x14ac:dyDescent="0.3">
      <c r="B64" s="5"/>
      <c r="C64" s="5"/>
      <c r="D64" s="5"/>
      <c r="E64" s="5"/>
      <c r="F64" s="5"/>
      <c r="G64" s="5"/>
      <c r="H64" s="5"/>
      <c r="I64" s="5"/>
      <c r="J64" s="5"/>
      <c r="K64" s="5"/>
      <c r="L64" s="5"/>
      <c r="M64" s="5"/>
      <c r="N64" s="5"/>
      <c r="O64" s="5"/>
      <c r="P64" s="5"/>
      <c r="Q64" s="5"/>
      <c r="R64" s="5"/>
      <c r="S64" s="5"/>
      <c r="T64" s="5"/>
      <c r="U64" s="5"/>
      <c r="V64" s="5"/>
      <c r="W64" s="5"/>
      <c r="X64" s="5"/>
      <c r="Y64" s="5"/>
      <c r="Z64" s="5"/>
      <c r="AA64" s="5"/>
      <c r="AB64" s="5"/>
      <c r="AC64" s="5"/>
      <c r="AD64" s="5"/>
      <c r="AE64" s="5"/>
      <c r="AF64" s="5"/>
      <c r="AG64" s="5"/>
      <c r="AH64" s="5"/>
      <c r="AI64" s="5"/>
      <c r="AJ64" s="5"/>
      <c r="AK64" s="5"/>
      <c r="AL64" s="5"/>
      <c r="AM64" s="5"/>
      <c r="AN64" s="5"/>
    </row>
    <row r="65" spans="2:40" x14ac:dyDescent="0.3">
      <c r="B65" s="5"/>
      <c r="C65" s="5"/>
      <c r="D65" s="5"/>
      <c r="E65" s="5"/>
      <c r="F65" s="5"/>
      <c r="G65" s="5"/>
      <c r="H65" s="5"/>
      <c r="I65" s="5"/>
      <c r="J65" s="5"/>
      <c r="K65" s="5"/>
      <c r="L65" s="5"/>
      <c r="M65" s="5"/>
      <c r="N65" s="5"/>
      <c r="O65" s="5"/>
      <c r="P65" s="5"/>
      <c r="Q65" s="5"/>
      <c r="R65" s="5"/>
      <c r="S65" s="5"/>
      <c r="T65" s="5"/>
      <c r="U65" s="5"/>
      <c r="V65" s="5"/>
      <c r="W65" s="5"/>
      <c r="X65" s="5"/>
      <c r="Y65" s="5"/>
      <c r="Z65" s="5"/>
      <c r="AA65" s="5"/>
      <c r="AB65" s="5"/>
      <c r="AC65" s="5"/>
      <c r="AD65" s="5"/>
      <c r="AE65" s="5"/>
      <c r="AF65" s="5"/>
      <c r="AG65" s="5"/>
      <c r="AH65" s="5"/>
      <c r="AI65" s="5"/>
      <c r="AJ65" s="5"/>
      <c r="AK65" s="5"/>
      <c r="AL65" s="5"/>
      <c r="AM65" s="5"/>
      <c r="AN65" s="5"/>
    </row>
    <row r="66" spans="2:40" x14ac:dyDescent="0.3">
      <c r="B66" s="5"/>
      <c r="C66" s="5"/>
      <c r="D66" s="5"/>
      <c r="E66" s="5"/>
      <c r="F66" s="5"/>
      <c r="G66" s="5"/>
      <c r="H66" s="5"/>
      <c r="I66" s="5"/>
      <c r="J66" s="5"/>
      <c r="K66" s="5"/>
      <c r="L66" s="5"/>
      <c r="M66" s="5"/>
      <c r="N66" s="5"/>
      <c r="O66" s="5"/>
      <c r="P66" s="5"/>
      <c r="Q66" s="5"/>
      <c r="R66" s="5"/>
      <c r="S66" s="5"/>
      <c r="T66" s="5"/>
      <c r="U66" s="5"/>
      <c r="V66" s="5"/>
      <c r="W66" s="5"/>
      <c r="X66" s="5"/>
      <c r="Y66" s="5"/>
      <c r="Z66" s="5"/>
      <c r="AA66" s="5"/>
      <c r="AB66" s="5"/>
      <c r="AC66" s="5"/>
      <c r="AD66" s="5"/>
      <c r="AE66" s="5"/>
      <c r="AF66" s="5"/>
      <c r="AG66" s="5"/>
      <c r="AH66" s="5"/>
      <c r="AI66" s="5"/>
      <c r="AJ66" s="5"/>
      <c r="AK66" s="5"/>
      <c r="AL66" s="5"/>
      <c r="AM66" s="5"/>
      <c r="AN66" s="5"/>
    </row>
    <row r="67" spans="2:40" x14ac:dyDescent="0.3">
      <c r="B67" s="5"/>
      <c r="C67" s="5"/>
      <c r="D67" s="5"/>
      <c r="E67" s="5"/>
      <c r="F67" s="5"/>
      <c r="G67" s="5"/>
      <c r="H67" s="5"/>
      <c r="I67" s="5"/>
      <c r="J67" s="5"/>
      <c r="K67" s="5"/>
      <c r="L67" s="5"/>
      <c r="M67" s="5"/>
      <c r="N67" s="5"/>
      <c r="O67" s="5"/>
      <c r="P67" s="5"/>
      <c r="Q67" s="5"/>
      <c r="R67" s="5"/>
      <c r="S67" s="5"/>
      <c r="T67" s="5"/>
      <c r="U67" s="5"/>
      <c r="V67" s="5"/>
      <c r="W67" s="5"/>
      <c r="X67" s="5"/>
      <c r="Y67" s="5"/>
      <c r="Z67" s="5"/>
      <c r="AA67" s="5"/>
      <c r="AB67" s="5"/>
      <c r="AC67" s="5"/>
      <c r="AD67" s="5"/>
      <c r="AE67" s="5"/>
      <c r="AF67" s="5"/>
      <c r="AG67" s="5"/>
      <c r="AH67" s="5"/>
      <c r="AI67" s="5"/>
      <c r="AJ67" s="5"/>
      <c r="AK67" s="5"/>
      <c r="AL67" s="5"/>
      <c r="AM67" s="5"/>
      <c r="AN67" s="5"/>
    </row>
    <row r="68" spans="2:40" x14ac:dyDescent="0.3">
      <c r="B68" s="5"/>
      <c r="C68" s="5"/>
      <c r="D68" s="5"/>
      <c r="E68" s="5"/>
      <c r="F68" s="5"/>
      <c r="G68" s="5"/>
      <c r="H68" s="5"/>
      <c r="I68" s="5"/>
      <c r="J68" s="5"/>
      <c r="K68" s="5"/>
      <c r="L68" s="5"/>
      <c r="M68" s="5"/>
      <c r="N68" s="5"/>
      <c r="O68" s="5"/>
      <c r="P68" s="5"/>
      <c r="Q68" s="5"/>
      <c r="R68" s="5"/>
      <c r="S68" s="5"/>
      <c r="T68" s="5"/>
      <c r="U68" s="5"/>
      <c r="V68" s="5"/>
      <c r="W68" s="5"/>
      <c r="X68" s="5"/>
      <c r="Y68" s="5"/>
      <c r="Z68" s="5"/>
      <c r="AA68" s="5"/>
      <c r="AB68" s="5"/>
      <c r="AC68" s="5"/>
      <c r="AD68" s="5"/>
      <c r="AE68" s="5"/>
      <c r="AF68" s="5"/>
      <c r="AG68" s="5"/>
      <c r="AH68" s="5"/>
      <c r="AI68" s="5"/>
      <c r="AJ68" s="5"/>
      <c r="AK68" s="5"/>
      <c r="AL68" s="5"/>
      <c r="AM68" s="5"/>
      <c r="AN68" s="5"/>
    </row>
    <row r="69" spans="2:40" x14ac:dyDescent="0.3">
      <c r="B69" s="5"/>
      <c r="C69" s="5"/>
      <c r="D69" s="5"/>
      <c r="E69" s="5"/>
      <c r="F69" s="5"/>
      <c r="G69" s="5"/>
      <c r="H69" s="5"/>
      <c r="I69" s="5"/>
      <c r="J69" s="5"/>
      <c r="K69" s="5"/>
      <c r="L69" s="5"/>
      <c r="M69" s="5"/>
      <c r="N69" s="5"/>
      <c r="O69" s="5"/>
      <c r="P69" s="5"/>
      <c r="Q69" s="5"/>
      <c r="R69" s="5"/>
      <c r="S69" s="5"/>
      <c r="T69" s="5"/>
      <c r="U69" s="5"/>
      <c r="V69" s="5"/>
      <c r="W69" s="5"/>
      <c r="X69" s="5"/>
      <c r="Y69" s="5"/>
      <c r="Z69" s="5"/>
      <c r="AA69" s="5"/>
      <c r="AB69" s="5"/>
      <c r="AC69" s="5"/>
      <c r="AD69" s="5"/>
      <c r="AE69" s="5"/>
      <c r="AF69" s="5"/>
      <c r="AG69" s="5"/>
      <c r="AH69" s="5"/>
      <c r="AI69" s="5"/>
      <c r="AJ69" s="5"/>
      <c r="AK69" s="5"/>
      <c r="AL69" s="5"/>
      <c r="AM69" s="5"/>
      <c r="AN69" s="5"/>
    </row>
    <row r="70" spans="2:40" x14ac:dyDescent="0.3">
      <c r="B70" s="5"/>
      <c r="C70" s="5"/>
      <c r="D70" s="5"/>
      <c r="E70" s="5"/>
      <c r="F70" s="5"/>
      <c r="G70" s="5"/>
      <c r="H70" s="5"/>
      <c r="I70" s="5"/>
      <c r="J70" s="5"/>
      <c r="K70" s="5"/>
      <c r="L70" s="5"/>
      <c r="M70" s="5"/>
      <c r="N70" s="5"/>
      <c r="O70" s="5"/>
      <c r="P70" s="5"/>
      <c r="Q70" s="5"/>
      <c r="R70" s="5"/>
      <c r="S70" s="5"/>
      <c r="T70" s="5"/>
      <c r="U70" s="5"/>
      <c r="V70" s="5"/>
      <c r="W70" s="5"/>
      <c r="X70" s="5"/>
      <c r="Y70" s="5"/>
      <c r="Z70" s="5"/>
      <c r="AA70" s="5"/>
      <c r="AB70" s="5"/>
      <c r="AC70" s="5"/>
      <c r="AD70" s="5"/>
      <c r="AE70" s="5"/>
      <c r="AF70" s="5"/>
      <c r="AG70" s="5"/>
      <c r="AH70" s="5"/>
      <c r="AI70" s="5"/>
      <c r="AJ70" s="5"/>
      <c r="AK70" s="5"/>
      <c r="AL70" s="5"/>
      <c r="AM70" s="5"/>
      <c r="AN70" s="5"/>
    </row>
    <row r="71" spans="2:40" x14ac:dyDescent="0.3">
      <c r="B71" s="5"/>
      <c r="C71" s="5"/>
      <c r="D71" s="5"/>
      <c r="E71" s="5"/>
      <c r="F71" s="5"/>
      <c r="G71" s="5"/>
      <c r="H71" s="5"/>
      <c r="I71" s="5"/>
      <c r="J71" s="5"/>
      <c r="K71" s="5"/>
      <c r="L71" s="5"/>
      <c r="M71" s="5"/>
      <c r="N71" s="5"/>
      <c r="O71" s="5"/>
      <c r="P71" s="5"/>
      <c r="Q71" s="5"/>
      <c r="R71" s="5"/>
      <c r="S71" s="5"/>
      <c r="T71" s="5"/>
      <c r="U71" s="5"/>
      <c r="V71" s="5"/>
      <c r="W71" s="5"/>
      <c r="X71" s="5"/>
      <c r="Y71" s="5"/>
      <c r="Z71" s="5"/>
      <c r="AA71" s="5"/>
      <c r="AB71" s="5"/>
      <c r="AC71" s="5"/>
      <c r="AD71" s="5"/>
      <c r="AE71" s="5"/>
      <c r="AF71" s="5"/>
      <c r="AG71" s="5"/>
      <c r="AH71" s="5"/>
      <c r="AI71" s="5"/>
      <c r="AJ71" s="5"/>
      <c r="AK71" s="5"/>
      <c r="AL71" s="5"/>
      <c r="AM71" s="5"/>
      <c r="AN71" s="5"/>
    </row>
    <row r="72" spans="2:40" x14ac:dyDescent="0.3">
      <c r="B72" s="5"/>
      <c r="C72" s="5"/>
      <c r="D72" s="5"/>
      <c r="E72" s="5"/>
      <c r="F72" s="5"/>
      <c r="G72" s="5"/>
      <c r="H72" s="5"/>
      <c r="I72" s="5"/>
      <c r="J72" s="5"/>
      <c r="K72" s="5"/>
      <c r="L72" s="5"/>
      <c r="M72" s="5"/>
      <c r="N72" s="5"/>
      <c r="O72" s="5"/>
      <c r="P72" s="5"/>
      <c r="Q72" s="5"/>
      <c r="R72" s="5"/>
      <c r="S72" s="5"/>
      <c r="T72" s="5"/>
      <c r="U72" s="5"/>
      <c r="V72" s="5"/>
      <c r="W72" s="5"/>
      <c r="X72" s="5"/>
      <c r="Y72" s="5"/>
      <c r="Z72" s="5"/>
      <c r="AA72" s="5"/>
      <c r="AB72" s="5"/>
      <c r="AC72" s="5"/>
      <c r="AD72" s="5"/>
      <c r="AE72" s="5"/>
      <c r="AF72" s="5"/>
      <c r="AG72" s="5"/>
      <c r="AH72" s="5"/>
      <c r="AI72" s="5"/>
      <c r="AJ72" s="5"/>
      <c r="AK72" s="5"/>
      <c r="AL72" s="5"/>
      <c r="AM72" s="5"/>
      <c r="AN72" s="5"/>
    </row>
    <row r="73" spans="2:40" x14ac:dyDescent="0.3">
      <c r="B73" s="5"/>
      <c r="C73" s="5"/>
      <c r="D73" s="5"/>
      <c r="E73" s="5"/>
      <c r="F73" s="5"/>
      <c r="G73" s="5"/>
      <c r="H73" s="5"/>
      <c r="I73" s="5"/>
      <c r="J73" s="5"/>
      <c r="K73" s="5"/>
      <c r="L73" s="5"/>
      <c r="M73" s="5"/>
      <c r="N73" s="5"/>
      <c r="O73" s="5"/>
      <c r="P73" s="5"/>
      <c r="Q73" s="5"/>
      <c r="R73" s="5"/>
      <c r="S73" s="5"/>
      <c r="T73" s="5"/>
      <c r="U73" s="5"/>
      <c r="V73" s="5"/>
      <c r="W73" s="5"/>
      <c r="X73" s="5"/>
      <c r="Y73" s="5"/>
      <c r="Z73" s="5"/>
      <c r="AA73" s="5"/>
      <c r="AB73" s="5"/>
      <c r="AC73" s="5"/>
      <c r="AD73" s="5"/>
      <c r="AE73" s="5"/>
      <c r="AF73" s="5"/>
      <c r="AG73" s="5"/>
      <c r="AH73" s="5"/>
      <c r="AI73" s="5"/>
      <c r="AJ73" s="5"/>
      <c r="AK73" s="5"/>
      <c r="AL73" s="5"/>
      <c r="AM73" s="5"/>
      <c r="AN73" s="5"/>
    </row>
    <row r="74" spans="2:40" x14ac:dyDescent="0.3">
      <c r="B74" s="5"/>
      <c r="C74" s="5"/>
      <c r="D74" s="5"/>
      <c r="E74" s="5"/>
      <c r="F74" s="5"/>
      <c r="G74" s="5"/>
      <c r="H74" s="5"/>
      <c r="I74" s="5"/>
      <c r="J74" s="5"/>
      <c r="K74" s="5"/>
      <c r="L74" s="5"/>
      <c r="M74" s="5"/>
      <c r="N74" s="5"/>
      <c r="O74" s="5"/>
      <c r="P74" s="5"/>
      <c r="Q74" s="5"/>
      <c r="R74" s="5"/>
      <c r="S74" s="5"/>
      <c r="T74" s="5"/>
      <c r="U74" s="5"/>
      <c r="V74" s="5"/>
      <c r="W74" s="5"/>
      <c r="X74" s="5"/>
      <c r="Y74" s="5"/>
      <c r="Z74" s="5"/>
      <c r="AA74" s="5"/>
      <c r="AB74" s="5"/>
      <c r="AC74" s="5"/>
      <c r="AD74" s="5"/>
      <c r="AE74" s="5"/>
      <c r="AF74" s="5"/>
      <c r="AG74" s="5"/>
      <c r="AH74" s="5"/>
      <c r="AI74" s="5"/>
      <c r="AJ74" s="5"/>
      <c r="AK74" s="5"/>
      <c r="AL74" s="5"/>
      <c r="AM74" s="5"/>
      <c r="AN74" s="5"/>
    </row>
    <row r="75" spans="2:40" x14ac:dyDescent="0.3">
      <c r="B75" s="5"/>
      <c r="C75" s="5"/>
      <c r="D75" s="5"/>
      <c r="E75" s="5"/>
      <c r="F75" s="5"/>
      <c r="G75" s="5"/>
      <c r="H75" s="5"/>
      <c r="I75" s="5"/>
      <c r="J75" s="5"/>
      <c r="K75" s="5"/>
      <c r="L75" s="5"/>
      <c r="M75" s="5"/>
      <c r="N75" s="5"/>
      <c r="O75" s="5"/>
      <c r="P75" s="5"/>
      <c r="Q75" s="5"/>
      <c r="R75" s="5"/>
      <c r="S75" s="5"/>
      <c r="T75" s="5"/>
      <c r="U75" s="5"/>
      <c r="V75" s="5"/>
      <c r="W75" s="5"/>
      <c r="X75" s="5"/>
      <c r="Y75" s="5"/>
      <c r="Z75" s="5"/>
      <c r="AA75" s="5"/>
      <c r="AB75" s="5"/>
      <c r="AC75" s="5"/>
      <c r="AD75" s="5"/>
      <c r="AE75" s="5"/>
      <c r="AF75" s="5"/>
      <c r="AG75" s="5"/>
      <c r="AH75" s="5"/>
      <c r="AI75" s="5"/>
      <c r="AJ75" s="5"/>
      <c r="AK75" s="5"/>
      <c r="AL75" s="5"/>
      <c r="AM75" s="5"/>
      <c r="AN75" s="5"/>
    </row>
    <row r="76" spans="2:40" x14ac:dyDescent="0.3">
      <c r="B76" s="5"/>
      <c r="C76" s="5"/>
      <c r="D76" s="5"/>
      <c r="E76" s="5"/>
      <c r="F76" s="5"/>
      <c r="G76" s="5"/>
      <c r="H76" s="5"/>
      <c r="I76" s="5"/>
      <c r="J76" s="5"/>
      <c r="K76" s="5"/>
      <c r="L76" s="5"/>
      <c r="M76" s="5"/>
      <c r="N76" s="5"/>
      <c r="O76" s="5"/>
      <c r="P76" s="5"/>
      <c r="Q76" s="5"/>
      <c r="R76" s="5"/>
      <c r="S76" s="5"/>
      <c r="T76" s="5"/>
      <c r="U76" s="5"/>
      <c r="V76" s="5"/>
      <c r="W76" s="5"/>
      <c r="X76" s="5"/>
      <c r="Y76" s="5"/>
      <c r="Z76" s="5"/>
      <c r="AA76" s="5"/>
      <c r="AB76" s="5"/>
      <c r="AC76" s="5"/>
      <c r="AD76" s="5"/>
      <c r="AE76" s="5"/>
      <c r="AF76" s="5"/>
      <c r="AG76" s="5"/>
      <c r="AH76" s="5"/>
      <c r="AI76" s="5"/>
      <c r="AJ76" s="5"/>
      <c r="AK76" s="5"/>
      <c r="AL76" s="5"/>
      <c r="AM76" s="5"/>
      <c r="AN76" s="5"/>
    </row>
    <row r="77" spans="2:40" x14ac:dyDescent="0.3">
      <c r="B77" s="5"/>
      <c r="C77" s="5"/>
      <c r="D77" s="5"/>
      <c r="E77" s="5"/>
      <c r="F77" s="5"/>
      <c r="G77" s="5"/>
      <c r="H77" s="5"/>
      <c r="I77" s="5"/>
      <c r="J77" s="5"/>
      <c r="K77" s="5"/>
      <c r="L77" s="5"/>
      <c r="M77" s="5"/>
      <c r="N77" s="5"/>
      <c r="O77" s="5"/>
      <c r="P77" s="5"/>
      <c r="Q77" s="5"/>
      <c r="R77" s="5"/>
      <c r="S77" s="5"/>
      <c r="T77" s="5"/>
      <c r="U77" s="5"/>
      <c r="V77" s="5"/>
      <c r="W77" s="5"/>
      <c r="X77" s="5"/>
      <c r="Y77" s="5"/>
      <c r="Z77" s="5"/>
      <c r="AA77" s="5"/>
      <c r="AB77" s="5"/>
      <c r="AC77" s="5"/>
      <c r="AD77" s="5"/>
      <c r="AE77" s="5"/>
      <c r="AF77" s="5"/>
      <c r="AG77" s="5"/>
      <c r="AH77" s="5"/>
      <c r="AI77" s="5"/>
      <c r="AJ77" s="5"/>
      <c r="AK77" s="5"/>
      <c r="AL77" s="5"/>
      <c r="AM77" s="5"/>
      <c r="AN77" s="5"/>
    </row>
    <row r="78" spans="2:40" x14ac:dyDescent="0.3">
      <c r="B78" s="5"/>
      <c r="C78" s="5"/>
      <c r="D78" s="5"/>
      <c r="E78" s="5"/>
      <c r="F78" s="5"/>
      <c r="G78" s="5"/>
      <c r="H78" s="5"/>
      <c r="I78" s="5"/>
      <c r="J78" s="5"/>
      <c r="K78" s="5"/>
      <c r="L78" s="5"/>
      <c r="M78" s="5"/>
      <c r="N78" s="5"/>
      <c r="O78" s="5"/>
      <c r="P78" s="5"/>
      <c r="Q78" s="5"/>
      <c r="R78" s="5"/>
      <c r="S78" s="5"/>
      <c r="T78" s="5"/>
      <c r="U78" s="5"/>
      <c r="V78" s="5"/>
      <c r="W78" s="5"/>
      <c r="X78" s="5"/>
      <c r="Y78" s="5"/>
      <c r="Z78" s="5"/>
      <c r="AA78" s="5"/>
      <c r="AB78" s="5"/>
      <c r="AC78" s="5"/>
      <c r="AD78" s="5"/>
      <c r="AE78" s="5"/>
      <c r="AF78" s="5"/>
      <c r="AG78" s="5"/>
      <c r="AH78" s="5"/>
      <c r="AI78" s="5"/>
      <c r="AJ78" s="5"/>
      <c r="AK78" s="5"/>
      <c r="AL78" s="5"/>
      <c r="AM78" s="5"/>
      <c r="AN78" s="5"/>
    </row>
    <row r="79" spans="2:40" x14ac:dyDescent="0.3">
      <c r="B79" s="5"/>
      <c r="C79" s="5"/>
      <c r="D79" s="5"/>
      <c r="E79" s="5"/>
      <c r="F79" s="5"/>
      <c r="G79" s="5"/>
      <c r="H79" s="5"/>
      <c r="I79" s="5"/>
      <c r="J79" s="5"/>
      <c r="K79" s="5"/>
      <c r="L79" s="5"/>
      <c r="M79" s="5"/>
      <c r="N79" s="5"/>
      <c r="O79" s="5"/>
      <c r="P79" s="5"/>
      <c r="Q79" s="5"/>
      <c r="R79" s="5"/>
      <c r="S79" s="5"/>
      <c r="T79" s="5"/>
      <c r="U79" s="5"/>
      <c r="V79" s="5"/>
      <c r="W79" s="5"/>
      <c r="X79" s="5"/>
      <c r="Y79" s="5"/>
      <c r="Z79" s="5"/>
      <c r="AA79" s="5"/>
      <c r="AB79" s="5"/>
      <c r="AC79" s="5"/>
      <c r="AD79" s="5"/>
      <c r="AE79" s="5"/>
      <c r="AF79" s="5"/>
      <c r="AG79" s="5"/>
      <c r="AH79" s="5"/>
      <c r="AI79" s="5"/>
      <c r="AJ79" s="5"/>
      <c r="AK79" s="5"/>
      <c r="AL79" s="5"/>
      <c r="AM79" s="5"/>
      <c r="AN79" s="5"/>
    </row>
    <row r="80" spans="2:40" x14ac:dyDescent="0.3">
      <c r="B80" s="5"/>
      <c r="C80" s="5"/>
      <c r="D80" s="5"/>
      <c r="E80" s="5"/>
      <c r="F80" s="5"/>
      <c r="G80" s="5"/>
      <c r="H80" s="5"/>
      <c r="I80" s="5"/>
      <c r="J80" s="5"/>
      <c r="K80" s="5"/>
      <c r="L80" s="5"/>
      <c r="M80" s="5"/>
      <c r="N80" s="5"/>
      <c r="O80" s="5"/>
      <c r="P80" s="5"/>
      <c r="Q80" s="5"/>
      <c r="R80" s="5"/>
      <c r="S80" s="5"/>
      <c r="T80" s="5"/>
      <c r="U80" s="5"/>
      <c r="V80" s="5"/>
      <c r="W80" s="5"/>
      <c r="X80" s="5"/>
      <c r="Y80" s="5"/>
      <c r="Z80" s="5"/>
      <c r="AA80" s="5"/>
      <c r="AB80" s="5"/>
      <c r="AC80" s="5"/>
      <c r="AD80" s="5"/>
      <c r="AE80" s="5"/>
      <c r="AF80" s="5"/>
      <c r="AG80" s="5"/>
      <c r="AH80" s="5"/>
      <c r="AI80" s="5"/>
      <c r="AJ80" s="5"/>
      <c r="AK80" s="5"/>
      <c r="AL80" s="5"/>
      <c r="AM80" s="5"/>
      <c r="AN80" s="5"/>
    </row>
    <row r="81" spans="2:40" x14ac:dyDescent="0.3">
      <c r="B81" s="5"/>
      <c r="C81" s="5"/>
      <c r="D81" s="5"/>
      <c r="E81" s="5"/>
      <c r="F81" s="5"/>
      <c r="G81" s="5"/>
      <c r="H81" s="5"/>
      <c r="I81" s="5"/>
      <c r="J81" s="5"/>
      <c r="K81" s="5"/>
      <c r="L81" s="5"/>
      <c r="M81" s="5"/>
      <c r="N81" s="5"/>
      <c r="O81" s="5"/>
      <c r="P81" s="5"/>
      <c r="Q81" s="5"/>
      <c r="R81" s="5"/>
      <c r="S81" s="5"/>
      <c r="T81" s="5"/>
      <c r="U81" s="5"/>
      <c r="V81" s="5"/>
      <c r="W81" s="5"/>
      <c r="X81" s="5"/>
      <c r="Y81" s="5"/>
      <c r="Z81" s="5"/>
      <c r="AA81" s="5"/>
      <c r="AB81" s="5"/>
      <c r="AC81" s="5"/>
      <c r="AD81" s="5"/>
      <c r="AE81" s="5"/>
      <c r="AF81" s="5"/>
      <c r="AG81" s="5"/>
      <c r="AH81" s="5"/>
      <c r="AI81" s="5"/>
      <c r="AJ81" s="5"/>
      <c r="AK81" s="5"/>
      <c r="AL81" s="5"/>
      <c r="AM81" s="5"/>
      <c r="AN81" s="5"/>
    </row>
    <row r="82" spans="2:40" x14ac:dyDescent="0.3">
      <c r="B82" s="5"/>
      <c r="C82" s="5"/>
      <c r="D82" s="5"/>
      <c r="E82" s="5"/>
      <c r="F82" s="5"/>
      <c r="G82" s="5"/>
      <c r="H82" s="5"/>
      <c r="I82" s="5"/>
      <c r="J82" s="5"/>
      <c r="K82" s="5"/>
      <c r="L82" s="5"/>
      <c r="M82" s="5"/>
      <c r="N82" s="5"/>
      <c r="O82" s="5"/>
      <c r="P82" s="5"/>
      <c r="Q82" s="5"/>
      <c r="R82" s="5"/>
      <c r="S82" s="5"/>
      <c r="T82" s="5"/>
      <c r="U82" s="5"/>
      <c r="V82" s="5"/>
      <c r="W82" s="5"/>
      <c r="X82" s="5"/>
      <c r="Y82" s="5"/>
      <c r="Z82" s="5"/>
      <c r="AA82" s="5"/>
      <c r="AB82" s="5"/>
      <c r="AC82" s="5"/>
      <c r="AD82" s="5"/>
      <c r="AE82" s="5"/>
      <c r="AF82" s="5"/>
      <c r="AG82" s="5"/>
      <c r="AH82" s="5"/>
      <c r="AI82" s="5"/>
      <c r="AJ82" s="5"/>
      <c r="AK82" s="5"/>
      <c r="AL82" s="5"/>
      <c r="AM82" s="5"/>
      <c r="AN82" s="5"/>
    </row>
    <row r="83" spans="2:40" x14ac:dyDescent="0.3">
      <c r="B83" s="5"/>
      <c r="C83" s="5"/>
      <c r="D83" s="5"/>
      <c r="E83" s="5"/>
      <c r="F83" s="5"/>
      <c r="G83" s="5"/>
      <c r="H83" s="5"/>
      <c r="I83" s="5"/>
      <c r="J83" s="5"/>
      <c r="K83" s="5"/>
      <c r="L83" s="5"/>
      <c r="M83" s="5"/>
      <c r="N83" s="5"/>
      <c r="O83" s="5"/>
      <c r="P83" s="5"/>
      <c r="Q83" s="5"/>
      <c r="R83" s="5"/>
      <c r="S83" s="5"/>
      <c r="T83" s="5"/>
      <c r="U83" s="5"/>
      <c r="V83" s="5"/>
      <c r="W83" s="5"/>
      <c r="X83" s="5"/>
      <c r="Y83" s="5"/>
      <c r="Z83" s="5"/>
      <c r="AA83" s="5"/>
      <c r="AB83" s="5"/>
      <c r="AC83" s="5"/>
      <c r="AD83" s="5"/>
      <c r="AE83" s="5"/>
      <c r="AF83" s="5"/>
      <c r="AG83" s="5"/>
      <c r="AH83" s="5"/>
      <c r="AI83" s="5"/>
      <c r="AJ83" s="5"/>
      <c r="AK83" s="5"/>
      <c r="AL83" s="5"/>
      <c r="AM83" s="5"/>
      <c r="AN83" s="5"/>
    </row>
    <row r="84" spans="2:40" x14ac:dyDescent="0.3">
      <c r="B84" s="5"/>
      <c r="C84" s="5"/>
      <c r="D84" s="5"/>
      <c r="E84" s="5"/>
      <c r="F84" s="5"/>
      <c r="G84" s="5"/>
      <c r="H84" s="5"/>
      <c r="I84" s="5"/>
      <c r="J84" s="5"/>
      <c r="K84" s="5"/>
      <c r="L84" s="5"/>
      <c r="M84" s="5"/>
      <c r="N84" s="5"/>
      <c r="O84" s="5"/>
      <c r="P84" s="5"/>
      <c r="Q84" s="5"/>
      <c r="R84" s="5"/>
      <c r="S84" s="5"/>
      <c r="T84" s="5"/>
      <c r="U84" s="5"/>
      <c r="V84" s="5"/>
      <c r="W84" s="5"/>
      <c r="X84" s="5"/>
      <c r="Y84" s="5"/>
      <c r="Z84" s="5"/>
      <c r="AA84" s="5"/>
      <c r="AB84" s="5"/>
      <c r="AC84" s="5"/>
      <c r="AD84" s="5"/>
      <c r="AE84" s="5"/>
      <c r="AF84" s="5"/>
      <c r="AG84" s="5"/>
      <c r="AH84" s="5"/>
      <c r="AI84" s="5"/>
      <c r="AJ84" s="5"/>
      <c r="AK84" s="5"/>
      <c r="AL84" s="5"/>
      <c r="AM84" s="5"/>
      <c r="AN84" s="5"/>
    </row>
    <row r="85" spans="2:40" x14ac:dyDescent="0.3">
      <c r="B85" s="5"/>
      <c r="C85" s="5"/>
      <c r="D85" s="5"/>
      <c r="E85" s="5"/>
      <c r="F85" s="5"/>
      <c r="G85" s="5"/>
      <c r="H85" s="5"/>
      <c r="I85" s="5"/>
      <c r="J85" s="5"/>
      <c r="K85" s="5"/>
      <c r="L85" s="5"/>
      <c r="M85" s="5"/>
      <c r="N85" s="5"/>
      <c r="O85" s="5"/>
      <c r="P85" s="5"/>
      <c r="Q85" s="5"/>
      <c r="R85" s="5"/>
      <c r="S85" s="5"/>
      <c r="T85" s="5"/>
      <c r="U85" s="5"/>
      <c r="V85" s="5"/>
      <c r="W85" s="5"/>
      <c r="X85" s="5"/>
      <c r="Y85" s="5"/>
      <c r="Z85" s="5"/>
      <c r="AA85" s="5"/>
      <c r="AB85" s="5"/>
      <c r="AC85" s="5"/>
      <c r="AD85" s="5"/>
      <c r="AE85" s="5"/>
      <c r="AF85" s="5"/>
      <c r="AG85" s="5"/>
      <c r="AH85" s="5"/>
      <c r="AI85" s="5"/>
      <c r="AJ85" s="5"/>
      <c r="AK85" s="5"/>
      <c r="AL85" s="5"/>
      <c r="AM85" s="5"/>
      <c r="AN85" s="5"/>
    </row>
    <row r="86" spans="2:40" x14ac:dyDescent="0.3">
      <c r="B86" s="5"/>
      <c r="C86" s="5"/>
      <c r="D86" s="5"/>
      <c r="E86" s="5"/>
      <c r="F86" s="5"/>
      <c r="G86" s="5"/>
      <c r="H86" s="5"/>
      <c r="I86" s="5"/>
      <c r="J86" s="5"/>
      <c r="K86" s="5"/>
      <c r="L86" s="5"/>
      <c r="M86" s="5"/>
      <c r="N86" s="5"/>
      <c r="O86" s="5"/>
      <c r="P86" s="5"/>
      <c r="Q86" s="5"/>
      <c r="R86" s="5"/>
      <c r="S86" s="5"/>
      <c r="T86" s="5"/>
      <c r="U86" s="5"/>
      <c r="V86" s="5"/>
      <c r="W86" s="5"/>
      <c r="X86" s="5"/>
      <c r="Y86" s="5"/>
      <c r="Z86" s="5"/>
      <c r="AA86" s="5"/>
      <c r="AB86" s="5"/>
      <c r="AC86" s="5"/>
      <c r="AD86" s="5"/>
      <c r="AE86" s="5"/>
      <c r="AF86" s="5"/>
      <c r="AG86" s="5"/>
      <c r="AH86" s="5"/>
      <c r="AI86" s="5"/>
      <c r="AJ86" s="5"/>
      <c r="AK86" s="5"/>
      <c r="AL86" s="5"/>
      <c r="AM86" s="5"/>
      <c r="AN86" s="5"/>
    </row>
    <row r="87" spans="2:40" x14ac:dyDescent="0.3">
      <c r="B87" s="5"/>
      <c r="C87" s="5"/>
      <c r="D87" s="5"/>
      <c r="E87" s="5"/>
      <c r="F87" s="5"/>
      <c r="G87" s="5"/>
      <c r="H87" s="5"/>
      <c r="I87" s="5"/>
      <c r="J87" s="5"/>
      <c r="K87" s="5"/>
      <c r="L87" s="5"/>
      <c r="M87" s="5"/>
      <c r="N87" s="5"/>
      <c r="O87" s="5"/>
      <c r="P87" s="5"/>
      <c r="Q87" s="5"/>
      <c r="R87" s="5"/>
      <c r="S87" s="5"/>
      <c r="T87" s="5"/>
      <c r="U87" s="5"/>
      <c r="V87" s="5"/>
      <c r="W87" s="5"/>
      <c r="X87" s="5"/>
      <c r="Y87" s="5"/>
      <c r="Z87" s="5"/>
      <c r="AA87" s="5"/>
      <c r="AB87" s="5"/>
      <c r="AC87" s="5"/>
      <c r="AD87" s="5"/>
      <c r="AE87" s="5"/>
      <c r="AF87" s="5"/>
      <c r="AG87" s="5"/>
      <c r="AH87" s="5"/>
      <c r="AI87" s="5"/>
      <c r="AJ87" s="5"/>
      <c r="AK87" s="5"/>
      <c r="AL87" s="5"/>
      <c r="AM87" s="5"/>
      <c r="AN87" s="5"/>
    </row>
    <row r="88" spans="2:40" x14ac:dyDescent="0.3">
      <c r="B88" s="5"/>
      <c r="C88" s="5"/>
      <c r="D88" s="5"/>
      <c r="E88" s="5"/>
      <c r="F88" s="5"/>
      <c r="G88" s="5"/>
      <c r="H88" s="5"/>
      <c r="I88" s="5"/>
      <c r="J88" s="5"/>
      <c r="K88" s="5"/>
      <c r="L88" s="5"/>
      <c r="M88" s="5"/>
      <c r="N88" s="5"/>
      <c r="O88" s="5"/>
      <c r="P88" s="5"/>
      <c r="Q88" s="5"/>
      <c r="R88" s="5"/>
      <c r="S88" s="5"/>
      <c r="T88" s="5"/>
      <c r="U88" s="5"/>
      <c r="V88" s="5"/>
      <c r="W88" s="5"/>
      <c r="X88" s="5"/>
      <c r="Y88" s="5"/>
      <c r="Z88" s="5"/>
      <c r="AA88" s="5"/>
      <c r="AB88" s="5"/>
      <c r="AC88" s="5"/>
      <c r="AD88" s="5"/>
      <c r="AE88" s="5"/>
      <c r="AF88" s="5"/>
      <c r="AG88" s="5"/>
      <c r="AH88" s="5"/>
      <c r="AI88" s="5"/>
      <c r="AJ88" s="5"/>
      <c r="AK88" s="5"/>
      <c r="AL88" s="5"/>
      <c r="AM88" s="5"/>
      <c r="AN88" s="5"/>
    </row>
    <row r="89" spans="2:40" x14ac:dyDescent="0.3">
      <c r="B89" s="5"/>
      <c r="C89" s="5"/>
      <c r="D89" s="5"/>
      <c r="E89" s="5"/>
      <c r="F89" s="5"/>
      <c r="G89" s="5"/>
      <c r="H89" s="5"/>
      <c r="I89" s="5"/>
      <c r="J89" s="5"/>
      <c r="K89" s="5"/>
      <c r="L89" s="5"/>
      <c r="M89" s="5"/>
      <c r="N89" s="5"/>
      <c r="O89" s="5"/>
      <c r="P89" s="5"/>
      <c r="Q89" s="5"/>
      <c r="R89" s="5"/>
      <c r="S89" s="5"/>
      <c r="T89" s="5"/>
      <c r="U89" s="5"/>
      <c r="V89" s="5"/>
      <c r="W89" s="5"/>
      <c r="X89" s="5"/>
      <c r="Y89" s="5"/>
      <c r="Z89" s="5"/>
      <c r="AA89" s="5"/>
      <c r="AB89" s="5"/>
      <c r="AC89" s="5"/>
      <c r="AD89" s="5"/>
      <c r="AE89" s="5"/>
      <c r="AF89" s="5"/>
      <c r="AG89" s="5"/>
      <c r="AH89" s="5"/>
      <c r="AI89" s="5"/>
      <c r="AJ89" s="5"/>
      <c r="AK89" s="5"/>
      <c r="AL89" s="5"/>
      <c r="AM89" s="5"/>
      <c r="AN89" s="5"/>
    </row>
    <row r="90" spans="2:40" x14ac:dyDescent="0.3">
      <c r="B90" s="5"/>
      <c r="C90" s="5"/>
      <c r="D90" s="5"/>
      <c r="E90" s="5"/>
      <c r="F90" s="5"/>
      <c r="G90" s="5"/>
      <c r="H90" s="5"/>
      <c r="I90" s="5"/>
      <c r="J90" s="5"/>
      <c r="K90" s="5"/>
      <c r="L90" s="5"/>
      <c r="M90" s="5"/>
      <c r="N90" s="5"/>
      <c r="O90" s="5"/>
      <c r="P90" s="5"/>
      <c r="Q90" s="5"/>
      <c r="R90" s="5"/>
      <c r="S90" s="5"/>
      <c r="T90" s="5"/>
      <c r="U90" s="5"/>
      <c r="V90" s="5"/>
      <c r="W90" s="5"/>
      <c r="X90" s="5"/>
      <c r="Y90" s="5"/>
      <c r="Z90" s="5"/>
      <c r="AA90" s="5"/>
      <c r="AB90" s="5"/>
      <c r="AC90" s="5"/>
      <c r="AD90" s="5"/>
      <c r="AE90" s="5"/>
      <c r="AF90" s="5"/>
      <c r="AG90" s="5"/>
      <c r="AH90" s="5"/>
      <c r="AI90" s="5"/>
      <c r="AJ90" s="5"/>
      <c r="AK90" s="5"/>
      <c r="AL90" s="5"/>
      <c r="AM90" s="5"/>
      <c r="AN90" s="5"/>
    </row>
    <row r="91" spans="2:40" x14ac:dyDescent="0.3">
      <c r="B91" s="5"/>
      <c r="C91" s="5"/>
      <c r="D91" s="5"/>
      <c r="E91" s="5"/>
      <c r="F91" s="5"/>
      <c r="G91" s="5"/>
      <c r="H91" s="5"/>
      <c r="I91" s="5"/>
      <c r="J91" s="5"/>
      <c r="K91" s="5"/>
      <c r="L91" s="5"/>
      <c r="M91" s="5"/>
      <c r="N91" s="5"/>
      <c r="O91" s="5"/>
      <c r="P91" s="5"/>
      <c r="Q91" s="5"/>
      <c r="R91" s="5"/>
      <c r="S91" s="5"/>
      <c r="T91" s="5"/>
      <c r="U91" s="5"/>
      <c r="V91" s="5"/>
      <c r="W91" s="5"/>
      <c r="X91" s="5"/>
      <c r="Y91" s="5"/>
      <c r="Z91" s="5"/>
      <c r="AA91" s="5"/>
      <c r="AB91" s="5"/>
      <c r="AC91" s="5"/>
      <c r="AD91" s="5"/>
      <c r="AE91" s="5"/>
      <c r="AF91" s="5"/>
      <c r="AG91" s="5"/>
      <c r="AH91" s="5"/>
      <c r="AI91" s="5"/>
      <c r="AJ91" s="5"/>
      <c r="AK91" s="5"/>
      <c r="AL91" s="5"/>
      <c r="AM91" s="5"/>
      <c r="AN91" s="5"/>
    </row>
    <row r="92" spans="2:40" x14ac:dyDescent="0.3">
      <c r="B92" s="5"/>
      <c r="C92" s="5"/>
      <c r="D92" s="5"/>
      <c r="E92" s="5"/>
      <c r="F92" s="5"/>
      <c r="G92" s="5"/>
      <c r="H92" s="5"/>
      <c r="I92" s="5"/>
      <c r="J92" s="5"/>
      <c r="K92" s="5"/>
      <c r="L92" s="5"/>
      <c r="M92" s="5"/>
      <c r="N92" s="5"/>
      <c r="O92" s="5"/>
      <c r="P92" s="5"/>
      <c r="Q92" s="5"/>
      <c r="R92" s="5"/>
      <c r="S92" s="5"/>
      <c r="T92" s="5"/>
      <c r="U92" s="5"/>
      <c r="V92" s="5"/>
      <c r="W92" s="5"/>
      <c r="X92" s="5"/>
      <c r="Y92" s="5"/>
      <c r="Z92" s="5"/>
      <c r="AA92" s="5"/>
      <c r="AB92" s="5"/>
      <c r="AC92" s="5"/>
      <c r="AD92" s="5"/>
      <c r="AE92" s="5"/>
      <c r="AF92" s="5"/>
      <c r="AG92" s="5"/>
      <c r="AH92" s="5"/>
      <c r="AI92" s="5"/>
      <c r="AJ92" s="5"/>
      <c r="AK92" s="5"/>
      <c r="AL92" s="5"/>
      <c r="AM92" s="5"/>
      <c r="AN92" s="5"/>
    </row>
    <row r="93" spans="2:40" x14ac:dyDescent="0.3">
      <c r="B93" s="5"/>
      <c r="C93" s="5"/>
      <c r="D93" s="5"/>
      <c r="E93" s="5"/>
      <c r="F93" s="5"/>
      <c r="G93" s="5"/>
      <c r="H93" s="5"/>
      <c r="I93" s="5"/>
      <c r="J93" s="5"/>
      <c r="K93" s="5"/>
      <c r="L93" s="5"/>
      <c r="M93" s="5"/>
      <c r="N93" s="5"/>
      <c r="O93" s="5"/>
      <c r="P93" s="5"/>
      <c r="Q93" s="5"/>
      <c r="R93" s="5"/>
      <c r="S93" s="5"/>
      <c r="T93" s="5"/>
      <c r="U93" s="5"/>
      <c r="V93" s="5"/>
      <c r="W93" s="5"/>
      <c r="X93" s="5"/>
      <c r="Y93" s="5"/>
      <c r="Z93" s="5"/>
      <c r="AA93" s="5"/>
      <c r="AB93" s="5"/>
      <c r="AC93" s="5"/>
      <c r="AD93" s="5"/>
      <c r="AE93" s="5"/>
      <c r="AF93" s="5"/>
      <c r="AG93" s="5"/>
      <c r="AH93" s="5"/>
      <c r="AI93" s="5"/>
      <c r="AJ93" s="5"/>
      <c r="AK93" s="5"/>
      <c r="AL93" s="5"/>
      <c r="AM93" s="5"/>
      <c r="AN93" s="5"/>
    </row>
    <row r="94" spans="2:40" x14ac:dyDescent="0.3">
      <c r="B94" s="5"/>
      <c r="C94" s="5"/>
      <c r="D94" s="5"/>
      <c r="E94" s="5"/>
      <c r="F94" s="5"/>
      <c r="G94" s="5"/>
      <c r="H94" s="5"/>
      <c r="I94" s="5"/>
      <c r="J94" s="5"/>
      <c r="K94" s="5"/>
      <c r="L94" s="5"/>
      <c r="M94" s="5"/>
      <c r="N94" s="5"/>
      <c r="O94" s="5"/>
      <c r="P94" s="5"/>
      <c r="Q94" s="5"/>
      <c r="R94" s="5"/>
      <c r="S94" s="5"/>
      <c r="T94" s="5"/>
      <c r="U94" s="5"/>
      <c r="V94" s="5"/>
      <c r="W94" s="5"/>
      <c r="X94" s="5"/>
      <c r="Y94" s="5"/>
      <c r="Z94" s="5"/>
      <c r="AA94" s="5"/>
      <c r="AB94" s="5"/>
      <c r="AC94" s="5"/>
      <c r="AD94" s="5"/>
      <c r="AE94" s="5"/>
      <c r="AF94" s="5"/>
      <c r="AG94" s="5"/>
      <c r="AH94" s="5"/>
      <c r="AI94" s="5"/>
      <c r="AJ94" s="5"/>
      <c r="AK94" s="5"/>
      <c r="AL94" s="5"/>
      <c r="AM94" s="5"/>
      <c r="AN94" s="5"/>
    </row>
    <row r="95" spans="2:40" x14ac:dyDescent="0.3">
      <c r="B95" s="5"/>
      <c r="C95" s="5"/>
      <c r="D95" s="5"/>
      <c r="E95" s="5"/>
      <c r="F95" s="5"/>
      <c r="G95" s="5"/>
      <c r="H95" s="5"/>
      <c r="I95" s="5"/>
      <c r="J95" s="5"/>
      <c r="K95" s="5"/>
      <c r="L95" s="5"/>
      <c r="M95" s="5"/>
      <c r="N95" s="5"/>
      <c r="O95" s="5"/>
      <c r="P95" s="5"/>
      <c r="Q95" s="5"/>
      <c r="R95" s="5"/>
      <c r="S95" s="5"/>
      <c r="T95" s="5"/>
      <c r="U95" s="5"/>
      <c r="V95" s="5"/>
      <c r="W95" s="5"/>
      <c r="X95" s="5"/>
      <c r="Y95" s="5"/>
      <c r="Z95" s="5"/>
      <c r="AA95" s="5"/>
      <c r="AB95" s="5"/>
      <c r="AC95" s="5"/>
      <c r="AD95" s="5"/>
      <c r="AE95" s="5"/>
      <c r="AF95" s="5"/>
      <c r="AG95" s="5"/>
      <c r="AH95" s="5"/>
      <c r="AI95" s="5"/>
      <c r="AJ95" s="5"/>
      <c r="AK95" s="5"/>
      <c r="AL95" s="5"/>
      <c r="AM95" s="5"/>
      <c r="AN95" s="5"/>
    </row>
    <row r="96" spans="2:40" x14ac:dyDescent="0.3">
      <c r="B96" s="5"/>
      <c r="C96" s="5"/>
      <c r="D96" s="5"/>
      <c r="E96" s="5"/>
      <c r="F96" s="5"/>
      <c r="G96" s="5"/>
      <c r="H96" s="5"/>
      <c r="I96" s="5"/>
      <c r="J96" s="5"/>
      <c r="K96" s="5"/>
      <c r="L96" s="5"/>
      <c r="M96" s="5"/>
      <c r="N96" s="5"/>
      <c r="O96" s="5"/>
      <c r="P96" s="5"/>
      <c r="Q96" s="5"/>
      <c r="R96" s="5"/>
      <c r="S96" s="5"/>
      <c r="T96" s="5"/>
      <c r="U96" s="5"/>
      <c r="V96" s="5"/>
      <c r="W96" s="5"/>
      <c r="X96" s="5"/>
      <c r="Y96" s="5"/>
      <c r="Z96" s="5"/>
      <c r="AA96" s="5"/>
      <c r="AB96" s="5"/>
      <c r="AC96" s="5"/>
      <c r="AD96" s="5"/>
      <c r="AE96" s="5"/>
      <c r="AF96" s="5"/>
      <c r="AG96" s="5"/>
      <c r="AH96" s="5"/>
      <c r="AI96" s="5"/>
      <c r="AJ96" s="5"/>
      <c r="AK96" s="5"/>
      <c r="AL96" s="5"/>
      <c r="AM96" s="5"/>
      <c r="AN96" s="5"/>
    </row>
    <row r="97" spans="2:40" x14ac:dyDescent="0.3">
      <c r="B97" s="5"/>
      <c r="C97" s="5"/>
      <c r="D97" s="5"/>
      <c r="E97" s="5"/>
      <c r="F97" s="5"/>
      <c r="G97" s="5"/>
      <c r="H97" s="5"/>
      <c r="I97" s="5"/>
      <c r="J97" s="5"/>
      <c r="K97" s="5"/>
      <c r="L97" s="5"/>
      <c r="M97" s="5"/>
      <c r="N97" s="5"/>
      <c r="O97" s="5"/>
      <c r="P97" s="5"/>
      <c r="Q97" s="5"/>
      <c r="R97" s="5"/>
      <c r="S97" s="5"/>
      <c r="T97" s="5"/>
      <c r="U97" s="5"/>
      <c r="V97" s="5"/>
      <c r="W97" s="5"/>
      <c r="X97" s="5"/>
      <c r="Y97" s="5"/>
      <c r="Z97" s="5"/>
      <c r="AA97" s="5"/>
      <c r="AB97" s="5"/>
      <c r="AC97" s="5"/>
      <c r="AD97" s="5"/>
      <c r="AE97" s="5"/>
      <c r="AF97" s="5"/>
      <c r="AG97" s="5"/>
      <c r="AH97" s="5"/>
      <c r="AI97" s="5"/>
      <c r="AJ97" s="5"/>
      <c r="AK97" s="5"/>
      <c r="AL97" s="5"/>
      <c r="AM97" s="5"/>
      <c r="AN97" s="5"/>
    </row>
    <row r="98" spans="2:40" x14ac:dyDescent="0.3">
      <c r="B98" s="5"/>
      <c r="C98" s="5"/>
      <c r="D98" s="5"/>
      <c r="E98" s="5"/>
      <c r="F98" s="5"/>
      <c r="G98" s="5"/>
      <c r="H98" s="5"/>
      <c r="I98" s="5"/>
      <c r="J98" s="5"/>
      <c r="K98" s="5"/>
      <c r="L98" s="5"/>
      <c r="M98" s="5"/>
      <c r="N98" s="5"/>
      <c r="O98" s="5"/>
      <c r="P98" s="5"/>
      <c r="Q98" s="5"/>
      <c r="R98" s="5"/>
      <c r="S98" s="5"/>
      <c r="T98" s="5"/>
      <c r="U98" s="5"/>
      <c r="V98" s="5"/>
      <c r="W98" s="5"/>
      <c r="X98" s="5"/>
      <c r="Y98" s="5"/>
      <c r="Z98" s="5"/>
      <c r="AA98" s="5"/>
      <c r="AB98" s="5"/>
      <c r="AC98" s="5"/>
      <c r="AD98" s="5"/>
      <c r="AE98" s="5"/>
      <c r="AF98" s="5"/>
      <c r="AG98" s="5"/>
      <c r="AH98" s="5"/>
      <c r="AI98" s="5"/>
      <c r="AJ98" s="5"/>
      <c r="AK98" s="5"/>
      <c r="AL98" s="5"/>
      <c r="AM98" s="5"/>
      <c r="AN98" s="5"/>
    </row>
    <row r="99" spans="2:40" x14ac:dyDescent="0.3">
      <c r="B99" s="5"/>
      <c r="C99" s="5"/>
      <c r="D99" s="5"/>
      <c r="E99" s="5"/>
      <c r="F99" s="5"/>
      <c r="G99" s="5"/>
      <c r="H99" s="5"/>
      <c r="I99" s="5"/>
      <c r="J99" s="5"/>
      <c r="K99" s="5"/>
      <c r="L99" s="5"/>
      <c r="M99" s="5"/>
      <c r="N99" s="5"/>
      <c r="O99" s="5"/>
      <c r="P99" s="5"/>
      <c r="Q99" s="5"/>
      <c r="R99" s="5"/>
      <c r="S99" s="5"/>
      <c r="T99" s="5"/>
      <c r="U99" s="5"/>
      <c r="V99" s="5"/>
      <c r="W99" s="5"/>
      <c r="X99" s="5"/>
      <c r="Y99" s="5"/>
      <c r="Z99" s="5"/>
      <c r="AA99" s="5"/>
      <c r="AB99" s="5"/>
      <c r="AC99" s="5"/>
      <c r="AD99" s="5"/>
      <c r="AE99" s="5"/>
      <c r="AF99" s="5"/>
      <c r="AG99" s="5"/>
      <c r="AH99" s="5"/>
      <c r="AI99" s="5"/>
      <c r="AJ99" s="5"/>
      <c r="AK99" s="5"/>
      <c r="AL99" s="5"/>
      <c r="AM99" s="5"/>
      <c r="AN99" s="5"/>
    </row>
    <row r="100" spans="2:40" x14ac:dyDescent="0.3">
      <c r="B100" s="5"/>
      <c r="C100" s="5"/>
      <c r="D100" s="5"/>
      <c r="E100" s="5"/>
      <c r="F100" s="5"/>
      <c r="G100" s="5"/>
      <c r="H100" s="5"/>
      <c r="I100" s="5"/>
      <c r="J100" s="5"/>
      <c r="K100" s="5"/>
      <c r="L100" s="5"/>
      <c r="M100" s="5"/>
      <c r="N100" s="5"/>
      <c r="O100" s="5"/>
      <c r="P100" s="5"/>
      <c r="Q100" s="5"/>
      <c r="R100" s="5"/>
      <c r="S100" s="5"/>
      <c r="T100" s="5"/>
      <c r="U100" s="5"/>
      <c r="V100" s="5"/>
      <c r="W100" s="5"/>
      <c r="X100" s="5"/>
      <c r="Y100" s="5"/>
      <c r="Z100" s="5"/>
      <c r="AA100" s="5"/>
      <c r="AB100" s="5"/>
      <c r="AC100" s="5"/>
      <c r="AD100" s="5"/>
      <c r="AE100" s="5"/>
      <c r="AF100" s="5"/>
      <c r="AG100" s="5"/>
      <c r="AH100" s="5"/>
      <c r="AI100" s="5"/>
      <c r="AJ100" s="5"/>
      <c r="AK100" s="5"/>
      <c r="AL100" s="5"/>
      <c r="AM100" s="5"/>
      <c r="AN100" s="5"/>
    </row>
  </sheetData>
  <pageMargins left="0.7" right="0.7" top="0.75" bottom="0.75" header="0.3" footer="0.3"/>
  <ignoredErrors>
    <ignoredError sqref="A2:AN13" formula="1"/>
  </ignoredError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CA9353-00A7-4DFE-9C34-2BB125AAF5B1}">
  <sheetPr>
    <tabColor rgb="FF1F3864"/>
  </sheetPr>
  <dimension ref="A1:AN101"/>
  <sheetViews>
    <sheetView showGridLines="0" workbookViewId="0">
      <pane xSplit="1" ySplit="2" topLeftCell="AL3" activePane="bottomRight" state="frozen"/>
      <selection pane="topRight" activeCell="B1" sqref="B1"/>
      <selection pane="bottomLeft" activeCell="A3" sqref="A3"/>
      <selection pane="bottomRight" activeCell="AR16" sqref="AR16"/>
    </sheetView>
  </sheetViews>
  <sheetFormatPr defaultRowHeight="14.4" x14ac:dyDescent="0.3"/>
  <cols>
    <col min="1" max="1" width="31.5546875" bestFit="1" customWidth="1"/>
    <col min="2" max="7" width="10" bestFit="1" customWidth="1"/>
    <col min="8" max="8" width="11" bestFit="1" customWidth="1"/>
    <col min="9" max="12" width="10" bestFit="1" customWidth="1"/>
    <col min="13" max="13" width="12" bestFit="1" customWidth="1"/>
    <col min="14" max="19" width="10" bestFit="1" customWidth="1"/>
    <col min="20" max="20" width="12" bestFit="1" customWidth="1"/>
    <col min="21" max="37" width="10" bestFit="1" customWidth="1"/>
    <col min="38" max="40" width="11" bestFit="1" customWidth="1"/>
  </cols>
  <sheetData>
    <row r="1" spans="1:40" ht="24" customHeight="1" thickBot="1" x14ac:dyDescent="0.35">
      <c r="A1" s="140" t="str" cm="1">
        <f t="array" ref="A1:AK2">'23_Time'!A1:AK2</f>
        <v>Month Index</v>
      </c>
      <c r="B1" s="141">
        <v>1</v>
      </c>
      <c r="C1" s="141">
        <v>2</v>
      </c>
      <c r="D1" s="141">
        <v>3</v>
      </c>
      <c r="E1" s="141">
        <v>4</v>
      </c>
      <c r="F1" s="141">
        <v>5</v>
      </c>
      <c r="G1" s="141">
        <v>6</v>
      </c>
      <c r="H1" s="141">
        <v>7</v>
      </c>
      <c r="I1" s="141">
        <v>8</v>
      </c>
      <c r="J1" s="141">
        <v>9</v>
      </c>
      <c r="K1" s="141">
        <v>10</v>
      </c>
      <c r="L1" s="141">
        <v>11</v>
      </c>
      <c r="M1" s="141">
        <v>12</v>
      </c>
      <c r="N1" s="141">
        <v>13</v>
      </c>
      <c r="O1" s="141">
        <v>14</v>
      </c>
      <c r="P1" s="141">
        <v>15</v>
      </c>
      <c r="Q1" s="141">
        <v>16</v>
      </c>
      <c r="R1" s="141">
        <v>17</v>
      </c>
      <c r="S1" s="141">
        <v>18</v>
      </c>
      <c r="T1" s="141">
        <v>19</v>
      </c>
      <c r="U1" s="141">
        <v>20</v>
      </c>
      <c r="V1" s="141">
        <v>21</v>
      </c>
      <c r="W1" s="141">
        <v>22</v>
      </c>
      <c r="X1" s="141">
        <v>23</v>
      </c>
      <c r="Y1" s="141">
        <v>24</v>
      </c>
      <c r="Z1" s="141">
        <v>25</v>
      </c>
      <c r="AA1" s="141">
        <v>26</v>
      </c>
      <c r="AB1" s="141">
        <v>27</v>
      </c>
      <c r="AC1" s="141">
        <v>28</v>
      </c>
      <c r="AD1" s="141">
        <v>29</v>
      </c>
      <c r="AE1" s="141">
        <v>30</v>
      </c>
      <c r="AF1" s="141">
        <v>31</v>
      </c>
      <c r="AG1" s="141">
        <v>32</v>
      </c>
      <c r="AH1" s="141">
        <v>33</v>
      </c>
      <c r="AI1" s="141">
        <v>34</v>
      </c>
      <c r="AJ1" s="141">
        <v>35</v>
      </c>
      <c r="AK1" s="142">
        <v>36</v>
      </c>
      <c r="AL1" s="141"/>
      <c r="AM1" s="141"/>
      <c r="AN1" s="126"/>
    </row>
    <row r="2" spans="1:40" ht="15" thickBot="1" x14ac:dyDescent="0.35">
      <c r="A2" s="128" t="str">
        <v>Month Label</v>
      </c>
      <c r="B2" s="143" t="str">
        <v>M1</v>
      </c>
      <c r="C2" s="143" t="str">
        <v>M2</v>
      </c>
      <c r="D2" s="143" t="str">
        <v>M3</v>
      </c>
      <c r="E2" s="143" t="str">
        <v>M4</v>
      </c>
      <c r="F2" s="143" t="str">
        <v>M5</v>
      </c>
      <c r="G2" s="143" t="str">
        <v>M6</v>
      </c>
      <c r="H2" s="143" t="str">
        <v>M7</v>
      </c>
      <c r="I2" s="143" t="str">
        <v>M8</v>
      </c>
      <c r="J2" s="143" t="str">
        <v>M9</v>
      </c>
      <c r="K2" s="143" t="str">
        <v>M10</v>
      </c>
      <c r="L2" s="143" t="str">
        <v>M11</v>
      </c>
      <c r="M2" s="143" t="str">
        <v>M12</v>
      </c>
      <c r="N2" s="143" t="str">
        <v>M13</v>
      </c>
      <c r="O2" s="143" t="str">
        <v>M14</v>
      </c>
      <c r="P2" s="143" t="str">
        <v>M15</v>
      </c>
      <c r="Q2" s="143" t="str">
        <v>M16</v>
      </c>
      <c r="R2" s="143" t="str">
        <v>M17</v>
      </c>
      <c r="S2" s="143" t="str">
        <v>M18</v>
      </c>
      <c r="T2" s="143" t="str">
        <v>M19</v>
      </c>
      <c r="U2" s="143" t="str">
        <v>M20</v>
      </c>
      <c r="V2" s="143" t="str">
        <v>M21</v>
      </c>
      <c r="W2" s="143" t="str">
        <v>M22</v>
      </c>
      <c r="X2" s="143" t="str">
        <v>M23</v>
      </c>
      <c r="Y2" s="143" t="str">
        <v>M24</v>
      </c>
      <c r="Z2" s="143" t="str">
        <v>M25</v>
      </c>
      <c r="AA2" s="143" t="str">
        <v>M26</v>
      </c>
      <c r="AB2" s="143" t="str">
        <v>M27</v>
      </c>
      <c r="AC2" s="143" t="str">
        <v>M28</v>
      </c>
      <c r="AD2" s="143" t="str">
        <v>M29</v>
      </c>
      <c r="AE2" s="143" t="str">
        <v>M30</v>
      </c>
      <c r="AF2" s="143" t="str">
        <v>M31</v>
      </c>
      <c r="AG2" s="143" t="str">
        <v>M32</v>
      </c>
      <c r="AH2" s="143" t="str">
        <v>M33</v>
      </c>
      <c r="AI2" s="143" t="str">
        <v>M34</v>
      </c>
      <c r="AJ2" s="143" t="str">
        <v>M35</v>
      </c>
      <c r="AK2" s="143" t="str">
        <v>M36</v>
      </c>
      <c r="AL2" s="202" t="s">
        <v>72</v>
      </c>
      <c r="AM2" s="148" t="s">
        <v>73</v>
      </c>
      <c r="AN2" s="195" t="s">
        <v>74</v>
      </c>
    </row>
    <row r="3" spans="1:40" x14ac:dyDescent="0.3">
      <c r="A3" s="129" t="s">
        <v>61</v>
      </c>
      <c r="B3" s="186">
        <f>'10_Income_Statement'!B15</f>
        <v>-1227720</v>
      </c>
      <c r="C3" s="186">
        <f>'10_Income_Statement'!C15</f>
        <v>-1216545.1267379117</v>
      </c>
      <c r="D3" s="186">
        <f>'10_Income_Statement'!D15</f>
        <v>-1205253.180130234</v>
      </c>
      <c r="E3" s="186">
        <f>'10_Income_Statement'!E15</f>
        <v>-1197998.4841253008</v>
      </c>
      <c r="F3" s="186">
        <f>'10_Income_Statement'!F15</f>
        <v>-1198935.3615112193</v>
      </c>
      <c r="G3" s="186">
        <f>'10_Income_Statement'!G15</f>
        <v>-1195551.4553519641</v>
      </c>
      <c r="H3" s="186">
        <f>'10_Income_Statement'!H15</f>
        <v>-1243034.3838739537</v>
      </c>
      <c r="I3" s="186">
        <f>'10_Income_Statement'!I15</f>
        <v>-1322661.0621242654</v>
      </c>
      <c r="J3" s="186">
        <f>'10_Income_Statement'!J15</f>
        <v>-1362778.8034831863</v>
      </c>
      <c r="K3" s="186">
        <f>'10_Income_Statement'!K15</f>
        <v>-1413772.5250511123</v>
      </c>
      <c r="L3" s="186">
        <f>'10_Income_Statement'!L15</f>
        <v>-1478371.0741505881</v>
      </c>
      <c r="M3" s="186">
        <f>'10_Income_Statement'!M15</f>
        <v>-1529017.0986272551</v>
      </c>
      <c r="N3" s="186">
        <f>'10_Income_Statement'!N15</f>
        <v>-1841665.9954692333</v>
      </c>
      <c r="O3" s="186">
        <f>'10_Income_Statement'!O15</f>
        <v>-1792781.600863958</v>
      </c>
      <c r="P3" s="186">
        <f>'10_Income_Statement'!P15</f>
        <v>-1730158.5126325935</v>
      </c>
      <c r="Q3" s="186">
        <f>'10_Income_Statement'!Q15</f>
        <v>-1667558.5953220346</v>
      </c>
      <c r="R3" s="186">
        <f>'10_Income_Statement'!R15</f>
        <v>-1618742.077599623</v>
      </c>
      <c r="S3" s="186">
        <f>'10_Income_Statement'!S15</f>
        <v>-1556067.6986500227</v>
      </c>
      <c r="T3" s="186">
        <f>'10_Income_Statement'!T15</f>
        <v>-1493292.8378589253</v>
      </c>
      <c r="U3" s="186">
        <f>'10_Income_Statement'!U15</f>
        <v>-2133001.6996825491</v>
      </c>
      <c r="V3" s="186">
        <f>'10_Income_Statement'!V15</f>
        <v>-2029016.5366395097</v>
      </c>
      <c r="W3" s="186">
        <f>'10_Income_Statement'!W15</f>
        <v>-1973860.8526231952</v>
      </c>
      <c r="X3" s="186">
        <f>'10_Income_Statement'!X15</f>
        <v>-1884693.8536230787</v>
      </c>
      <c r="Y3" s="186">
        <f>'10_Income_Statement'!Y15</f>
        <v>-1782057.3081602217</v>
      </c>
      <c r="Z3" s="186">
        <f>'10_Income_Statement'!Z15</f>
        <v>-1649747.7140355138</v>
      </c>
      <c r="AA3" s="186">
        <f>'10_Income_Statement'!AA15</f>
        <v>-1510592.3199233909</v>
      </c>
      <c r="AB3" s="186">
        <f>'10_Income_Statement'!AB15</f>
        <v>-1408184.1192429899</v>
      </c>
      <c r="AC3" s="186">
        <f>'10_Income_Statement'!AC15</f>
        <v>-1280380.1802788298</v>
      </c>
      <c r="AD3" s="186">
        <f>'10_Income_Statement'!AD15</f>
        <v>-1161556.8884535069</v>
      </c>
      <c r="AE3" s="186">
        <f>'10_Income_Statement'!AE15</f>
        <v>-1060742.9660467182</v>
      </c>
      <c r="AF3" s="186">
        <f>'10_Income_Statement'!AF15</f>
        <v>-927289.55491081497</v>
      </c>
      <c r="AG3" s="186">
        <f>'10_Income_Statement'!AG15</f>
        <v>-811611.33410544042</v>
      </c>
      <c r="AH3" s="186">
        <f>'10_Income_Statement'!AH15</f>
        <v>-706745.92280318798</v>
      </c>
      <c r="AI3" s="186">
        <f>'10_Income_Statement'!AI15</f>
        <v>-550481.83952379494</v>
      </c>
      <c r="AJ3" s="186">
        <f>'10_Income_Statement'!AJ15</f>
        <v>-427729.22556135914</v>
      </c>
      <c r="AK3" s="186">
        <f>'10_Income_Statement'!AK15</f>
        <v>-269365.14570689626</v>
      </c>
      <c r="AL3" s="185">
        <f>SUMIF('23_Time'!$B$3:$AK$3, 1,B3:AK3)</f>
        <v>-15591638.55516699</v>
      </c>
      <c r="AM3" s="186">
        <f>SUMIF('23_Time'!$B$3:$AK$3, 2,B3:AK3)</f>
        <v>-21502897.569124945</v>
      </c>
      <c r="AN3" s="187">
        <f>SUMIF('23_Time'!$B$3:$AK$3, 3,B3:AK3)</f>
        <v>-11764427.210592443</v>
      </c>
    </row>
    <row r="4" spans="1:40" x14ac:dyDescent="0.3">
      <c r="A4" s="127" t="s">
        <v>172</v>
      </c>
      <c r="B4" s="203">
        <f>'10_Income_Statement'!B9</f>
        <v>0</v>
      </c>
      <c r="C4" s="203">
        <f>'10_Income_Statement'!C9</f>
        <v>1660.4444444444443</v>
      </c>
      <c r="D4" s="203">
        <f>'10_Income_Statement'!D9</f>
        <v>3274.7654320987654</v>
      </c>
      <c r="E4" s="203">
        <f>'10_Income_Statement'!E9</f>
        <v>4844.2441700960217</v>
      </c>
      <c r="F4" s="203">
        <f>'10_Income_Statement'!F9</f>
        <v>6370.1262764822432</v>
      </c>
      <c r="G4" s="203">
        <f>'10_Income_Statement'!G9</f>
        <v>7853.62276880218</v>
      </c>
      <c r="H4" s="203">
        <f>'10_Income_Statement'!H9</f>
        <v>9295.9110252243427</v>
      </c>
      <c r="I4" s="203">
        <f>'10_Income_Statement'!I9</f>
        <v>10820.802385634775</v>
      </c>
      <c r="J4" s="203">
        <f>'10_Income_Statement'!J9</f>
        <v>12369.78009714492</v>
      </c>
      <c r="K4" s="203">
        <f>'10_Income_Statement'!K9</f>
        <v>13998.397316668672</v>
      </c>
      <c r="L4" s="203">
        <f>'10_Income_Statement'!L9</f>
        <v>15648.219613427878</v>
      </c>
      <c r="M4" s="203">
        <f>'10_Income_Statement'!M9</f>
        <v>17374.880179721549</v>
      </c>
      <c r="N4" s="203">
        <f>'10_Income_Statement'!N9</f>
        <v>19120.022396951506</v>
      </c>
      <c r="O4" s="203">
        <f>'10_Income_Statement'!O9</f>
        <v>20816.68844148063</v>
      </c>
      <c r="P4" s="203">
        <f>'10_Income_Statement'!P9</f>
        <v>22466.224873661726</v>
      </c>
      <c r="Q4" s="203">
        <f>'10_Income_Statement'!Q9</f>
        <v>24069.940849393344</v>
      </c>
      <c r="R4" s="203">
        <f>'10_Income_Statement'!R9</f>
        <v>25629.109159132415</v>
      </c>
      <c r="S4" s="203">
        <f>'10_Income_Statement'!S9</f>
        <v>27144.967238045403</v>
      </c>
      <c r="T4" s="203">
        <f>'10_Income_Statement'!T9</f>
        <v>28618.718148099695</v>
      </c>
      <c r="U4" s="203">
        <f>'10_Income_Statement'!U9</f>
        <v>30051.531532874706</v>
      </c>
      <c r="V4" s="203">
        <f>'10_Income_Statement'!V9</f>
        <v>31567.211212517072</v>
      </c>
      <c r="W4" s="203">
        <f>'10_Income_Statement'!W9</f>
        <v>33107.233123280486</v>
      </c>
      <c r="X4" s="203">
        <f>'10_Income_Statement'!X9</f>
        <v>34727.143314300469</v>
      </c>
      <c r="Y4" s="203">
        <f>'10_Income_Statement'!Y9</f>
        <v>36368.50044445879</v>
      </c>
      <c r="Z4" s="203">
        <f>'10_Income_Statement'!Z9</f>
        <v>38030.708765446041</v>
      </c>
      <c r="AA4" s="203">
        <f>'10_Income_Statement'!AA9</f>
        <v>39646.744633072543</v>
      </c>
      <c r="AB4" s="203">
        <f>'10_Income_Statement'!AB9</f>
        <v>41217.890615487195</v>
      </c>
      <c r="AC4" s="203">
        <f>'10_Income_Statement'!AC9</f>
        <v>42811.838098390326</v>
      </c>
      <c r="AD4" s="203">
        <f>'10_Income_Statement'!AD9</f>
        <v>44417.731484546159</v>
      </c>
      <c r="AE4" s="203">
        <f>'10_Income_Statement'!AE9</f>
        <v>45979.01672108654</v>
      </c>
      <c r="AF4" s="203">
        <f>'10_Income_Statement'!AF9</f>
        <v>47563.377367723027</v>
      </c>
      <c r="AG4" s="203">
        <f>'10_Income_Statement'!AG9</f>
        <v>49103.727996397385</v>
      </c>
      <c r="AH4" s="203">
        <f>'10_Income_Statement'!AH9</f>
        <v>50657.513329830792</v>
      </c>
      <c r="AI4" s="203">
        <f>'10_Income_Statement'!AI9</f>
        <v>52234.582404002162</v>
      </c>
      <c r="AJ4" s="203">
        <f>'10_Income_Statement'!AJ9</f>
        <v>53767.84400389099</v>
      </c>
      <c r="AK4" s="203">
        <f>'10_Income_Statement'!AK9</f>
        <v>55258.515003782915</v>
      </c>
      <c r="AL4" s="188">
        <f>SUMIF('23_Time'!$B$3:$AK$3, 1,B4:AK4)</f>
        <v>103511.1937097458</v>
      </c>
      <c r="AM4" s="189">
        <f>SUMIF('23_Time'!$B$3:$AK$3, 2,B4:AK4)</f>
        <v>333687.29073419626</v>
      </c>
      <c r="AN4" s="190">
        <f>SUMIF('23_Time'!$B$3:$AK$3, 3,B4:AK4)</f>
        <v>560689.49042365607</v>
      </c>
    </row>
    <row r="5" spans="1:40" x14ac:dyDescent="0.3">
      <c r="A5" s="127" t="s">
        <v>186</v>
      </c>
      <c r="B5" s="189">
        <f>-'44_Working_Capital'!B7</f>
        <v>-5022.727272727273</v>
      </c>
      <c r="C5" s="189">
        <f>'44_Working_Capital'!B7-'44_Working_Capital'!C7</f>
        <v>-5066.8516211740489</v>
      </c>
      <c r="D5" s="189">
        <f>'44_Working_Capital'!C7-'44_Working_Capital'!D7</f>
        <v>-5115.4169304921561</v>
      </c>
      <c r="E5" s="189">
        <f>'44_Working_Capital'!D7-'44_Working_Capital'!E7</f>
        <v>-5168.420854999149</v>
      </c>
      <c r="F5" s="189">
        <f>'44_Working_Capital'!E7-'44_Working_Capital'!F7</f>
        <v>-5225.8649774055666</v>
      </c>
      <c r="G5" s="189">
        <f>'44_Working_Capital'!F7-'44_Working_Capital'!G7</f>
        <v>-5287.7547684398705</v>
      </c>
      <c r="H5" s="189">
        <f>'44_Working_Capital'!G7-'44_Working_Capital'!H7</f>
        <v>-5354.0995503122649</v>
      </c>
      <c r="I5" s="189">
        <f>'44_Working_Capital'!H7-'44_Working_Capital'!I7</f>
        <v>-5424.9124639447691</v>
      </c>
      <c r="J5" s="189">
        <f>'44_Working_Capital'!I7-'44_Working_Capital'!J7</f>
        <v>-5500.2104398982774</v>
      </c>
      <c r="K5" s="189">
        <f>'44_Working_Capital'!J7-'44_Working_Capital'!K7</f>
        <v>-5580.0141729324969</v>
      </c>
      <c r="L5" s="189">
        <f>'44_Working_Capital'!K7-'44_Working_Capital'!L7</f>
        <v>-5664.3481001367254</v>
      </c>
      <c r="M5" s="189">
        <f>'44_Working_Capital'!L7-'44_Working_Capital'!M7</f>
        <v>-5753.2403825754736</v>
      </c>
      <c r="N5" s="189">
        <f>'44_Working_Capital'!M7-'44_Working_Capital'!N7</f>
        <v>-21559.375184309829</v>
      </c>
      <c r="O5" s="189">
        <f>'44_Working_Capital'!N7-'44_Working_Capital'!O7</f>
        <v>-21503.980742097381</v>
      </c>
      <c r="P5" s="189">
        <f>'44_Working_Capital'!O7-'44_Working_Capital'!P7</f>
        <v>-21468.527181686601</v>
      </c>
      <c r="Q5" s="189">
        <f>'44_Working_Capital'!P7-'44_Working_Capital'!Q7</f>
        <v>-21452.773624825117</v>
      </c>
      <c r="R5" s="189">
        <f>'44_Working_Capital'!Q7-'44_Working_Capital'!R7</f>
        <v>-21456.499042392155</v>
      </c>
      <c r="S5" s="189">
        <f>'44_Working_Capital'!R7-'44_Working_Capital'!S7</f>
        <v>-21479.501849355758</v>
      </c>
      <c r="T5" s="189">
        <f>'44_Working_Capital'!S7-'44_Working_Capital'!T7</f>
        <v>-21521.59952109083</v>
      </c>
      <c r="U5" s="189">
        <f>'44_Working_Capital'!T7-'44_Working_Capital'!U7</f>
        <v>-51157.103575709072</v>
      </c>
      <c r="V5" s="189">
        <f>'44_Working_Capital'!U7-'44_Working_Capital'!V7</f>
        <v>-50947.993803373887</v>
      </c>
      <c r="W5" s="189">
        <f>'44_Working_Capital'!V7-'44_Working_Capital'!W7</f>
        <v>-50786.294444075145</v>
      </c>
      <c r="X5" s="189">
        <f>'44_Working_Capital'!W7-'44_Working_Capital'!X7</f>
        <v>-50671.361577475793</v>
      </c>
      <c r="Y5" s="189">
        <f>'44_Working_Capital'!X7-'44_Working_Capital'!Y7</f>
        <v>-50602.599154439638</v>
      </c>
      <c r="Z5" s="189">
        <f>'44_Working_Capital'!Y7-'44_Working_Capital'!Z7</f>
        <v>-50579.45796486293</v>
      </c>
      <c r="AA5" s="189">
        <f>'44_Working_Capital'!Z7-'44_Working_Capital'!AA7</f>
        <v>-50601.434657560021</v>
      </c>
      <c r="AB5" s="189">
        <f>'44_Working_Capital'!AA7-'44_Working_Capital'!AB7</f>
        <v>-50668.070810792153</v>
      </c>
      <c r="AC5" s="189">
        <f>'44_Working_Capital'!AB7-'44_Working_Capital'!AC7</f>
        <v>-50778.952052083798</v>
      </c>
      <c r="AD5" s="189">
        <f>'44_Working_Capital'!AC7-'44_Working_Capital'!AD7</f>
        <v>-50933.707226031111</v>
      </c>
      <c r="AE5" s="189">
        <f>'44_Working_Capital'!AD7-'44_Working_Capital'!AE7</f>
        <v>-51132.007608858519</v>
      </c>
      <c r="AF5" s="189">
        <f>'44_Working_Capital'!AE7-'44_Working_Capital'!AF7</f>
        <v>-51373.566168544465</v>
      </c>
      <c r="AG5" s="189">
        <f>'44_Working_Capital'!AF7-'44_Working_Capital'!AG7</f>
        <v>-51658.136869373848</v>
      </c>
      <c r="AH5" s="189">
        <f>'44_Working_Capital'!AG7-'44_Working_Capital'!AH7</f>
        <v>-51985.514019839698</v>
      </c>
      <c r="AI5" s="189">
        <f>'44_Working_Capital'!AH7-'44_Working_Capital'!AI7</f>
        <v>-52355.531662862631</v>
      </c>
      <c r="AJ5" s="189">
        <f>'44_Working_Capital'!AI7-'44_Working_Capital'!AJ7</f>
        <v>-52768.063007333432</v>
      </c>
      <c r="AK5" s="189">
        <f>'44_Working_Capital'!AJ7-'44_Working_Capital'!AK7</f>
        <v>-53223.019900054205</v>
      </c>
      <c r="AL5" s="188">
        <f>SUMIF('23_Time'!$B$3:$AK$3, 1,B5:AK5)</f>
        <v>-64163.861535038071</v>
      </c>
      <c r="AM5" s="189">
        <f>SUMIF('23_Time'!$B$3:$AK$3, 2,B5:AK5)</f>
        <v>-404607.60970083124</v>
      </c>
      <c r="AN5" s="190">
        <f>SUMIF('23_Time'!$B$3:$AK$3, 3,B5:AK5)</f>
        <v>-618057.46194819687</v>
      </c>
    </row>
    <row r="6" spans="1:40" x14ac:dyDescent="0.3">
      <c r="A6" s="127" t="s">
        <v>187</v>
      </c>
      <c r="B6" s="189">
        <f>'44_Working_Capital'!B8</f>
        <v>467671.21212121216</v>
      </c>
      <c r="C6" s="189">
        <f>'44_Working_Capital'!C8-'44_Working_Capital'!B8</f>
        <v>5180.0369909014553</v>
      </c>
      <c r="D6" s="189">
        <f>'44_Working_Capital'!D8-'44_Working_Capital'!C8</f>
        <v>5273.0833860985003</v>
      </c>
      <c r="E6" s="189">
        <f>'44_Working_Capital'!E8-'44_Working_Capital'!D8</f>
        <v>5368.6841709997971</v>
      </c>
      <c r="F6" s="189">
        <f>'44_Working_Capital'!F8-'44_Working_Capital'!E8</f>
        <v>5466.8729954811279</v>
      </c>
      <c r="G6" s="189">
        <f>'44_Working_Capital'!G8-'44_Working_Capital'!F8</f>
        <v>5567.6849536878872</v>
      </c>
      <c r="H6" s="189">
        <f>'44_Working_Capital'!H8-'44_Working_Capital'!G8</f>
        <v>5671.1565900624264</v>
      </c>
      <c r="I6" s="189">
        <f>'44_Working_Capital'!I8-'44_Working_Capital'!H8</f>
        <v>5777.3259063889273</v>
      </c>
      <c r="J6" s="189">
        <f>'44_Working_Capital'!J8-'44_Working_Capital'!I8</f>
        <v>5886.2323698517284</v>
      </c>
      <c r="K6" s="189">
        <f>'44_Working_Capital'!K8-'44_Working_Capital'!J8</f>
        <v>5997.9169220958138</v>
      </c>
      <c r="L6" s="189">
        <f>'44_Working_Capital'!L8-'44_Working_Capital'!K8</f>
        <v>6112.4219892870751</v>
      </c>
      <c r="M6" s="189">
        <f>'44_Working_Capital'!M8-'44_Working_Capital'!L8</f>
        <v>6229.7914931598934</v>
      </c>
      <c r="N6" s="189">
        <f>'44_Working_Capital'!N8-'44_Working_Capital'!M8</f>
        <v>328608.89412130939</v>
      </c>
      <c r="O6" s="189">
        <f>'44_Working_Capital'!O8-'44_Working_Capital'!N8</f>
        <v>15967.462815086124</v>
      </c>
      <c r="P6" s="189">
        <f>'44_Working_Capital'!P8-'44_Working_Capital'!O8</f>
        <v>16193.705436337274</v>
      </c>
      <c r="Q6" s="189">
        <f>'44_Working_Capital'!Q8-'44_Working_Capital'!P8</f>
        <v>16428.554724965245</v>
      </c>
      <c r="R6" s="189">
        <f>'44_Working_Capital'!R8-'44_Working_Capital'!Q8</f>
        <v>16672.059808478341</v>
      </c>
      <c r="S6" s="189">
        <f>'44_Working_Capital'!S8-'44_Working_Capital'!R8</f>
        <v>16924.275569870952</v>
      </c>
      <c r="T6" s="189">
        <f>'44_Working_Capital'!T8-'44_Working_Capital'!S8</f>
        <v>17185.262608218356</v>
      </c>
      <c r="U6" s="189">
        <f>'44_Working_Capital'!U8-'44_Working_Capital'!T8</f>
        <v>603303.34281114163</v>
      </c>
      <c r="V6" s="189">
        <f>'44_Working_Capital'!V8-'44_Working_Capital'!U8</f>
        <v>35189.598760675173</v>
      </c>
      <c r="W6" s="189">
        <f>'44_Working_Capital'!W8-'44_Working_Capital'!V8</f>
        <v>35657.258888814831</v>
      </c>
      <c r="X6" s="189">
        <f>'44_Working_Capital'!X8-'44_Working_Capital'!W8</f>
        <v>36144.272315494949</v>
      </c>
      <c r="Y6" s="189">
        <f>'44_Working_Capital'!Y8-'44_Working_Capital'!X8</f>
        <v>36650.719830888091</v>
      </c>
      <c r="Z6" s="189">
        <f>'44_Working_Capital'!Z8-'44_Working_Capital'!Y8</f>
        <v>37176.695592972683</v>
      </c>
      <c r="AA6" s="189">
        <f>'44_Working_Capital'!AA8-'44_Working_Capital'!Z8</f>
        <v>37722.307011511875</v>
      </c>
      <c r="AB6" s="189">
        <f>'44_Working_Capital'!AB8-'44_Working_Capital'!AA8</f>
        <v>38287.674643758219</v>
      </c>
      <c r="AC6" s="189">
        <f>'44_Working_Capital'!AC8-'44_Working_Capital'!AB8</f>
        <v>38872.932101648767</v>
      </c>
      <c r="AD6" s="189">
        <f>'44_Working_Capital'!AD8-'44_Working_Capital'!AC8</f>
        <v>39478.225970263127</v>
      </c>
      <c r="AE6" s="189">
        <f>'44_Working_Capital'!AE8-'44_Working_Capital'!AD8</f>
        <v>40103.715737329563</v>
      </c>
      <c r="AF6" s="189">
        <f>'44_Working_Capital'!AF8-'44_Working_Capital'!AE8</f>
        <v>40749.573733577039</v>
      </c>
      <c r="AG6" s="189">
        <f>'44_Working_Capital'!AG8-'44_Working_Capital'!AF8</f>
        <v>41415.985083742067</v>
      </c>
      <c r="AH6" s="189">
        <f>'44_Working_Capital'!AH8-'44_Working_Capital'!AG8</f>
        <v>42103.147668031277</v>
      </c>
      <c r="AI6" s="189">
        <f>'44_Working_Capital'!AI8-'44_Working_Capital'!AH8</f>
        <v>42811.27209391701</v>
      </c>
      <c r="AJ6" s="189">
        <f>'44_Working_Capital'!AJ8-'44_Working_Capital'!AI8</f>
        <v>43540.581678038463</v>
      </c>
      <c r="AK6" s="189">
        <f>'44_Working_Capital'!AK8-'44_Working_Capital'!AJ8</f>
        <v>44291.312438114546</v>
      </c>
      <c r="AL6" s="188">
        <f>SUMIF('23_Time'!$B$3:$AK$3, 1,B6:AK6)</f>
        <v>530202.41988922679</v>
      </c>
      <c r="AM6" s="189">
        <f>SUMIF('23_Time'!$B$3:$AK$3, 2,B6:AK6)</f>
        <v>1174925.4076912804</v>
      </c>
      <c r="AN6" s="190">
        <f>SUMIF('23_Time'!$B$3:$AK$3, 3,B6:AK6)</f>
        <v>486553.42375290464</v>
      </c>
    </row>
    <row r="7" spans="1:40" x14ac:dyDescent="0.3">
      <c r="A7" s="127" t="s">
        <v>188</v>
      </c>
      <c r="B7" s="189">
        <f>'44_Working_Capital'!B9</f>
        <v>0</v>
      </c>
      <c r="C7" s="189">
        <f>'44_Working_Capital'!C9 - '44_Working_Capital'!B9</f>
        <v>0</v>
      </c>
      <c r="D7" s="189">
        <f>'44_Working_Capital'!D9 - '44_Working_Capital'!C9</f>
        <v>0</v>
      </c>
      <c r="E7" s="189">
        <f>'44_Working_Capital'!E9 - '44_Working_Capital'!D9</f>
        <v>0</v>
      </c>
      <c r="F7" s="189">
        <f>'44_Working_Capital'!F9 - '44_Working_Capital'!E9</f>
        <v>0</v>
      </c>
      <c r="G7" s="189">
        <f>'44_Working_Capital'!G9 - '44_Working_Capital'!F9</f>
        <v>0</v>
      </c>
      <c r="H7" s="189">
        <f>'44_Working_Capital'!H9 - '44_Working_Capital'!G9</f>
        <v>0</v>
      </c>
      <c r="I7" s="189">
        <f>'44_Working_Capital'!I9 - '44_Working_Capital'!H9</f>
        <v>0</v>
      </c>
      <c r="J7" s="189">
        <f>'44_Working_Capital'!J9 - '44_Working_Capital'!I9</f>
        <v>0</v>
      </c>
      <c r="K7" s="189">
        <f>'44_Working_Capital'!K9 - '44_Working_Capital'!J9</f>
        <v>0</v>
      </c>
      <c r="L7" s="189">
        <f>'44_Working_Capital'!L9 - '44_Working_Capital'!K9</f>
        <v>0</v>
      </c>
      <c r="M7" s="189">
        <f>'44_Working_Capital'!M9 - '44_Working_Capital'!L9</f>
        <v>0</v>
      </c>
      <c r="N7" s="189">
        <f>'44_Working_Capital'!N9 - '44_Working_Capital'!M9</f>
        <v>0</v>
      </c>
      <c r="O7" s="189">
        <f>'44_Working_Capital'!O9 - '44_Working_Capital'!N9</f>
        <v>0</v>
      </c>
      <c r="P7" s="189">
        <f>'44_Working_Capital'!P9 - '44_Working_Capital'!O9</f>
        <v>0</v>
      </c>
      <c r="Q7" s="189">
        <f>'44_Working_Capital'!Q9 - '44_Working_Capital'!P9</f>
        <v>0</v>
      </c>
      <c r="R7" s="189">
        <f>'44_Working_Capital'!R9 - '44_Working_Capital'!Q9</f>
        <v>0</v>
      </c>
      <c r="S7" s="189">
        <f>'44_Working_Capital'!S9 - '44_Working_Capital'!R9</f>
        <v>0</v>
      </c>
      <c r="T7" s="189">
        <f>'44_Working_Capital'!T9 - '44_Working_Capital'!S9</f>
        <v>0</v>
      </c>
      <c r="U7" s="189">
        <f>'44_Working_Capital'!U9 - '44_Working_Capital'!T9</f>
        <v>0</v>
      </c>
      <c r="V7" s="189">
        <f>'44_Working_Capital'!V9 - '44_Working_Capital'!U9</f>
        <v>0</v>
      </c>
      <c r="W7" s="189">
        <f>'44_Working_Capital'!W9 - '44_Working_Capital'!V9</f>
        <v>0</v>
      </c>
      <c r="X7" s="189">
        <f>'44_Working_Capital'!X9 - '44_Working_Capital'!W9</f>
        <v>0</v>
      </c>
      <c r="Y7" s="189">
        <f>'44_Working_Capital'!Y9 - '44_Working_Capital'!X9</f>
        <v>0</v>
      </c>
      <c r="Z7" s="189">
        <f>'44_Working_Capital'!Z9 - '44_Working_Capital'!Y9</f>
        <v>0</v>
      </c>
      <c r="AA7" s="189">
        <f>'44_Working_Capital'!AA9 - '44_Working_Capital'!Z9</f>
        <v>0</v>
      </c>
      <c r="AB7" s="189">
        <f>'44_Working_Capital'!AB9 - '44_Working_Capital'!AA9</f>
        <v>0</v>
      </c>
      <c r="AC7" s="189">
        <f>'44_Working_Capital'!AC9 - '44_Working_Capital'!AB9</f>
        <v>0</v>
      </c>
      <c r="AD7" s="189">
        <f>'44_Working_Capital'!AD9 - '44_Working_Capital'!AC9</f>
        <v>0</v>
      </c>
      <c r="AE7" s="189">
        <f>'44_Working_Capital'!AE9 - '44_Working_Capital'!AD9</f>
        <v>0</v>
      </c>
      <c r="AF7" s="189">
        <f>'44_Working_Capital'!AF9 - '44_Working_Capital'!AE9</f>
        <v>0</v>
      </c>
      <c r="AG7" s="189">
        <f>'44_Working_Capital'!AG9 - '44_Working_Capital'!AF9</f>
        <v>0</v>
      </c>
      <c r="AH7" s="189">
        <f>'44_Working_Capital'!AH9 - '44_Working_Capital'!AG9</f>
        <v>0</v>
      </c>
      <c r="AI7" s="189">
        <f>'44_Working_Capital'!AI9 - '44_Working_Capital'!AH9</f>
        <v>0</v>
      </c>
      <c r="AJ7" s="189">
        <f>'44_Working_Capital'!AJ9 - '44_Working_Capital'!AI9</f>
        <v>0</v>
      </c>
      <c r="AK7" s="189">
        <f>'44_Working_Capital'!AK9 - '44_Working_Capital'!AJ9</f>
        <v>0</v>
      </c>
      <c r="AL7" s="188">
        <f>SUMIF('23_Time'!$B$3:$AK$3, 1,B7:AK7)</f>
        <v>0</v>
      </c>
      <c r="AM7" s="189">
        <f>SUMIF('23_Time'!$B$3:$AK$3, 2,B7:AK7)</f>
        <v>0</v>
      </c>
      <c r="AN7" s="190">
        <f>SUMIF('23_Time'!$B$3:$AK$3, 3,B7:AK7)</f>
        <v>0</v>
      </c>
    </row>
    <row r="8" spans="1:40" x14ac:dyDescent="0.3">
      <c r="A8" s="127" t="s">
        <v>289</v>
      </c>
      <c r="B8" s="189">
        <f>'44_Working_Capital'!B10</f>
        <v>342700</v>
      </c>
      <c r="C8" s="189">
        <f>'44_Working_Capital'!C10-'44_Working_Capital'!B10</f>
        <v>0</v>
      </c>
      <c r="D8" s="189">
        <f>'44_Working_Capital'!D10-'44_Working_Capital'!C10</f>
        <v>0</v>
      </c>
      <c r="E8" s="189">
        <f>'44_Working_Capital'!E10-'44_Working_Capital'!D10</f>
        <v>0</v>
      </c>
      <c r="F8" s="189">
        <f>'44_Working_Capital'!F10-'44_Working_Capital'!E10</f>
        <v>0</v>
      </c>
      <c r="G8" s="189">
        <f>'44_Working_Capital'!G10-'44_Working_Capital'!F10</f>
        <v>0</v>
      </c>
      <c r="H8" s="189">
        <f>'44_Working_Capital'!H10-'44_Working_Capital'!G10</f>
        <v>27600</v>
      </c>
      <c r="I8" s="189">
        <f>'44_Working_Capital'!I10-'44_Working_Capital'!H10</f>
        <v>43699.999999999942</v>
      </c>
      <c r="J8" s="189">
        <f>'44_Working_Capital'!J10-'44_Working_Capital'!I10</f>
        <v>27600</v>
      </c>
      <c r="K8" s="189">
        <f>'44_Working_Capital'!K10-'44_Working_Capital'!J10</f>
        <v>32200</v>
      </c>
      <c r="L8" s="189">
        <f>'44_Working_Capital'!L10-'44_Working_Capital'!K10</f>
        <v>39100</v>
      </c>
      <c r="M8" s="189">
        <f>'44_Working_Capital'!M10-'44_Working_Capital'!L10</f>
        <v>32200.000000000058</v>
      </c>
      <c r="N8" s="189">
        <f>'44_Working_Capital'!N10-'44_Working_Capital'!M10</f>
        <v>0</v>
      </c>
      <c r="O8" s="189">
        <f>'44_Working_Capital'!O10-'44_Working_Capital'!N10</f>
        <v>6900</v>
      </c>
      <c r="P8" s="189">
        <f>'44_Working_Capital'!P10-'44_Working_Capital'!O10</f>
        <v>0</v>
      </c>
      <c r="Q8" s="189">
        <f>'44_Working_Capital'!Q10-'44_Working_Capital'!P10</f>
        <v>0</v>
      </c>
      <c r="R8" s="189">
        <f>'44_Working_Capital'!R10-'44_Working_Capital'!Q10</f>
        <v>6900</v>
      </c>
      <c r="S8" s="189">
        <f>'44_Working_Capital'!S10-'44_Working_Capital'!R10</f>
        <v>0</v>
      </c>
      <c r="T8" s="189">
        <f>'44_Working_Capital'!T10-'44_Working_Capital'!S10</f>
        <v>0</v>
      </c>
      <c r="U8" s="189">
        <f>'44_Working_Capital'!U10-'44_Working_Capital'!T10</f>
        <v>56350</v>
      </c>
      <c r="V8" s="189">
        <f>'44_Working_Capital'!V10-'44_Working_Capital'!U10</f>
        <v>25300</v>
      </c>
      <c r="W8" s="189">
        <f>'44_Working_Capital'!W10-'44_Working_Capital'!V10</f>
        <v>49450</v>
      </c>
      <c r="X8" s="189">
        <f>'44_Working_Capital'!X10-'44_Working_Capital'!W10</f>
        <v>32200</v>
      </c>
      <c r="Y8" s="189">
        <f>'44_Working_Capital'!Y10-'44_Working_Capital'!X10</f>
        <v>25300</v>
      </c>
      <c r="Z8" s="189">
        <f>'44_Working_Capital'!Z10-'44_Working_Capital'!Y10</f>
        <v>10349.999999999884</v>
      </c>
      <c r="AA8" s="189">
        <f>'44_Working_Capital'!AA10-'44_Working_Capital'!Z10</f>
        <v>6900</v>
      </c>
      <c r="AB8" s="189">
        <f>'44_Working_Capital'!AB10-'44_Working_Capital'!AA10</f>
        <v>25300</v>
      </c>
      <c r="AC8" s="189">
        <f>'44_Working_Capital'!AC10-'44_Working_Capital'!AB10</f>
        <v>12650</v>
      </c>
      <c r="AD8" s="189">
        <f>'44_Working_Capital'!AD10-'44_Working_Capital'!AC10</f>
        <v>17250</v>
      </c>
      <c r="AE8" s="189">
        <f>'44_Working_Capital'!AE10-'44_Working_Capital'!AD10</f>
        <v>26450</v>
      </c>
      <c r="AF8" s="189">
        <f>'44_Working_Capital'!AF10-'44_Working_Capital'!AE10</f>
        <v>10350</v>
      </c>
      <c r="AG8" s="189">
        <f>'44_Working_Capital'!AG10-'44_Working_Capital'!AF10</f>
        <v>19550</v>
      </c>
      <c r="AH8" s="189">
        <f>'44_Working_Capital'!AH10-'44_Working_Capital'!AG10</f>
        <v>25300</v>
      </c>
      <c r="AI8" s="189">
        <f>'44_Working_Capital'!AI10-'44_Working_Capital'!AH10</f>
        <v>0</v>
      </c>
      <c r="AJ8" s="189">
        <f>'44_Working_Capital'!AJ10-'44_Working_Capital'!AI10</f>
        <v>17250</v>
      </c>
      <c r="AK8" s="189">
        <f>'44_Working_Capital'!AK10-'44_Working_Capital'!AJ10</f>
        <v>0</v>
      </c>
      <c r="AL8" s="188">
        <f>SUMIF('23_Time'!$B$3:$AK$3,1,B8:AK8)</f>
        <v>545100</v>
      </c>
      <c r="AM8" s="189">
        <f>SUMIF('23_Time'!$B$3:$AK$3,2,B8:AK8)</f>
        <v>202400</v>
      </c>
      <c r="AN8" s="190">
        <f>SUMIF('23_Time'!$B$3:$AK$3,3,B8:AK8)</f>
        <v>171349.99999999988</v>
      </c>
    </row>
    <row r="9" spans="1:40" ht="15" thickBot="1" x14ac:dyDescent="0.35">
      <c r="A9" s="128" t="s">
        <v>189</v>
      </c>
      <c r="B9" s="193">
        <f>'44_Working_Capital'!B3-'44_Working_Capital'!B6</f>
        <v>0</v>
      </c>
      <c r="C9" s="193">
        <f>'44_Working_Capital'!C3-'44_Working_Capital'!C6</f>
        <v>0</v>
      </c>
      <c r="D9" s="193">
        <f>'44_Working_Capital'!D3-'44_Working_Capital'!D6</f>
        <v>0</v>
      </c>
      <c r="E9" s="193">
        <f>'44_Working_Capital'!E3-'44_Working_Capital'!E6</f>
        <v>0</v>
      </c>
      <c r="F9" s="193">
        <f>'44_Working_Capital'!F3-'44_Working_Capital'!F6</f>
        <v>0</v>
      </c>
      <c r="G9" s="193">
        <f>'44_Working_Capital'!G3-'44_Working_Capital'!G6</f>
        <v>0</v>
      </c>
      <c r="H9" s="193">
        <f>'44_Working_Capital'!H3-'44_Working_Capital'!H6</f>
        <v>0</v>
      </c>
      <c r="I9" s="193">
        <f>'44_Working_Capital'!I3-'44_Working_Capital'!I6</f>
        <v>0</v>
      </c>
      <c r="J9" s="193">
        <f>'44_Working_Capital'!J3-'44_Working_Capital'!J6</f>
        <v>-84899.265982908095</v>
      </c>
      <c r="K9" s="193">
        <f>'44_Working_Capital'!K3-'44_Working_Capital'!K6</f>
        <v>-87868.352662277568</v>
      </c>
      <c r="L9" s="193">
        <f>'44_Working_Capital'!L3-'44_Working_Capital'!L6</f>
        <v>-90741.816520667169</v>
      </c>
      <c r="M9" s="193">
        <f>'44_Working_Capital'!M3-'44_Working_Capital'!M6</f>
        <v>-93535.831165914133</v>
      </c>
      <c r="N9" s="193">
        <f>'44_Working_Capital'!N3-'44_Working_Capital'!N6</f>
        <v>-124548.05390051228</v>
      </c>
      <c r="O9" s="193">
        <f>'44_Working_Capital'!O3-'44_Working_Capital'!O6</f>
        <v>-152876.21474457823</v>
      </c>
      <c r="P9" s="193">
        <f>'44_Working_Capital'!P3-'44_Working_Capital'!P6</f>
        <v>-178779.87910956587</v>
      </c>
      <c r="Q9" s="193">
        <f>'44_Working_Capital'!Q3-'44_Working_Capital'!Q6</f>
        <v>-202496.54837512062</v>
      </c>
      <c r="R9" s="193">
        <f>'44_Working_Capital'!R3-'44_Working_Capital'!R6</f>
        <v>-224243.53428683314</v>
      </c>
      <c r="S9" s="193">
        <f>'44_Working_Capital'!S3-'44_Working_Capital'!S6</f>
        <v>-244219.67642510403</v>
      </c>
      <c r="T9" s="193">
        <f>'44_Working_Capital'!T3-'44_Working_Capital'!T6</f>
        <v>-262606.91586097563</v>
      </c>
      <c r="U9" s="193">
        <f>'44_Working_Capital'!U3-'44_Working_Capital'!U6</f>
        <v>-332805.7926421708</v>
      </c>
      <c r="V9" s="193">
        <f>'44_Working_Capital'!V3-'44_Working_Capital'!V6</f>
        <v>-396778.36543472973</v>
      </c>
      <c r="W9" s="193">
        <f>'44_Working_Capital'!W3-'44_Working_Capital'!W6</f>
        <v>-455128.83164783707</v>
      </c>
      <c r="X9" s="193">
        <f>'44_Working_Capital'!X3-'44_Working_Capital'!X6</f>
        <v>-508409.87984997407</v>
      </c>
      <c r="Y9" s="193">
        <f>'44_Working_Capital'!Y3-'44_Working_Capital'!Y6</f>
        <v>-557127.06834046775</v>
      </c>
      <c r="Z9" s="193">
        <f>'44_Working_Capital'!Z3-'44_Working_Capital'!Z6</f>
        <v>-601742.83698218176</v>
      </c>
      <c r="AA9" s="193">
        <f>'44_Working_Capital'!AA3-'44_Working_Capital'!AA6</f>
        <v>-642680.18295060843</v>
      </c>
      <c r="AB9" s="193">
        <f>'44_Working_Capital'!AB3-'44_Working_Capital'!AB6</f>
        <v>-680326.02849748358</v>
      </c>
      <c r="AC9" s="193">
        <f>'44_Working_Capital'!AC3-'44_Working_Capital'!AC6</f>
        <v>-715034.30648311041</v>
      </c>
      <c r="AD9" s="193">
        <f>'44_Working_Capital'!AD3-'44_Working_Capital'!AD6</f>
        <v>-747128.78728303965</v>
      </c>
      <c r="AE9" s="193">
        <f>'44_Working_Capital'!AE3-'44_Working_Capital'!AE6</f>
        <v>-776905.66870540008</v>
      </c>
      <c r="AF9" s="193">
        <f>'44_Working_Capital'!AF3-'44_Working_Capital'!AF6</f>
        <v>-804635.94874999579</v>
      </c>
      <c r="AG9" s="193">
        <f>'44_Working_Capital'!AG3-'44_Working_Capital'!AG6</f>
        <v>-830567.59938570298</v>
      </c>
      <c r="AH9" s="193">
        <f>'44_Working_Capital'!AH3-'44_Working_Capital'!AH6</f>
        <v>-854927.55800593831</v>
      </c>
      <c r="AI9" s="193">
        <f>'44_Working_Capital'!AI3-'44_Working_Capital'!AI6</f>
        <v>-877923.55183193088</v>
      </c>
      <c r="AJ9" s="193">
        <f>'44_Working_Capital'!AJ3-'44_Working_Capital'!AJ6</f>
        <v>-899745.76925913617</v>
      </c>
      <c r="AK9" s="193">
        <f>'44_Working_Capital'!AK3-'44_Working_Capital'!AK6</f>
        <v>-920568.39097430557</v>
      </c>
      <c r="AL9" s="192">
        <f>SUMIF('23_Time'!$B$3:$AK$3, 1,B9:AK9)</f>
        <v>-357045.26633176696</v>
      </c>
      <c r="AM9" s="193">
        <f>SUMIF('23_Time'!$B$3:$AK$3, 2,B9:AK9)</f>
        <v>-3640020.760617869</v>
      </c>
      <c r="AN9" s="194">
        <f>SUMIF('23_Time'!$B$3:$AK$3, 3,B9:AK9)</f>
        <v>-9352186.6291088331</v>
      </c>
    </row>
    <row r="10" spans="1:40" x14ac:dyDescent="0.3">
      <c r="A10" s="129" t="s">
        <v>70</v>
      </c>
      <c r="B10" s="186">
        <f>-'43_CAPEX_Depreciation'!B5</f>
        <v>-59776</v>
      </c>
      <c r="C10" s="186">
        <f>-'43_CAPEX_Depreciation'!C5</f>
        <v>-59776</v>
      </c>
      <c r="D10" s="186">
        <f>-'43_CAPEX_Depreciation'!D5</f>
        <v>-59776</v>
      </c>
      <c r="E10" s="186">
        <f>-'43_CAPEX_Depreciation'!E5</f>
        <v>-59776</v>
      </c>
      <c r="F10" s="186">
        <f>-'43_CAPEX_Depreciation'!F5</f>
        <v>-59776</v>
      </c>
      <c r="G10" s="186">
        <f>-'43_CAPEX_Depreciation'!G5</f>
        <v>-59776</v>
      </c>
      <c r="H10" s="186">
        <f>-'43_CAPEX_Depreciation'!H5</f>
        <v>-64192</v>
      </c>
      <c r="I10" s="186">
        <f>-'43_CAPEX_Depreciation'!I5</f>
        <v>-66584</v>
      </c>
      <c r="J10" s="186">
        <f>-'43_CAPEX_Depreciation'!J5</f>
        <v>-70999.999999999985</v>
      </c>
      <c r="K10" s="186">
        <f>-'43_CAPEX_Depreciation'!K5</f>
        <v>-73392</v>
      </c>
      <c r="L10" s="186">
        <f>-'43_CAPEX_Depreciation'!L5</f>
        <v>-77807.999999999985</v>
      </c>
      <c r="M10" s="186">
        <f>-'43_CAPEX_Depreciation'!M5</f>
        <v>-80200</v>
      </c>
      <c r="N10" s="186">
        <f>-'43_CAPEX_Depreciation'!N5</f>
        <v>-80200</v>
      </c>
      <c r="O10" s="186">
        <f>-'43_CAPEX_Depreciation'!O5</f>
        <v>-80200</v>
      </c>
      <c r="P10" s="186">
        <f>-'43_CAPEX_Depreciation'!P5</f>
        <v>-80200</v>
      </c>
      <c r="Q10" s="186">
        <f>-'43_CAPEX_Depreciation'!Q5</f>
        <v>-80200</v>
      </c>
      <c r="R10" s="186">
        <f>-'43_CAPEX_Depreciation'!R5</f>
        <v>-80200</v>
      </c>
      <c r="S10" s="186">
        <f>-'43_CAPEX_Depreciation'!S5</f>
        <v>-80200</v>
      </c>
      <c r="T10" s="186">
        <f>-'43_CAPEX_Depreciation'!T5</f>
        <v>-80200</v>
      </c>
      <c r="U10" s="186">
        <f>-'43_CAPEX_Depreciation'!U5</f>
        <v>-84616</v>
      </c>
      <c r="V10" s="186">
        <f>-'43_CAPEX_Depreciation'!V5</f>
        <v>-87008</v>
      </c>
      <c r="W10" s="186">
        <f>-'43_CAPEX_Depreciation'!W5</f>
        <v>-91424</v>
      </c>
      <c r="X10" s="186">
        <f>-'43_CAPEX_Depreciation'!X5</f>
        <v>-93816</v>
      </c>
      <c r="Y10" s="186">
        <f>-'43_CAPEX_Depreciation'!Y5</f>
        <v>-96208</v>
      </c>
      <c r="Z10" s="186">
        <f>-'43_CAPEX_Depreciation'!Z5</f>
        <v>-96208</v>
      </c>
      <c r="AA10" s="186">
        <f>-'43_CAPEX_Depreciation'!AA5</f>
        <v>-96207.999999999985</v>
      </c>
      <c r="AB10" s="186">
        <f>-'43_CAPEX_Depreciation'!AB5</f>
        <v>-98599.999999999985</v>
      </c>
      <c r="AC10" s="186">
        <f>-'43_CAPEX_Depreciation'!AC5</f>
        <v>-100624</v>
      </c>
      <c r="AD10" s="186">
        <f>-'43_CAPEX_Depreciation'!AD5</f>
        <v>-100623.99999999997</v>
      </c>
      <c r="AE10" s="186">
        <f>-'43_CAPEX_Depreciation'!AE5</f>
        <v>-103015.99999999999</v>
      </c>
      <c r="AF10" s="186">
        <f>-'43_CAPEX_Depreciation'!AF5</f>
        <v>-103015.99999999999</v>
      </c>
      <c r="AG10" s="186">
        <f>-'43_CAPEX_Depreciation'!AG5</f>
        <v>-105039.99999999999</v>
      </c>
      <c r="AH10" s="186">
        <f>-'43_CAPEX_Depreciation'!AH5</f>
        <v>-107431.99999999999</v>
      </c>
      <c r="AI10" s="186">
        <f>-'43_CAPEX_Depreciation'!AI5</f>
        <v>-107431.99999999999</v>
      </c>
      <c r="AJ10" s="186">
        <f>-'43_CAPEX_Depreciation'!AJ5</f>
        <v>-107431.99999999999</v>
      </c>
      <c r="AK10" s="186">
        <f>-'43_CAPEX_Depreciation'!AK5</f>
        <v>-107431.99999999999</v>
      </c>
      <c r="AL10" s="185">
        <f>SUMIF('23_Time'!$B$3:$AK$3, 1,B10:AK10)</f>
        <v>-791832</v>
      </c>
      <c r="AM10" s="186">
        <f>SUMIF('23_Time'!$B$3:$AK$3, 2,B10:AK10)</f>
        <v>-1014472</v>
      </c>
      <c r="AN10" s="187">
        <f>SUMIF('23_Time'!$B$3:$AK$3, 3,B10:AK10)</f>
        <v>-1233064</v>
      </c>
    </row>
    <row r="11" spans="1:40" x14ac:dyDescent="0.3">
      <c r="A11" s="127" t="s">
        <v>180</v>
      </c>
      <c r="B11" s="189">
        <f>'45_Funding_Interest_Equity'!B4</f>
        <v>0</v>
      </c>
      <c r="C11" s="189">
        <f>'45_Funding_Interest_Equity'!C4</f>
        <v>0</v>
      </c>
      <c r="D11" s="189">
        <f>'45_Funding_Interest_Equity'!D4</f>
        <v>0</v>
      </c>
      <c r="E11" s="189">
        <f>'45_Funding_Interest_Equity'!E4</f>
        <v>1000000</v>
      </c>
      <c r="F11" s="189">
        <f>'45_Funding_Interest_Equity'!F4</f>
        <v>2000000</v>
      </c>
      <c r="G11" s="189">
        <f>'45_Funding_Interest_Equity'!G4</f>
        <v>0</v>
      </c>
      <c r="H11" s="189">
        <f>'45_Funding_Interest_Equity'!H4</f>
        <v>1000000</v>
      </c>
      <c r="I11" s="189">
        <f>'45_Funding_Interest_Equity'!I4</f>
        <v>0</v>
      </c>
      <c r="J11" s="189">
        <f>'45_Funding_Interest_Equity'!J4</f>
        <v>0</v>
      </c>
      <c r="K11" s="189">
        <f>'45_Funding_Interest_Equity'!K4</f>
        <v>0</v>
      </c>
      <c r="L11" s="189">
        <f>'45_Funding_Interest_Equity'!L4</f>
        <v>0</v>
      </c>
      <c r="M11" s="189">
        <f>'45_Funding_Interest_Equity'!M4</f>
        <v>0</v>
      </c>
      <c r="N11" s="189">
        <f>'45_Funding_Interest_Equity'!N4</f>
        <v>0</v>
      </c>
      <c r="O11" s="189">
        <f>'45_Funding_Interest_Equity'!O4</f>
        <v>0</v>
      </c>
      <c r="P11" s="189">
        <f>'45_Funding_Interest_Equity'!P4</f>
        <v>0</v>
      </c>
      <c r="Q11" s="189">
        <f>'45_Funding_Interest_Equity'!Q4</f>
        <v>0</v>
      </c>
      <c r="R11" s="189">
        <f>'45_Funding_Interest_Equity'!R4</f>
        <v>0</v>
      </c>
      <c r="S11" s="189">
        <f>'45_Funding_Interest_Equity'!S4</f>
        <v>0</v>
      </c>
      <c r="T11" s="189">
        <f>'45_Funding_Interest_Equity'!T4</f>
        <v>0</v>
      </c>
      <c r="U11" s="189">
        <f>'45_Funding_Interest_Equity'!U4</f>
        <v>0</v>
      </c>
      <c r="V11" s="189">
        <f>'45_Funding_Interest_Equity'!V4</f>
        <v>0</v>
      </c>
      <c r="W11" s="189">
        <f>'45_Funding_Interest_Equity'!W4</f>
        <v>0</v>
      </c>
      <c r="X11" s="189">
        <f>'45_Funding_Interest_Equity'!X4</f>
        <v>0</v>
      </c>
      <c r="Y11" s="189">
        <f>'45_Funding_Interest_Equity'!Y4</f>
        <v>0</v>
      </c>
      <c r="Z11" s="189">
        <f>'45_Funding_Interest_Equity'!Z4</f>
        <v>0</v>
      </c>
      <c r="AA11" s="189">
        <f>'45_Funding_Interest_Equity'!AA4</f>
        <v>0</v>
      </c>
      <c r="AB11" s="189">
        <f>'45_Funding_Interest_Equity'!AB4</f>
        <v>0</v>
      </c>
      <c r="AC11" s="189">
        <f>'45_Funding_Interest_Equity'!AC4</f>
        <v>0</v>
      </c>
      <c r="AD11" s="189">
        <f>'45_Funding_Interest_Equity'!AD4</f>
        <v>0</v>
      </c>
      <c r="AE11" s="189">
        <f>'45_Funding_Interest_Equity'!AE4</f>
        <v>0</v>
      </c>
      <c r="AF11" s="189">
        <f>'45_Funding_Interest_Equity'!AF4</f>
        <v>0</v>
      </c>
      <c r="AG11" s="189">
        <f>'45_Funding_Interest_Equity'!AG4</f>
        <v>0</v>
      </c>
      <c r="AH11" s="189">
        <f>'45_Funding_Interest_Equity'!AH4</f>
        <v>0</v>
      </c>
      <c r="AI11" s="189">
        <f>'45_Funding_Interest_Equity'!AI4</f>
        <v>0</v>
      </c>
      <c r="AJ11" s="189">
        <f>'45_Funding_Interest_Equity'!AJ4</f>
        <v>0</v>
      </c>
      <c r="AK11" s="189">
        <f>'45_Funding_Interest_Equity'!AK4</f>
        <v>0</v>
      </c>
      <c r="AL11" s="188">
        <f>SUMIF('23_Time'!$B$3:$AK$3, 1,B11:AK11)</f>
        <v>4000000</v>
      </c>
      <c r="AM11" s="189">
        <f>SUMIF('23_Time'!$B$3:$AK$3, 2,B11:AK11)</f>
        <v>0</v>
      </c>
      <c r="AN11" s="190">
        <f>SUMIF('23_Time'!$B$3:$AK$3, 3,B11:AK11)</f>
        <v>0</v>
      </c>
    </row>
    <row r="12" spans="1:40" x14ac:dyDescent="0.3">
      <c r="A12" s="127" t="s">
        <v>190</v>
      </c>
      <c r="B12" s="203">
        <f>'45_Funding_Interest_Equity'!B7</f>
        <v>0</v>
      </c>
      <c r="C12" s="203">
        <f>'45_Funding_Interest_Equity'!C7</f>
        <v>0</v>
      </c>
      <c r="D12" s="203">
        <f>'45_Funding_Interest_Equity'!D7</f>
        <v>0</v>
      </c>
      <c r="E12" s="203">
        <f>'45_Funding_Interest_Equity'!E7</f>
        <v>0</v>
      </c>
      <c r="F12" s="203">
        <f>'45_Funding_Interest_Equity'!F7</f>
        <v>0</v>
      </c>
      <c r="G12" s="203">
        <f>'45_Funding_Interest_Equity'!G7</f>
        <v>0</v>
      </c>
      <c r="H12" s="203">
        <f>'45_Funding_Interest_Equity'!H7</f>
        <v>0</v>
      </c>
      <c r="I12" s="203">
        <f>'45_Funding_Interest_Equity'!I7</f>
        <v>0</v>
      </c>
      <c r="J12" s="203">
        <f>'45_Funding_Interest_Equity'!J7</f>
        <v>0</v>
      </c>
      <c r="K12" s="203">
        <f>'45_Funding_Interest_Equity'!K7</f>
        <v>0</v>
      </c>
      <c r="L12" s="203">
        <f>'45_Funding_Interest_Equity'!L7</f>
        <v>0</v>
      </c>
      <c r="M12" s="203">
        <f>'45_Funding_Interest_Equity'!M7</f>
        <v>10000000</v>
      </c>
      <c r="N12" s="203">
        <f>'45_Funding_Interest_Equity'!N7</f>
        <v>0</v>
      </c>
      <c r="O12" s="203">
        <f>'45_Funding_Interest_Equity'!O7</f>
        <v>0</v>
      </c>
      <c r="P12" s="203">
        <f>'45_Funding_Interest_Equity'!P7</f>
        <v>0</v>
      </c>
      <c r="Q12" s="203">
        <f>'45_Funding_Interest_Equity'!Q7</f>
        <v>0</v>
      </c>
      <c r="R12" s="203">
        <f>'45_Funding_Interest_Equity'!R7</f>
        <v>0</v>
      </c>
      <c r="S12" s="203">
        <f>'45_Funding_Interest_Equity'!S7</f>
        <v>0</v>
      </c>
      <c r="T12" s="203">
        <f>'45_Funding_Interest_Equity'!T7</f>
        <v>40000000</v>
      </c>
      <c r="U12" s="203">
        <f>'45_Funding_Interest_Equity'!U7</f>
        <v>0</v>
      </c>
      <c r="V12" s="203">
        <f>'45_Funding_Interest_Equity'!V7</f>
        <v>0</v>
      </c>
      <c r="W12" s="203">
        <f>'45_Funding_Interest_Equity'!W7</f>
        <v>0</v>
      </c>
      <c r="X12" s="203">
        <f>'45_Funding_Interest_Equity'!X7</f>
        <v>0</v>
      </c>
      <c r="Y12" s="203">
        <f>'45_Funding_Interest_Equity'!Y7</f>
        <v>0</v>
      </c>
      <c r="Z12" s="203">
        <f>'45_Funding_Interest_Equity'!Z7</f>
        <v>0</v>
      </c>
      <c r="AA12" s="203">
        <f>'45_Funding_Interest_Equity'!AA7</f>
        <v>0</v>
      </c>
      <c r="AB12" s="203">
        <f>'45_Funding_Interest_Equity'!AB7</f>
        <v>0</v>
      </c>
      <c r="AC12" s="203">
        <f>'45_Funding_Interest_Equity'!AC7</f>
        <v>0</v>
      </c>
      <c r="AD12" s="203">
        <f>'45_Funding_Interest_Equity'!AD7</f>
        <v>0</v>
      </c>
      <c r="AE12" s="203">
        <f>'45_Funding_Interest_Equity'!AE7</f>
        <v>0</v>
      </c>
      <c r="AF12" s="203">
        <f>'45_Funding_Interest_Equity'!AF7</f>
        <v>0</v>
      </c>
      <c r="AG12" s="203">
        <f>'45_Funding_Interest_Equity'!AG7</f>
        <v>0</v>
      </c>
      <c r="AH12" s="203">
        <f>'45_Funding_Interest_Equity'!AH7</f>
        <v>0</v>
      </c>
      <c r="AI12" s="203">
        <f>'45_Funding_Interest_Equity'!AI7</f>
        <v>0</v>
      </c>
      <c r="AJ12" s="203">
        <f>'45_Funding_Interest_Equity'!AJ7</f>
        <v>0</v>
      </c>
      <c r="AK12" s="203">
        <f>'45_Funding_Interest_Equity'!AK7</f>
        <v>0</v>
      </c>
      <c r="AL12" s="188">
        <f>SUMIF('23_Time'!$B$3:$AK$3, 1,B12:AK12)</f>
        <v>10000000</v>
      </c>
      <c r="AM12" s="189">
        <f>SUMIF('23_Time'!$B$3:$AK$3, 2,B12:AK12)</f>
        <v>40000000</v>
      </c>
      <c r="AN12" s="190">
        <f>SUMIF('23_Time'!$B$3:$AK$3, 3,B12:AK12)</f>
        <v>0</v>
      </c>
    </row>
    <row r="13" spans="1:40" ht="15" thickBot="1" x14ac:dyDescent="0.35">
      <c r="A13" s="342" t="s">
        <v>609</v>
      </c>
      <c r="B13" s="204">
        <f>IF(B$1='36_Inputs_Funding'!$B$4,'36_Inputs_Funding'!$C$4,0)</f>
        <v>0</v>
      </c>
      <c r="C13" s="204">
        <f>IF(C$1='36_Inputs_Funding'!$B$4,'36_Inputs_Funding'!$C$4,0)</f>
        <v>0</v>
      </c>
      <c r="D13" s="204">
        <f>IF(D$1='36_Inputs_Funding'!$B$4,'36_Inputs_Funding'!$C$4,0)</f>
        <v>0</v>
      </c>
      <c r="E13" s="204">
        <f>IF(E$1='36_Inputs_Funding'!$B$4,'36_Inputs_Funding'!$C$4,0)</f>
        <v>0</v>
      </c>
      <c r="F13" s="204">
        <f>IF(F$1='36_Inputs_Funding'!$B$4,'36_Inputs_Funding'!$C$4,0)</f>
        <v>0</v>
      </c>
      <c r="G13" s="204">
        <f>IF(G$1='36_Inputs_Funding'!$B$4,'36_Inputs_Funding'!$C$4,0)</f>
        <v>0</v>
      </c>
      <c r="H13" s="204">
        <f>IF(H$1='36_Inputs_Funding'!$B$4,'36_Inputs_Funding'!$C$4,0)</f>
        <v>8000000</v>
      </c>
      <c r="I13" s="204">
        <f>IF(I$1='36_Inputs_Funding'!$B$4,'36_Inputs_Funding'!$C$4,0)</f>
        <v>0</v>
      </c>
      <c r="J13" s="204">
        <f>IF(J$1='36_Inputs_Funding'!$B$4,'36_Inputs_Funding'!$C$4,0)</f>
        <v>0</v>
      </c>
      <c r="K13" s="204">
        <f>IF(K$1='36_Inputs_Funding'!$B$4,'36_Inputs_Funding'!$C$4,0)</f>
        <v>0</v>
      </c>
      <c r="L13" s="204">
        <f>IF(L$1='36_Inputs_Funding'!$B$4,'36_Inputs_Funding'!$C$4,0)</f>
        <v>0</v>
      </c>
      <c r="M13" s="204">
        <f>IF(M$1='36_Inputs_Funding'!$B$4,'36_Inputs_Funding'!$C$4,0)</f>
        <v>0</v>
      </c>
      <c r="N13" s="204">
        <f>IF(N$1='36_Inputs_Funding'!$B$4,'36_Inputs_Funding'!$C$4,0)</f>
        <v>0</v>
      </c>
      <c r="O13" s="204">
        <f>IF(O$1='36_Inputs_Funding'!$B$4,'36_Inputs_Funding'!$C$4,0)</f>
        <v>0</v>
      </c>
      <c r="P13" s="204">
        <f>IF(P$1='36_Inputs_Funding'!$B$4,'36_Inputs_Funding'!$C$4,0)</f>
        <v>0</v>
      </c>
      <c r="Q13" s="204">
        <f>IF(Q$1='36_Inputs_Funding'!$B$4,'36_Inputs_Funding'!$C$4,0)</f>
        <v>0</v>
      </c>
      <c r="R13" s="204">
        <f>IF(R$1='36_Inputs_Funding'!$B$4,'36_Inputs_Funding'!$C$4,0)</f>
        <v>0</v>
      </c>
      <c r="S13" s="204">
        <f>IF(S$1='36_Inputs_Funding'!$B$4,'36_Inputs_Funding'!$C$4,0)</f>
        <v>0</v>
      </c>
      <c r="T13" s="204">
        <f>IF(T$1='36_Inputs_Funding'!$B$4,'36_Inputs_Funding'!$C$4,0)</f>
        <v>0</v>
      </c>
      <c r="U13" s="204">
        <f>IF(U$1='36_Inputs_Funding'!$B$4,'36_Inputs_Funding'!$C$4,0)</f>
        <v>0</v>
      </c>
      <c r="V13" s="204">
        <f>IF(V$1='36_Inputs_Funding'!$B$4,'36_Inputs_Funding'!$C$4,0)</f>
        <v>0</v>
      </c>
      <c r="W13" s="204">
        <f>IF(W$1='36_Inputs_Funding'!$B$4,'36_Inputs_Funding'!$C$4,0)</f>
        <v>0</v>
      </c>
      <c r="X13" s="204">
        <f>IF(X$1='36_Inputs_Funding'!$B$4,'36_Inputs_Funding'!$C$4,0)</f>
        <v>0</v>
      </c>
      <c r="Y13" s="204">
        <f>IF(Y$1='36_Inputs_Funding'!$B$4,'36_Inputs_Funding'!$C$4,0)</f>
        <v>0</v>
      </c>
      <c r="Z13" s="204">
        <f>IF(Z$1='36_Inputs_Funding'!$B$4,'36_Inputs_Funding'!$C$4,0)</f>
        <v>0</v>
      </c>
      <c r="AA13" s="204">
        <f>IF(AA$1='36_Inputs_Funding'!$B$4,'36_Inputs_Funding'!$C$4,0)</f>
        <v>0</v>
      </c>
      <c r="AB13" s="204">
        <f>IF(AB$1='36_Inputs_Funding'!$B$4,'36_Inputs_Funding'!$C$4,0)</f>
        <v>0</v>
      </c>
      <c r="AC13" s="204">
        <f>IF(AC$1='36_Inputs_Funding'!$B$4,'36_Inputs_Funding'!$C$4,0)</f>
        <v>0</v>
      </c>
      <c r="AD13" s="204">
        <f>IF(AD$1='36_Inputs_Funding'!$B$4,'36_Inputs_Funding'!$C$4,0)</f>
        <v>0</v>
      </c>
      <c r="AE13" s="204">
        <f>IF(AE$1='36_Inputs_Funding'!$B$4,'36_Inputs_Funding'!$C$4,0)</f>
        <v>0</v>
      </c>
      <c r="AF13" s="204">
        <f>IF(AF$1='36_Inputs_Funding'!$B$4,'36_Inputs_Funding'!$C$4,0)</f>
        <v>0</v>
      </c>
      <c r="AG13" s="204">
        <f>IF(AG$1='36_Inputs_Funding'!$B$4,'36_Inputs_Funding'!$C$4,0)</f>
        <v>0</v>
      </c>
      <c r="AH13" s="204">
        <f>IF(AH$1='36_Inputs_Funding'!$B$4,'36_Inputs_Funding'!$C$4,0)</f>
        <v>0</v>
      </c>
      <c r="AI13" s="204">
        <f>IF(AI$1='36_Inputs_Funding'!$B$4,'36_Inputs_Funding'!$C$4,0)</f>
        <v>0</v>
      </c>
      <c r="AJ13" s="204">
        <f>IF(AJ$1='36_Inputs_Funding'!$B$4,'36_Inputs_Funding'!$C$4,0)</f>
        <v>0</v>
      </c>
      <c r="AK13" s="204">
        <f>IF(AK$1='36_Inputs_Funding'!$B$4,'36_Inputs_Funding'!$C$4,0)</f>
        <v>0</v>
      </c>
      <c r="AL13" s="192">
        <f>SUMIF('23_Time'!$B$3:$AK$3, 1,B13:AK13)</f>
        <v>8000000</v>
      </c>
      <c r="AM13" s="193">
        <f>SUMIF('23_Time'!$B$3:$AK$3, 2,B13:AK13)</f>
        <v>0</v>
      </c>
      <c r="AN13" s="194">
        <f>SUMIF('23_Time'!$B$3:$AK$3, 3,B13:AK13)</f>
        <v>0</v>
      </c>
    </row>
    <row r="14" spans="1:40" ht="15" thickBot="1" x14ac:dyDescent="0.35">
      <c r="A14" s="24" t="s">
        <v>71</v>
      </c>
      <c r="B14" s="25">
        <f>SUM(B3:B13)</f>
        <v>-482147.51515151514</v>
      </c>
      <c r="C14" s="25">
        <f t="shared" ref="C14:AK14" si="0">SUM(C3:C13)</f>
        <v>-1274547.4969237398</v>
      </c>
      <c r="D14" s="25">
        <f t="shared" si="0"/>
        <v>-1261596.7482425289</v>
      </c>
      <c r="E14" s="25">
        <f t="shared" si="0"/>
        <v>-252729.97663920419</v>
      </c>
      <c r="F14" s="25">
        <f t="shared" si="0"/>
        <v>747899.77278333833</v>
      </c>
      <c r="G14" s="25">
        <f t="shared" si="0"/>
        <v>-1247193.9023979139</v>
      </c>
      <c r="H14" s="25">
        <f t="shared" si="0"/>
        <v>7729986.5841910206</v>
      </c>
      <c r="I14" s="25">
        <f t="shared" si="0"/>
        <v>-1334371.8462961866</v>
      </c>
      <c r="J14" s="25">
        <f t="shared" si="0"/>
        <v>-1478322.2674389961</v>
      </c>
      <c r="K14" s="25">
        <f t="shared" si="0"/>
        <v>-1528416.5776475582</v>
      </c>
      <c r="L14" s="25">
        <f t="shared" si="0"/>
        <v>-1591724.597168677</v>
      </c>
      <c r="M14" s="25">
        <f t="shared" si="0"/>
        <v>8347298.5014971364</v>
      </c>
      <c r="N14" s="25">
        <f t="shared" si="0"/>
        <v>-1720244.5080357948</v>
      </c>
      <c r="O14" s="25">
        <f t="shared" si="0"/>
        <v>-2003677.6450940669</v>
      </c>
      <c r="P14" s="25">
        <f t="shared" si="0"/>
        <v>-1971946.9886138469</v>
      </c>
      <c r="Q14" s="25">
        <f t="shared" si="0"/>
        <v>-1931209.4217476216</v>
      </c>
      <c r="R14" s="25">
        <f t="shared" si="0"/>
        <v>-1895440.9419612375</v>
      </c>
      <c r="S14" s="25">
        <f t="shared" si="0"/>
        <v>-1857897.6341165663</v>
      </c>
      <c r="T14" s="25">
        <f t="shared" si="0"/>
        <v>38188182.627515323</v>
      </c>
      <c r="U14" s="25">
        <f t="shared" si="0"/>
        <v>-1911875.7215564128</v>
      </c>
      <c r="V14" s="25">
        <f t="shared" si="0"/>
        <v>-2471694.0859044213</v>
      </c>
      <c r="W14" s="25">
        <f t="shared" si="0"/>
        <v>-2452985.4867030121</v>
      </c>
      <c r="X14" s="25">
        <f t="shared" si="0"/>
        <v>-2434519.6794207329</v>
      </c>
      <c r="Y14" s="25">
        <f t="shared" si="0"/>
        <v>-2387675.7553797821</v>
      </c>
      <c r="Z14" s="25">
        <f t="shared" si="0"/>
        <v>-2312720.6046241401</v>
      </c>
      <c r="AA14" s="25">
        <f t="shared" si="0"/>
        <v>-2215812.8858869746</v>
      </c>
      <c r="AB14" s="25">
        <f t="shared" si="0"/>
        <v>-2132972.6532920203</v>
      </c>
      <c r="AC14" s="25">
        <f t="shared" si="0"/>
        <v>-2052482.6686139849</v>
      </c>
      <c r="AD14" s="25">
        <f t="shared" si="0"/>
        <v>-1959097.4255077685</v>
      </c>
      <c r="AE14" s="25">
        <f t="shared" si="0"/>
        <v>-1879263.9099025608</v>
      </c>
      <c r="AF14" s="25">
        <f t="shared" si="0"/>
        <v>-1787652.1187280552</v>
      </c>
      <c r="AG14" s="25">
        <f t="shared" si="0"/>
        <v>-1688807.3572803778</v>
      </c>
      <c r="AH14" s="25">
        <f t="shared" si="0"/>
        <v>-1603030.333831104</v>
      </c>
      <c r="AI14" s="25">
        <f t="shared" si="0"/>
        <v>-1493147.0685206694</v>
      </c>
      <c r="AJ14" s="25">
        <f t="shared" si="0"/>
        <v>-1373116.6321458993</v>
      </c>
      <c r="AK14" s="25">
        <f t="shared" si="0"/>
        <v>-1251038.7291393585</v>
      </c>
      <c r="AL14" s="26">
        <f>SUMIF('23_Time'!$B$3:$AK$3, 1,B14:AK14)</f>
        <v>6374133.9305651756</v>
      </c>
      <c r="AM14" s="25">
        <f>SUMIF('23_Time'!$B$3:$AK$3, 2,B14:AK14)</f>
        <v>15149014.758981828</v>
      </c>
      <c r="AN14" s="27">
        <f>SUMIF('23_Time'!$B$3:$AK$3, 3,B14:AK14)</f>
        <v>-21749142.387472913</v>
      </c>
    </row>
    <row r="15" spans="1:40" x14ac:dyDescent="0.3">
      <c r="B15" s="5"/>
      <c r="C15" s="5"/>
      <c r="D15" s="5"/>
      <c r="E15" s="5"/>
      <c r="F15" s="5"/>
      <c r="G15" s="5"/>
      <c r="H15" s="5"/>
      <c r="I15" s="5"/>
      <c r="J15" s="5"/>
      <c r="K15" s="5"/>
      <c r="L15" s="5"/>
      <c r="M15" s="5"/>
      <c r="N15" s="5"/>
      <c r="O15" s="5"/>
      <c r="P15" s="5"/>
      <c r="Q15" s="5"/>
      <c r="R15" s="5"/>
      <c r="S15" s="5"/>
      <c r="T15" s="5"/>
      <c r="U15" s="5"/>
      <c r="V15" s="5"/>
      <c r="W15" s="5"/>
      <c r="X15" s="5"/>
      <c r="Y15" s="5"/>
      <c r="Z15" s="5"/>
      <c r="AA15" s="5"/>
      <c r="AB15" s="5"/>
      <c r="AC15" s="5"/>
      <c r="AD15" s="5"/>
      <c r="AE15" s="5"/>
      <c r="AF15" s="5"/>
      <c r="AG15" s="5"/>
      <c r="AH15" s="5"/>
      <c r="AI15" s="5"/>
      <c r="AJ15" s="5"/>
      <c r="AK15" s="5"/>
      <c r="AL15" s="5"/>
      <c r="AM15" s="5"/>
      <c r="AN15" s="5"/>
    </row>
    <row r="16" spans="1:40" x14ac:dyDescent="0.3">
      <c r="B16" s="5"/>
      <c r="C16" s="5"/>
      <c r="D16" s="5"/>
      <c r="E16" s="5"/>
      <c r="F16" s="5"/>
      <c r="G16" s="5"/>
      <c r="H16" s="5"/>
      <c r="I16" s="5"/>
      <c r="J16" s="5"/>
      <c r="K16" s="5"/>
      <c r="L16" s="5"/>
      <c r="M16" s="5"/>
      <c r="N16" s="5"/>
      <c r="O16" s="5"/>
      <c r="P16" s="5"/>
      <c r="Q16" s="5"/>
      <c r="R16" s="5"/>
      <c r="S16" s="5"/>
      <c r="T16" s="5"/>
      <c r="U16" s="5"/>
      <c r="V16" s="5"/>
      <c r="W16" s="5"/>
      <c r="X16" s="5"/>
      <c r="Y16" s="5"/>
      <c r="Z16" s="5"/>
      <c r="AA16" s="5"/>
      <c r="AB16" s="5"/>
      <c r="AC16" s="5"/>
      <c r="AD16" s="5"/>
      <c r="AE16" s="5"/>
      <c r="AF16" s="5"/>
      <c r="AG16" s="5"/>
      <c r="AH16" s="5"/>
      <c r="AI16" s="5"/>
      <c r="AJ16" s="5"/>
      <c r="AK16" s="5"/>
      <c r="AL16" s="5"/>
      <c r="AM16" s="5"/>
      <c r="AN16" s="5"/>
    </row>
    <row r="17" spans="2:40" x14ac:dyDescent="0.3">
      <c r="B17" s="5"/>
      <c r="C17" s="5"/>
      <c r="D17" s="5"/>
      <c r="E17" s="5"/>
      <c r="F17" s="5"/>
      <c r="G17" s="5"/>
      <c r="H17" s="5"/>
      <c r="I17" s="5"/>
      <c r="J17" s="5"/>
      <c r="K17" s="5"/>
      <c r="L17" s="5"/>
      <c r="M17" s="5"/>
      <c r="N17" s="5"/>
      <c r="O17" s="5"/>
      <c r="P17" s="5"/>
      <c r="Q17" s="5"/>
      <c r="R17" s="5"/>
      <c r="S17" s="5"/>
      <c r="T17" s="5"/>
      <c r="U17" s="5"/>
      <c r="V17" s="5"/>
      <c r="W17" s="5"/>
      <c r="X17" s="5"/>
      <c r="Y17" s="5"/>
      <c r="Z17" s="5"/>
      <c r="AA17" s="5"/>
      <c r="AB17" s="5"/>
      <c r="AC17" s="5"/>
      <c r="AD17" s="5"/>
      <c r="AE17" s="5"/>
      <c r="AF17" s="5"/>
      <c r="AG17" s="5"/>
      <c r="AH17" s="5"/>
      <c r="AI17" s="5"/>
      <c r="AJ17" s="5"/>
      <c r="AK17" s="5"/>
      <c r="AL17" s="5"/>
      <c r="AM17" s="5"/>
      <c r="AN17" s="5"/>
    </row>
    <row r="18" spans="2:40" x14ac:dyDescent="0.3">
      <c r="B18" s="5"/>
      <c r="C18" s="5"/>
      <c r="D18" s="5"/>
      <c r="E18" s="5"/>
      <c r="F18" s="5"/>
      <c r="G18" s="5"/>
      <c r="H18" s="5"/>
      <c r="I18" s="5"/>
      <c r="J18" s="5"/>
      <c r="K18" s="5"/>
      <c r="L18" s="5"/>
      <c r="M18" s="5"/>
      <c r="N18" s="5"/>
      <c r="O18" s="5"/>
      <c r="P18" s="5"/>
      <c r="Q18" s="5"/>
      <c r="R18" s="5"/>
      <c r="S18" s="5"/>
      <c r="T18" s="5"/>
      <c r="U18" s="5"/>
      <c r="V18" s="5"/>
      <c r="W18" s="5"/>
      <c r="X18" s="5"/>
      <c r="Y18" s="5"/>
      <c r="Z18" s="5"/>
      <c r="AA18" s="5"/>
      <c r="AB18" s="5"/>
      <c r="AC18" s="5"/>
      <c r="AD18" s="5"/>
      <c r="AE18" s="5"/>
      <c r="AF18" s="5"/>
      <c r="AG18" s="5"/>
      <c r="AH18" s="5"/>
      <c r="AI18" s="5"/>
      <c r="AJ18" s="5"/>
      <c r="AK18" s="5"/>
      <c r="AL18" s="5"/>
      <c r="AM18" s="5"/>
      <c r="AN18" s="5"/>
    </row>
    <row r="19" spans="2:40" x14ac:dyDescent="0.3">
      <c r="B19" s="5"/>
      <c r="C19" s="5"/>
      <c r="D19" s="5"/>
      <c r="E19" s="5"/>
      <c r="F19" s="5"/>
      <c r="G19" s="5"/>
      <c r="H19" s="5"/>
      <c r="I19" s="5"/>
      <c r="J19" s="5"/>
      <c r="K19" s="5"/>
      <c r="L19" s="5"/>
      <c r="M19" s="5"/>
      <c r="N19" s="5"/>
      <c r="O19" s="5"/>
      <c r="P19" s="5"/>
      <c r="Q19" s="5"/>
      <c r="R19" s="5"/>
      <c r="S19" s="5"/>
      <c r="T19" s="5"/>
      <c r="U19" s="5"/>
      <c r="V19" s="5"/>
      <c r="W19" s="5"/>
      <c r="X19" s="5"/>
      <c r="Y19" s="5"/>
      <c r="Z19" s="5"/>
      <c r="AA19" s="5"/>
      <c r="AB19" s="5"/>
      <c r="AC19" s="5"/>
      <c r="AD19" s="5"/>
      <c r="AE19" s="5"/>
      <c r="AF19" s="5"/>
      <c r="AG19" s="5"/>
      <c r="AH19" s="5"/>
      <c r="AI19" s="5"/>
      <c r="AJ19" s="5"/>
      <c r="AK19" s="5"/>
      <c r="AL19" s="5"/>
      <c r="AM19" s="5"/>
      <c r="AN19" s="5"/>
    </row>
    <row r="20" spans="2:40" x14ac:dyDescent="0.3">
      <c r="B20" s="5"/>
      <c r="C20" s="5"/>
      <c r="D20" s="5"/>
      <c r="E20" s="5"/>
      <c r="F20" s="5"/>
      <c r="G20" s="5"/>
      <c r="H20" s="5"/>
      <c r="I20" s="5"/>
      <c r="J20" s="5"/>
      <c r="K20" s="5"/>
      <c r="L20" s="5"/>
      <c r="M20" s="5"/>
      <c r="N20" s="5"/>
      <c r="O20" s="5"/>
      <c r="P20" s="5"/>
      <c r="Q20" s="5"/>
      <c r="R20" s="5"/>
      <c r="S20" s="5"/>
      <c r="T20" s="5"/>
      <c r="U20" s="5"/>
      <c r="V20" s="5"/>
      <c r="W20" s="5"/>
      <c r="X20" s="5"/>
      <c r="Y20" s="5"/>
      <c r="Z20" s="5"/>
      <c r="AA20" s="5"/>
      <c r="AB20" s="5"/>
      <c r="AC20" s="5"/>
      <c r="AD20" s="5"/>
      <c r="AE20" s="5"/>
      <c r="AF20" s="5"/>
      <c r="AG20" s="5"/>
      <c r="AH20" s="5"/>
      <c r="AI20" s="5"/>
      <c r="AJ20" s="5"/>
      <c r="AK20" s="5"/>
      <c r="AL20" s="5"/>
      <c r="AM20" s="5"/>
      <c r="AN20" s="5"/>
    </row>
    <row r="21" spans="2:40" x14ac:dyDescent="0.3">
      <c r="B21" s="5"/>
      <c r="C21" s="5"/>
      <c r="D21" s="5"/>
      <c r="E21" s="5"/>
      <c r="F21" s="5"/>
      <c r="G21" s="5"/>
      <c r="H21" s="5"/>
      <c r="I21" s="5"/>
      <c r="J21" s="5"/>
      <c r="K21" s="5"/>
      <c r="L21" s="5"/>
      <c r="M21" s="5"/>
      <c r="N21" s="5"/>
      <c r="O21" s="5"/>
      <c r="P21" s="5"/>
      <c r="Q21" s="5"/>
      <c r="R21" s="5"/>
      <c r="S21" s="5"/>
      <c r="T21" s="5"/>
      <c r="U21" s="5"/>
      <c r="V21" s="5"/>
      <c r="W21" s="5"/>
      <c r="X21" s="5"/>
      <c r="Y21" s="5"/>
      <c r="Z21" s="5"/>
      <c r="AA21" s="5"/>
      <c r="AB21" s="5"/>
      <c r="AC21" s="5"/>
      <c r="AD21" s="5"/>
      <c r="AE21" s="5"/>
      <c r="AF21" s="5"/>
      <c r="AG21" s="5"/>
      <c r="AH21" s="5"/>
      <c r="AI21" s="5"/>
      <c r="AJ21" s="5"/>
      <c r="AK21" s="5"/>
      <c r="AL21" s="5"/>
      <c r="AM21" s="5"/>
      <c r="AN21" s="5"/>
    </row>
    <row r="22" spans="2:40" x14ac:dyDescent="0.3">
      <c r="B22" s="5"/>
      <c r="C22" s="5"/>
      <c r="D22" s="5"/>
      <c r="E22" s="5"/>
      <c r="F22" s="5"/>
      <c r="G22" s="5"/>
      <c r="H22" s="5"/>
      <c r="I22" s="5"/>
      <c r="J22" s="5"/>
      <c r="K22" s="5"/>
      <c r="L22" s="5"/>
      <c r="M22" s="5"/>
      <c r="N22" s="5"/>
      <c r="O22" s="5"/>
      <c r="P22" s="5"/>
      <c r="Q22" s="5"/>
      <c r="R22" s="5"/>
      <c r="S22" s="5"/>
      <c r="T22" s="5"/>
      <c r="U22" s="5"/>
      <c r="V22" s="5"/>
      <c r="W22" s="5"/>
      <c r="X22" s="5"/>
      <c r="Y22" s="5"/>
      <c r="Z22" s="5"/>
      <c r="AA22" s="5"/>
      <c r="AB22" s="5"/>
      <c r="AC22" s="5"/>
      <c r="AD22" s="5"/>
      <c r="AE22" s="5"/>
      <c r="AF22" s="5"/>
      <c r="AG22" s="5"/>
      <c r="AH22" s="5"/>
      <c r="AI22" s="5"/>
      <c r="AJ22" s="5"/>
      <c r="AK22" s="5"/>
      <c r="AL22" s="5"/>
      <c r="AM22" s="5"/>
      <c r="AN22" s="5"/>
    </row>
    <row r="23" spans="2:40" x14ac:dyDescent="0.3">
      <c r="B23" s="5"/>
      <c r="C23" s="5"/>
      <c r="D23" s="5"/>
      <c r="E23" s="5"/>
      <c r="F23" s="5"/>
      <c r="G23" s="5"/>
      <c r="H23" s="5"/>
      <c r="I23" s="5"/>
      <c r="J23" s="5"/>
      <c r="K23" s="5"/>
      <c r="L23" s="5"/>
      <c r="M23" s="5"/>
      <c r="N23" s="5"/>
      <c r="O23" s="5"/>
      <c r="P23" s="5"/>
      <c r="Q23" s="5"/>
      <c r="R23" s="5"/>
      <c r="S23" s="5"/>
      <c r="T23" s="5"/>
      <c r="U23" s="5"/>
      <c r="V23" s="5"/>
      <c r="W23" s="5"/>
      <c r="X23" s="5"/>
      <c r="Y23" s="5"/>
      <c r="Z23" s="5"/>
      <c r="AA23" s="5"/>
      <c r="AB23" s="5"/>
      <c r="AC23" s="5"/>
      <c r="AD23" s="5"/>
      <c r="AE23" s="5"/>
      <c r="AF23" s="5"/>
      <c r="AG23" s="5"/>
      <c r="AH23" s="5"/>
      <c r="AI23" s="5"/>
      <c r="AJ23" s="5"/>
      <c r="AK23" s="5"/>
      <c r="AL23" s="5"/>
      <c r="AM23" s="5"/>
      <c r="AN23" s="5"/>
    </row>
    <row r="24" spans="2:40" x14ac:dyDescent="0.3">
      <c r="B24" s="5"/>
      <c r="C24" s="5"/>
      <c r="D24" s="5"/>
      <c r="E24" s="5"/>
      <c r="F24" s="5"/>
      <c r="G24" s="5"/>
      <c r="H24" s="5"/>
      <c r="I24" s="5"/>
      <c r="J24" s="5"/>
      <c r="K24" s="5"/>
      <c r="L24" s="5"/>
      <c r="M24" s="5"/>
      <c r="N24" s="5"/>
      <c r="O24" s="5"/>
      <c r="P24" s="5"/>
      <c r="Q24" s="5"/>
      <c r="R24" s="5"/>
      <c r="S24" s="5"/>
      <c r="T24" s="5"/>
      <c r="U24" s="5"/>
      <c r="V24" s="5"/>
      <c r="W24" s="5"/>
      <c r="X24" s="5"/>
      <c r="Y24" s="5"/>
      <c r="Z24" s="5"/>
      <c r="AA24" s="5"/>
      <c r="AB24" s="5"/>
      <c r="AC24" s="5"/>
      <c r="AD24" s="5"/>
      <c r="AE24" s="5"/>
      <c r="AF24" s="5"/>
      <c r="AG24" s="5"/>
      <c r="AH24" s="5"/>
      <c r="AI24" s="5"/>
      <c r="AJ24" s="5"/>
      <c r="AK24" s="5"/>
      <c r="AL24" s="5"/>
      <c r="AM24" s="5"/>
      <c r="AN24" s="5"/>
    </row>
    <row r="25" spans="2:40" x14ac:dyDescent="0.3">
      <c r="B25" s="5"/>
      <c r="C25" s="5"/>
      <c r="D25" s="5"/>
      <c r="E25" s="5"/>
      <c r="F25" s="5"/>
      <c r="G25" s="5"/>
      <c r="H25" s="5"/>
      <c r="I25" s="5"/>
      <c r="J25" s="5"/>
      <c r="K25" s="5"/>
      <c r="L25" s="5"/>
      <c r="M25" s="5"/>
      <c r="N25" s="5"/>
      <c r="O25" s="5"/>
      <c r="P25" s="5"/>
      <c r="Q25" s="5"/>
      <c r="R25" s="5"/>
      <c r="S25" s="5"/>
      <c r="T25" s="5"/>
      <c r="U25" s="5"/>
      <c r="V25" s="5"/>
      <c r="W25" s="5"/>
      <c r="X25" s="5"/>
      <c r="Y25" s="5"/>
      <c r="Z25" s="5"/>
      <c r="AA25" s="5"/>
      <c r="AB25" s="5"/>
      <c r="AC25" s="5"/>
      <c r="AD25" s="5"/>
      <c r="AE25" s="5"/>
      <c r="AF25" s="5"/>
      <c r="AG25" s="5"/>
      <c r="AH25" s="5"/>
      <c r="AI25" s="5"/>
      <c r="AJ25" s="5"/>
      <c r="AK25" s="5"/>
      <c r="AL25" s="5"/>
      <c r="AM25" s="5"/>
      <c r="AN25" s="5"/>
    </row>
    <row r="26" spans="2:40" x14ac:dyDescent="0.3">
      <c r="B26" s="5"/>
      <c r="C26" s="5"/>
      <c r="D26" s="5"/>
      <c r="E26" s="5"/>
      <c r="F26" s="5"/>
      <c r="G26" s="5"/>
      <c r="H26" s="5"/>
      <c r="I26" s="5"/>
      <c r="J26" s="5"/>
      <c r="K26" s="5"/>
      <c r="L26" s="5"/>
      <c r="M26" s="5"/>
      <c r="N26" s="5"/>
      <c r="O26" s="5"/>
      <c r="P26" s="5"/>
      <c r="Q26" s="5"/>
      <c r="R26" s="5"/>
      <c r="S26" s="5"/>
      <c r="T26" s="5"/>
      <c r="U26" s="5"/>
      <c r="V26" s="5"/>
      <c r="W26" s="5"/>
      <c r="X26" s="5"/>
      <c r="Y26" s="5"/>
      <c r="Z26" s="5"/>
      <c r="AA26" s="5"/>
      <c r="AB26" s="5"/>
      <c r="AC26" s="5"/>
      <c r="AD26" s="5"/>
      <c r="AE26" s="5"/>
      <c r="AF26" s="5"/>
      <c r="AG26" s="5"/>
      <c r="AH26" s="5"/>
      <c r="AI26" s="5"/>
      <c r="AJ26" s="5"/>
      <c r="AK26" s="5"/>
      <c r="AL26" s="5"/>
      <c r="AM26" s="5"/>
      <c r="AN26" s="5"/>
    </row>
    <row r="27" spans="2:40" x14ac:dyDescent="0.3">
      <c r="B27" s="5"/>
      <c r="C27" s="5"/>
      <c r="D27" s="5"/>
      <c r="E27" s="5"/>
      <c r="F27" s="5"/>
      <c r="G27" s="5"/>
      <c r="H27" s="5"/>
      <c r="I27" s="5"/>
      <c r="J27" s="5"/>
      <c r="K27" s="5"/>
      <c r="L27" s="5"/>
      <c r="M27" s="5"/>
      <c r="N27" s="5"/>
      <c r="O27" s="5"/>
      <c r="P27" s="5"/>
      <c r="Q27" s="5"/>
      <c r="R27" s="5"/>
      <c r="S27" s="5"/>
      <c r="T27" s="5"/>
      <c r="U27" s="5"/>
      <c r="V27" s="5"/>
      <c r="W27" s="5"/>
      <c r="X27" s="5"/>
      <c r="Y27" s="5"/>
      <c r="Z27" s="5"/>
      <c r="AA27" s="5"/>
      <c r="AB27" s="5"/>
      <c r="AC27" s="5"/>
      <c r="AD27" s="5"/>
      <c r="AE27" s="5"/>
      <c r="AF27" s="5"/>
      <c r="AG27" s="5"/>
      <c r="AH27" s="5"/>
      <c r="AI27" s="5"/>
      <c r="AJ27" s="5"/>
      <c r="AK27" s="5"/>
      <c r="AL27" s="5"/>
      <c r="AM27" s="5"/>
      <c r="AN27" s="5"/>
    </row>
    <row r="28" spans="2:40" x14ac:dyDescent="0.3">
      <c r="B28" s="5"/>
      <c r="C28" s="5"/>
      <c r="D28" s="5"/>
      <c r="E28" s="5"/>
      <c r="F28" s="5"/>
      <c r="G28" s="5"/>
      <c r="H28" s="5"/>
      <c r="I28" s="5"/>
      <c r="J28" s="5"/>
      <c r="K28" s="5"/>
      <c r="L28" s="5"/>
      <c r="M28" s="5"/>
      <c r="N28" s="5"/>
      <c r="O28" s="5"/>
      <c r="P28" s="5"/>
      <c r="Q28" s="5"/>
      <c r="R28" s="5"/>
      <c r="S28" s="5"/>
      <c r="T28" s="5"/>
      <c r="U28" s="5"/>
      <c r="V28" s="5"/>
      <c r="W28" s="5"/>
      <c r="X28" s="5"/>
      <c r="Y28" s="5"/>
      <c r="Z28" s="5"/>
      <c r="AA28" s="5"/>
      <c r="AB28" s="5"/>
      <c r="AC28" s="5"/>
      <c r="AD28" s="5"/>
      <c r="AE28" s="5"/>
      <c r="AF28" s="5"/>
      <c r="AG28" s="5"/>
      <c r="AH28" s="5"/>
      <c r="AI28" s="5"/>
      <c r="AJ28" s="5"/>
      <c r="AK28" s="5"/>
      <c r="AL28" s="5"/>
      <c r="AM28" s="5"/>
      <c r="AN28" s="5"/>
    </row>
    <row r="29" spans="2:40" x14ac:dyDescent="0.3">
      <c r="B29" s="5"/>
      <c r="C29" s="5"/>
      <c r="D29" s="5"/>
      <c r="E29" s="5"/>
      <c r="F29" s="5"/>
      <c r="G29" s="5"/>
      <c r="H29" s="5"/>
      <c r="I29" s="5"/>
      <c r="J29" s="5"/>
      <c r="K29" s="5"/>
      <c r="L29" s="5"/>
      <c r="M29" s="5"/>
      <c r="N29" s="5"/>
      <c r="O29" s="5"/>
      <c r="P29" s="5"/>
      <c r="Q29" s="5"/>
      <c r="R29" s="5"/>
      <c r="S29" s="5"/>
      <c r="T29" s="5"/>
      <c r="U29" s="5"/>
      <c r="V29" s="5"/>
      <c r="W29" s="5"/>
      <c r="X29" s="5"/>
      <c r="Y29" s="5"/>
      <c r="Z29" s="5"/>
      <c r="AA29" s="5"/>
      <c r="AB29" s="5"/>
      <c r="AC29" s="5"/>
      <c r="AD29" s="5"/>
      <c r="AE29" s="5"/>
      <c r="AF29" s="5"/>
      <c r="AG29" s="5"/>
      <c r="AH29" s="5"/>
      <c r="AI29" s="5"/>
      <c r="AJ29" s="5"/>
      <c r="AK29" s="5"/>
      <c r="AL29" s="5"/>
      <c r="AM29" s="5"/>
      <c r="AN29" s="5"/>
    </row>
    <row r="30" spans="2:40" x14ac:dyDescent="0.3">
      <c r="B30" s="5"/>
      <c r="C30" s="5"/>
      <c r="D30" s="5"/>
      <c r="E30" s="5"/>
      <c r="F30" s="5"/>
      <c r="G30" s="5"/>
      <c r="H30" s="5"/>
      <c r="I30" s="5"/>
      <c r="J30" s="5"/>
      <c r="K30" s="5"/>
      <c r="L30" s="5"/>
      <c r="M30" s="5"/>
      <c r="N30" s="5"/>
      <c r="O30" s="5"/>
      <c r="P30" s="5"/>
      <c r="Q30" s="5"/>
      <c r="R30" s="5"/>
      <c r="S30" s="5"/>
      <c r="T30" s="5"/>
      <c r="U30" s="5"/>
      <c r="V30" s="5"/>
      <c r="W30" s="5"/>
      <c r="X30" s="5"/>
      <c r="Y30" s="5"/>
      <c r="Z30" s="5"/>
      <c r="AA30" s="5"/>
      <c r="AB30" s="5"/>
      <c r="AC30" s="5"/>
      <c r="AD30" s="5"/>
      <c r="AE30" s="5"/>
      <c r="AF30" s="5"/>
      <c r="AG30" s="5"/>
      <c r="AH30" s="5"/>
      <c r="AI30" s="5"/>
      <c r="AJ30" s="5"/>
      <c r="AK30" s="5"/>
      <c r="AL30" s="5"/>
      <c r="AM30" s="5"/>
      <c r="AN30" s="5"/>
    </row>
    <row r="31" spans="2:40" x14ac:dyDescent="0.3">
      <c r="B31" s="5"/>
      <c r="C31" s="5"/>
      <c r="D31" s="5"/>
      <c r="E31" s="5"/>
      <c r="F31" s="5"/>
      <c r="G31" s="5"/>
      <c r="H31" s="5"/>
      <c r="I31" s="5"/>
      <c r="J31" s="5"/>
      <c r="K31" s="5"/>
      <c r="L31" s="5"/>
      <c r="M31" s="5"/>
      <c r="N31" s="5"/>
      <c r="O31" s="5"/>
      <c r="P31" s="5"/>
      <c r="Q31" s="5"/>
      <c r="R31" s="5"/>
      <c r="S31" s="5"/>
      <c r="T31" s="5"/>
      <c r="U31" s="5"/>
      <c r="V31" s="5"/>
      <c r="W31" s="5"/>
      <c r="X31" s="5"/>
      <c r="Y31" s="5"/>
      <c r="Z31" s="5"/>
      <c r="AA31" s="5"/>
      <c r="AB31" s="5"/>
      <c r="AC31" s="5"/>
      <c r="AD31" s="5"/>
      <c r="AE31" s="5"/>
      <c r="AF31" s="5"/>
      <c r="AG31" s="5"/>
      <c r="AH31" s="5"/>
      <c r="AI31" s="5"/>
      <c r="AJ31" s="5"/>
      <c r="AK31" s="5"/>
      <c r="AL31" s="5"/>
      <c r="AM31" s="5"/>
      <c r="AN31" s="5"/>
    </row>
    <row r="32" spans="2:40" x14ac:dyDescent="0.3">
      <c r="B32" s="5"/>
      <c r="C32" s="5"/>
      <c r="D32" s="5"/>
      <c r="E32" s="5"/>
      <c r="F32" s="5"/>
      <c r="G32" s="5"/>
      <c r="H32" s="5"/>
      <c r="I32" s="5"/>
      <c r="J32" s="5"/>
      <c r="K32" s="5"/>
      <c r="L32" s="5"/>
      <c r="M32" s="5"/>
      <c r="N32" s="5"/>
      <c r="O32" s="5"/>
      <c r="P32" s="5"/>
      <c r="Q32" s="5"/>
      <c r="R32" s="5"/>
      <c r="S32" s="5"/>
      <c r="T32" s="5"/>
      <c r="U32" s="5"/>
      <c r="V32" s="5"/>
      <c r="W32" s="5"/>
      <c r="X32" s="5"/>
      <c r="Y32" s="5"/>
      <c r="Z32" s="5"/>
      <c r="AA32" s="5"/>
      <c r="AB32" s="5"/>
      <c r="AC32" s="5"/>
      <c r="AD32" s="5"/>
      <c r="AE32" s="5"/>
      <c r="AF32" s="5"/>
      <c r="AG32" s="5"/>
      <c r="AH32" s="5"/>
      <c r="AI32" s="5"/>
      <c r="AJ32" s="5"/>
      <c r="AK32" s="5"/>
      <c r="AL32" s="5"/>
      <c r="AM32" s="5"/>
      <c r="AN32" s="5"/>
    </row>
    <row r="33" spans="2:40" x14ac:dyDescent="0.3">
      <c r="B33" s="5"/>
      <c r="C33" s="5"/>
      <c r="D33" s="5"/>
      <c r="E33" s="5"/>
      <c r="F33" s="5"/>
      <c r="G33" s="5"/>
      <c r="H33" s="5"/>
      <c r="I33" s="5"/>
      <c r="J33" s="5"/>
      <c r="K33" s="5"/>
      <c r="L33" s="5"/>
      <c r="M33" s="5"/>
      <c r="N33" s="5"/>
      <c r="O33" s="5"/>
      <c r="P33" s="5"/>
      <c r="Q33" s="5"/>
      <c r="R33" s="5"/>
      <c r="S33" s="5"/>
      <c r="T33" s="5"/>
      <c r="U33" s="5"/>
      <c r="V33" s="5"/>
      <c r="W33" s="5"/>
      <c r="X33" s="5"/>
      <c r="Y33" s="5"/>
      <c r="Z33" s="5"/>
      <c r="AA33" s="5"/>
      <c r="AB33" s="5"/>
      <c r="AC33" s="5"/>
      <c r="AD33" s="5"/>
      <c r="AE33" s="5"/>
      <c r="AF33" s="5"/>
      <c r="AG33" s="5"/>
      <c r="AH33" s="5"/>
      <c r="AI33" s="5"/>
      <c r="AJ33" s="5"/>
      <c r="AK33" s="5"/>
      <c r="AL33" s="5"/>
      <c r="AM33" s="5"/>
      <c r="AN33" s="5"/>
    </row>
    <row r="34" spans="2:40" x14ac:dyDescent="0.3">
      <c r="B34" s="5"/>
      <c r="C34" s="5"/>
      <c r="D34" s="5"/>
      <c r="E34" s="5"/>
      <c r="F34" s="5"/>
      <c r="G34" s="5"/>
      <c r="H34" s="5"/>
      <c r="I34" s="5"/>
      <c r="J34" s="5"/>
      <c r="K34" s="5"/>
      <c r="L34" s="5"/>
      <c r="M34" s="5"/>
      <c r="N34" s="5"/>
      <c r="O34" s="5"/>
      <c r="P34" s="5"/>
      <c r="Q34" s="5"/>
      <c r="R34" s="5"/>
      <c r="S34" s="5"/>
      <c r="T34" s="5"/>
      <c r="U34" s="5"/>
      <c r="V34" s="5"/>
      <c r="W34" s="5"/>
      <c r="X34" s="5"/>
      <c r="Y34" s="5"/>
      <c r="Z34" s="5"/>
      <c r="AA34" s="5"/>
      <c r="AB34" s="5"/>
      <c r="AC34" s="5"/>
      <c r="AD34" s="5"/>
      <c r="AE34" s="5"/>
      <c r="AF34" s="5"/>
      <c r="AG34" s="5"/>
      <c r="AH34" s="5"/>
      <c r="AI34" s="5"/>
      <c r="AJ34" s="5"/>
      <c r="AK34" s="5"/>
      <c r="AL34" s="5"/>
      <c r="AM34" s="5"/>
      <c r="AN34" s="5"/>
    </row>
    <row r="35" spans="2:40" x14ac:dyDescent="0.3">
      <c r="B35" s="5"/>
      <c r="C35" s="5"/>
      <c r="D35" s="5"/>
      <c r="E35" s="5"/>
      <c r="F35" s="5"/>
      <c r="G35" s="5"/>
      <c r="H35" s="5"/>
      <c r="I35" s="5"/>
      <c r="J35" s="5"/>
      <c r="K35" s="5"/>
      <c r="L35" s="5"/>
      <c r="M35" s="5"/>
      <c r="N35" s="5"/>
      <c r="O35" s="5"/>
      <c r="P35" s="5"/>
      <c r="Q35" s="5"/>
      <c r="R35" s="5"/>
      <c r="S35" s="5"/>
      <c r="T35" s="5"/>
      <c r="U35" s="5"/>
      <c r="V35" s="5"/>
      <c r="W35" s="5"/>
      <c r="X35" s="5"/>
      <c r="Y35" s="5"/>
      <c r="Z35" s="5"/>
      <c r="AA35" s="5"/>
      <c r="AB35" s="5"/>
      <c r="AC35" s="5"/>
      <c r="AD35" s="5"/>
      <c r="AE35" s="5"/>
      <c r="AF35" s="5"/>
      <c r="AG35" s="5"/>
      <c r="AH35" s="5"/>
      <c r="AI35" s="5"/>
      <c r="AJ35" s="5"/>
      <c r="AK35" s="5"/>
      <c r="AL35" s="5"/>
      <c r="AM35" s="5"/>
      <c r="AN35" s="5"/>
    </row>
    <row r="36" spans="2:40" x14ac:dyDescent="0.3">
      <c r="B36" s="5"/>
      <c r="C36" s="5"/>
      <c r="D36" s="5"/>
      <c r="E36" s="5"/>
      <c r="F36" s="5"/>
      <c r="G36" s="5"/>
      <c r="H36" s="5"/>
      <c r="I36" s="5"/>
      <c r="J36" s="5"/>
      <c r="K36" s="5"/>
      <c r="L36" s="5"/>
      <c r="M36" s="5"/>
      <c r="N36" s="5"/>
      <c r="O36" s="5"/>
      <c r="P36" s="5"/>
      <c r="Q36" s="5"/>
      <c r="R36" s="5"/>
      <c r="S36" s="5"/>
      <c r="T36" s="5"/>
      <c r="U36" s="5"/>
      <c r="V36" s="5"/>
      <c r="W36" s="5"/>
      <c r="X36" s="5"/>
      <c r="Y36" s="5"/>
      <c r="Z36" s="5"/>
      <c r="AA36" s="5"/>
      <c r="AB36" s="5"/>
      <c r="AC36" s="5"/>
      <c r="AD36" s="5"/>
      <c r="AE36" s="5"/>
      <c r="AF36" s="5"/>
      <c r="AG36" s="5"/>
      <c r="AH36" s="5"/>
      <c r="AI36" s="5"/>
      <c r="AJ36" s="5"/>
      <c r="AK36" s="5"/>
      <c r="AL36" s="5"/>
      <c r="AM36" s="5"/>
      <c r="AN36" s="5"/>
    </row>
    <row r="37" spans="2:40" x14ac:dyDescent="0.3">
      <c r="B37" s="5"/>
      <c r="C37" s="5"/>
      <c r="D37" s="5"/>
      <c r="E37" s="5"/>
      <c r="F37" s="5"/>
      <c r="G37" s="5"/>
      <c r="H37" s="5"/>
      <c r="I37" s="5"/>
      <c r="J37" s="5"/>
      <c r="K37" s="5"/>
      <c r="L37" s="5"/>
      <c r="M37" s="5"/>
      <c r="N37" s="5"/>
      <c r="O37" s="5"/>
      <c r="P37" s="5"/>
      <c r="Q37" s="5"/>
      <c r="R37" s="5"/>
      <c r="S37" s="5"/>
      <c r="T37" s="5"/>
      <c r="U37" s="5"/>
      <c r="V37" s="5"/>
      <c r="W37" s="5"/>
      <c r="X37" s="5"/>
      <c r="Y37" s="5"/>
      <c r="Z37" s="5"/>
      <c r="AA37" s="5"/>
      <c r="AB37" s="5"/>
      <c r="AC37" s="5"/>
      <c r="AD37" s="5"/>
      <c r="AE37" s="5"/>
      <c r="AF37" s="5"/>
      <c r="AG37" s="5"/>
      <c r="AH37" s="5"/>
      <c r="AI37" s="5"/>
      <c r="AJ37" s="5"/>
      <c r="AK37" s="5"/>
      <c r="AL37" s="5"/>
      <c r="AM37" s="5"/>
      <c r="AN37" s="5"/>
    </row>
    <row r="38" spans="2:40" x14ac:dyDescent="0.3">
      <c r="B38" s="5"/>
      <c r="C38" s="5"/>
      <c r="D38" s="5"/>
      <c r="E38" s="5"/>
      <c r="F38" s="5"/>
      <c r="G38" s="5"/>
      <c r="H38" s="5"/>
      <c r="I38" s="5"/>
      <c r="J38" s="5"/>
      <c r="K38" s="5"/>
      <c r="L38" s="5"/>
      <c r="M38" s="5"/>
      <c r="N38" s="5"/>
      <c r="O38" s="5"/>
      <c r="P38" s="5"/>
      <c r="Q38" s="5"/>
      <c r="R38" s="5"/>
      <c r="S38" s="5"/>
      <c r="T38" s="5"/>
      <c r="U38" s="5"/>
      <c r="V38" s="5"/>
      <c r="W38" s="5"/>
      <c r="X38" s="5"/>
      <c r="Y38" s="5"/>
      <c r="Z38" s="5"/>
      <c r="AA38" s="5"/>
      <c r="AB38" s="5"/>
      <c r="AC38" s="5"/>
      <c r="AD38" s="5"/>
      <c r="AE38" s="5"/>
      <c r="AF38" s="5"/>
      <c r="AG38" s="5"/>
      <c r="AH38" s="5"/>
      <c r="AI38" s="5"/>
      <c r="AJ38" s="5"/>
      <c r="AK38" s="5"/>
      <c r="AL38" s="5"/>
      <c r="AM38" s="5"/>
      <c r="AN38" s="5"/>
    </row>
    <row r="39" spans="2:40" x14ac:dyDescent="0.3">
      <c r="B39" s="5"/>
      <c r="C39" s="5"/>
      <c r="D39" s="5"/>
      <c r="E39" s="5"/>
      <c r="F39" s="5"/>
      <c r="G39" s="5"/>
      <c r="H39" s="5"/>
      <c r="I39" s="5"/>
      <c r="J39" s="5"/>
      <c r="K39" s="5"/>
      <c r="L39" s="5"/>
      <c r="M39" s="5"/>
      <c r="N39" s="5"/>
      <c r="O39" s="5"/>
      <c r="P39" s="5"/>
      <c r="Q39" s="5"/>
      <c r="R39" s="5"/>
      <c r="S39" s="5"/>
      <c r="T39" s="5"/>
      <c r="U39" s="5"/>
      <c r="V39" s="5"/>
      <c r="W39" s="5"/>
      <c r="X39" s="5"/>
      <c r="Y39" s="5"/>
      <c r="Z39" s="5"/>
      <c r="AA39" s="5"/>
      <c r="AB39" s="5"/>
      <c r="AC39" s="5"/>
      <c r="AD39" s="5"/>
      <c r="AE39" s="5"/>
      <c r="AF39" s="5"/>
      <c r="AG39" s="5"/>
      <c r="AH39" s="5"/>
      <c r="AI39" s="5"/>
      <c r="AJ39" s="5"/>
      <c r="AK39" s="5"/>
      <c r="AL39" s="5"/>
      <c r="AM39" s="5"/>
      <c r="AN39" s="5"/>
    </row>
    <row r="40" spans="2:40" x14ac:dyDescent="0.3">
      <c r="B40" s="5"/>
      <c r="C40" s="5"/>
      <c r="D40" s="5"/>
      <c r="E40" s="5"/>
      <c r="F40" s="5"/>
      <c r="G40" s="5"/>
      <c r="H40" s="5"/>
      <c r="I40" s="5"/>
      <c r="J40" s="5"/>
      <c r="K40" s="5"/>
      <c r="L40" s="5"/>
      <c r="M40" s="5"/>
      <c r="N40" s="5"/>
      <c r="O40" s="5"/>
      <c r="P40" s="5"/>
      <c r="Q40" s="5"/>
      <c r="R40" s="5"/>
      <c r="S40" s="5"/>
      <c r="T40" s="5"/>
      <c r="U40" s="5"/>
      <c r="V40" s="5"/>
      <c r="W40" s="5"/>
      <c r="X40" s="5"/>
      <c r="Y40" s="5"/>
      <c r="Z40" s="5"/>
      <c r="AA40" s="5"/>
      <c r="AB40" s="5"/>
      <c r="AC40" s="5"/>
      <c r="AD40" s="5"/>
      <c r="AE40" s="5"/>
      <c r="AF40" s="5"/>
      <c r="AG40" s="5"/>
      <c r="AH40" s="5"/>
      <c r="AI40" s="5"/>
      <c r="AJ40" s="5"/>
      <c r="AK40" s="5"/>
      <c r="AL40" s="5"/>
      <c r="AM40" s="5"/>
      <c r="AN40" s="5"/>
    </row>
    <row r="41" spans="2:40" x14ac:dyDescent="0.3">
      <c r="B41" s="5"/>
      <c r="C41" s="5"/>
      <c r="D41" s="5"/>
      <c r="E41" s="5"/>
      <c r="F41" s="5"/>
      <c r="G41" s="5"/>
      <c r="H41" s="5"/>
      <c r="I41" s="5"/>
      <c r="J41" s="5"/>
      <c r="K41" s="5"/>
      <c r="L41" s="5"/>
      <c r="M41" s="5"/>
      <c r="N41" s="5"/>
      <c r="O41" s="5"/>
      <c r="P41" s="5"/>
      <c r="Q41" s="5"/>
      <c r="R41" s="5"/>
      <c r="S41" s="5"/>
      <c r="T41" s="5"/>
      <c r="U41" s="5"/>
      <c r="V41" s="5"/>
      <c r="W41" s="5"/>
      <c r="X41" s="5"/>
      <c r="Y41" s="5"/>
      <c r="Z41" s="5"/>
      <c r="AA41" s="5"/>
      <c r="AB41" s="5"/>
      <c r="AC41" s="5"/>
      <c r="AD41" s="5"/>
      <c r="AE41" s="5"/>
      <c r="AF41" s="5"/>
      <c r="AG41" s="5"/>
      <c r="AH41" s="5"/>
      <c r="AI41" s="5"/>
      <c r="AJ41" s="5"/>
      <c r="AK41" s="5"/>
      <c r="AL41" s="5"/>
      <c r="AM41" s="5"/>
      <c r="AN41" s="5"/>
    </row>
    <row r="42" spans="2:40" x14ac:dyDescent="0.3">
      <c r="B42" s="5"/>
      <c r="C42" s="5"/>
      <c r="D42" s="5"/>
      <c r="E42" s="5"/>
      <c r="F42" s="5"/>
      <c r="G42" s="5"/>
      <c r="H42" s="5"/>
      <c r="I42" s="5"/>
      <c r="J42" s="5"/>
      <c r="K42" s="5"/>
      <c r="L42" s="5"/>
      <c r="M42" s="5"/>
      <c r="N42" s="5"/>
      <c r="O42" s="5"/>
      <c r="P42" s="5"/>
      <c r="Q42" s="5"/>
      <c r="R42" s="5"/>
      <c r="S42" s="5"/>
      <c r="T42" s="5"/>
      <c r="U42" s="5"/>
      <c r="V42" s="5"/>
      <c r="W42" s="5"/>
      <c r="X42" s="5"/>
      <c r="Y42" s="5"/>
      <c r="Z42" s="5"/>
      <c r="AA42" s="5"/>
      <c r="AB42" s="5"/>
      <c r="AC42" s="5"/>
      <c r="AD42" s="5"/>
      <c r="AE42" s="5"/>
      <c r="AF42" s="5"/>
      <c r="AG42" s="5"/>
      <c r="AH42" s="5"/>
      <c r="AI42" s="5"/>
      <c r="AJ42" s="5"/>
      <c r="AK42" s="5"/>
      <c r="AL42" s="5"/>
      <c r="AM42" s="5"/>
      <c r="AN42" s="5"/>
    </row>
    <row r="43" spans="2:40" x14ac:dyDescent="0.3">
      <c r="B43" s="5"/>
      <c r="C43" s="5"/>
      <c r="D43" s="5"/>
      <c r="E43" s="5"/>
      <c r="F43" s="5"/>
      <c r="G43" s="5"/>
      <c r="H43" s="5"/>
      <c r="I43" s="5"/>
      <c r="J43" s="5"/>
      <c r="K43" s="5"/>
      <c r="L43" s="5"/>
      <c r="M43" s="5"/>
      <c r="N43" s="5"/>
      <c r="O43" s="5"/>
      <c r="P43" s="5"/>
      <c r="Q43" s="5"/>
      <c r="R43" s="5"/>
      <c r="S43" s="5"/>
      <c r="T43" s="5"/>
      <c r="U43" s="5"/>
      <c r="V43" s="5"/>
      <c r="W43" s="5"/>
      <c r="X43" s="5"/>
      <c r="Y43" s="5"/>
      <c r="Z43" s="5"/>
      <c r="AA43" s="5"/>
      <c r="AB43" s="5"/>
      <c r="AC43" s="5"/>
      <c r="AD43" s="5"/>
      <c r="AE43" s="5"/>
      <c r="AF43" s="5"/>
      <c r="AG43" s="5"/>
      <c r="AH43" s="5"/>
      <c r="AI43" s="5"/>
      <c r="AJ43" s="5"/>
      <c r="AK43" s="5"/>
      <c r="AL43" s="5"/>
      <c r="AM43" s="5"/>
      <c r="AN43" s="5"/>
    </row>
    <row r="44" spans="2:40" x14ac:dyDescent="0.3">
      <c r="B44" s="5"/>
      <c r="C44" s="5"/>
      <c r="D44" s="5"/>
      <c r="E44" s="5"/>
      <c r="F44" s="5"/>
      <c r="G44" s="5"/>
      <c r="H44" s="5"/>
      <c r="I44" s="5"/>
      <c r="J44" s="5"/>
      <c r="K44" s="5"/>
      <c r="L44" s="5"/>
      <c r="M44" s="5"/>
      <c r="N44" s="5"/>
      <c r="O44" s="5"/>
      <c r="P44" s="5"/>
      <c r="Q44" s="5"/>
      <c r="R44" s="5"/>
      <c r="S44" s="5"/>
      <c r="T44" s="5"/>
      <c r="U44" s="5"/>
      <c r="V44" s="5"/>
      <c r="W44" s="5"/>
      <c r="X44" s="5"/>
      <c r="Y44" s="5"/>
      <c r="Z44" s="5"/>
      <c r="AA44" s="5"/>
      <c r="AB44" s="5"/>
      <c r="AC44" s="5"/>
      <c r="AD44" s="5"/>
      <c r="AE44" s="5"/>
      <c r="AF44" s="5"/>
      <c r="AG44" s="5"/>
      <c r="AH44" s="5"/>
      <c r="AI44" s="5"/>
      <c r="AJ44" s="5"/>
      <c r="AK44" s="5"/>
      <c r="AL44" s="5"/>
      <c r="AM44" s="5"/>
      <c r="AN44" s="5"/>
    </row>
    <row r="45" spans="2:40" x14ac:dyDescent="0.3">
      <c r="B45" s="5"/>
      <c r="C45" s="5"/>
      <c r="D45" s="5"/>
      <c r="E45" s="5"/>
      <c r="F45" s="5"/>
      <c r="G45" s="5"/>
      <c r="H45" s="5"/>
      <c r="I45" s="5"/>
      <c r="J45" s="5"/>
      <c r="K45" s="5"/>
      <c r="L45" s="5"/>
      <c r="M45" s="5"/>
      <c r="N45" s="5"/>
      <c r="O45" s="5"/>
      <c r="P45" s="5"/>
      <c r="Q45" s="5"/>
      <c r="R45" s="5"/>
      <c r="S45" s="5"/>
      <c r="T45" s="5"/>
      <c r="U45" s="5"/>
      <c r="V45" s="5"/>
      <c r="W45" s="5"/>
      <c r="X45" s="5"/>
      <c r="Y45" s="5"/>
      <c r="Z45" s="5"/>
      <c r="AA45" s="5"/>
      <c r="AB45" s="5"/>
      <c r="AC45" s="5"/>
      <c r="AD45" s="5"/>
      <c r="AE45" s="5"/>
      <c r="AF45" s="5"/>
      <c r="AG45" s="5"/>
      <c r="AH45" s="5"/>
      <c r="AI45" s="5"/>
      <c r="AJ45" s="5"/>
      <c r="AK45" s="5"/>
      <c r="AL45" s="5"/>
      <c r="AM45" s="5"/>
      <c r="AN45" s="5"/>
    </row>
    <row r="46" spans="2:40" x14ac:dyDescent="0.3">
      <c r="B46" s="5"/>
      <c r="C46" s="5"/>
      <c r="D46" s="5"/>
      <c r="E46" s="5"/>
      <c r="F46" s="5"/>
      <c r="G46" s="5"/>
      <c r="H46" s="5"/>
      <c r="I46" s="5"/>
      <c r="J46" s="5"/>
      <c r="K46" s="5"/>
      <c r="L46" s="5"/>
      <c r="M46" s="5"/>
      <c r="N46" s="5"/>
      <c r="O46" s="5"/>
      <c r="P46" s="5"/>
      <c r="Q46" s="5"/>
      <c r="R46" s="5"/>
      <c r="S46" s="5"/>
      <c r="T46" s="5"/>
      <c r="U46" s="5"/>
      <c r="V46" s="5"/>
      <c r="W46" s="5"/>
      <c r="X46" s="5"/>
      <c r="Y46" s="5"/>
      <c r="Z46" s="5"/>
      <c r="AA46" s="5"/>
      <c r="AB46" s="5"/>
      <c r="AC46" s="5"/>
      <c r="AD46" s="5"/>
      <c r="AE46" s="5"/>
      <c r="AF46" s="5"/>
      <c r="AG46" s="5"/>
      <c r="AH46" s="5"/>
      <c r="AI46" s="5"/>
      <c r="AJ46" s="5"/>
      <c r="AK46" s="5"/>
      <c r="AL46" s="5"/>
      <c r="AM46" s="5"/>
      <c r="AN46" s="5"/>
    </row>
    <row r="47" spans="2:40" x14ac:dyDescent="0.3">
      <c r="B47" s="5"/>
      <c r="C47" s="5"/>
      <c r="D47" s="5"/>
      <c r="E47" s="5"/>
      <c r="F47" s="5"/>
      <c r="G47" s="5"/>
      <c r="H47" s="5"/>
      <c r="I47" s="5"/>
      <c r="J47" s="5"/>
      <c r="K47" s="5"/>
      <c r="L47" s="5"/>
      <c r="M47" s="5"/>
      <c r="N47" s="5"/>
      <c r="O47" s="5"/>
      <c r="P47" s="5"/>
      <c r="Q47" s="5"/>
      <c r="R47" s="5"/>
      <c r="S47" s="5"/>
      <c r="T47" s="5"/>
      <c r="U47" s="5"/>
      <c r="V47" s="5"/>
      <c r="W47" s="5"/>
      <c r="X47" s="5"/>
      <c r="Y47" s="5"/>
      <c r="Z47" s="5"/>
      <c r="AA47" s="5"/>
      <c r="AB47" s="5"/>
      <c r="AC47" s="5"/>
      <c r="AD47" s="5"/>
      <c r="AE47" s="5"/>
      <c r="AF47" s="5"/>
      <c r="AG47" s="5"/>
      <c r="AH47" s="5"/>
      <c r="AI47" s="5"/>
      <c r="AJ47" s="5"/>
      <c r="AK47" s="5"/>
      <c r="AL47" s="5"/>
      <c r="AM47" s="5"/>
      <c r="AN47" s="5"/>
    </row>
    <row r="48" spans="2:40" x14ac:dyDescent="0.3">
      <c r="B48" s="5"/>
      <c r="C48" s="5"/>
      <c r="D48" s="5"/>
      <c r="E48" s="5"/>
      <c r="F48" s="5"/>
      <c r="G48" s="5"/>
      <c r="H48" s="5"/>
      <c r="I48" s="5"/>
      <c r="J48" s="5"/>
      <c r="K48" s="5"/>
      <c r="L48" s="5"/>
      <c r="M48" s="5"/>
      <c r="N48" s="5"/>
      <c r="O48" s="5"/>
      <c r="P48" s="5"/>
      <c r="Q48" s="5"/>
      <c r="R48" s="5"/>
      <c r="S48" s="5"/>
      <c r="T48" s="5"/>
      <c r="U48" s="5"/>
      <c r="V48" s="5"/>
      <c r="W48" s="5"/>
      <c r="X48" s="5"/>
      <c r="Y48" s="5"/>
      <c r="Z48" s="5"/>
      <c r="AA48" s="5"/>
      <c r="AB48" s="5"/>
      <c r="AC48" s="5"/>
      <c r="AD48" s="5"/>
      <c r="AE48" s="5"/>
      <c r="AF48" s="5"/>
      <c r="AG48" s="5"/>
      <c r="AH48" s="5"/>
      <c r="AI48" s="5"/>
      <c r="AJ48" s="5"/>
      <c r="AK48" s="5"/>
      <c r="AL48" s="5"/>
      <c r="AM48" s="5"/>
      <c r="AN48" s="5"/>
    </row>
    <row r="49" spans="2:40" x14ac:dyDescent="0.3">
      <c r="B49" s="5"/>
      <c r="C49" s="5"/>
      <c r="D49" s="5"/>
      <c r="E49" s="5"/>
      <c r="F49" s="5"/>
      <c r="G49" s="5"/>
      <c r="H49" s="5"/>
      <c r="I49" s="5"/>
      <c r="J49" s="5"/>
      <c r="K49" s="5"/>
      <c r="L49" s="5"/>
      <c r="M49" s="5"/>
      <c r="N49" s="5"/>
      <c r="O49" s="5"/>
      <c r="P49" s="5"/>
      <c r="Q49" s="5"/>
      <c r="R49" s="5"/>
      <c r="S49" s="5"/>
      <c r="T49" s="5"/>
      <c r="U49" s="5"/>
      <c r="V49" s="5"/>
      <c r="W49" s="5"/>
      <c r="X49" s="5"/>
      <c r="Y49" s="5"/>
      <c r="Z49" s="5"/>
      <c r="AA49" s="5"/>
      <c r="AB49" s="5"/>
      <c r="AC49" s="5"/>
      <c r="AD49" s="5"/>
      <c r="AE49" s="5"/>
      <c r="AF49" s="5"/>
      <c r="AG49" s="5"/>
      <c r="AH49" s="5"/>
      <c r="AI49" s="5"/>
      <c r="AJ49" s="5"/>
      <c r="AK49" s="5"/>
      <c r="AL49" s="5"/>
      <c r="AM49" s="5"/>
      <c r="AN49" s="5"/>
    </row>
    <row r="50" spans="2:40" x14ac:dyDescent="0.3">
      <c r="B50" s="5"/>
      <c r="C50" s="5"/>
      <c r="D50" s="5"/>
      <c r="E50" s="5"/>
      <c r="F50" s="5"/>
      <c r="G50" s="5"/>
      <c r="H50" s="5"/>
      <c r="I50" s="5"/>
      <c r="J50" s="5"/>
      <c r="K50" s="5"/>
      <c r="L50" s="5"/>
      <c r="M50" s="5"/>
      <c r="N50" s="5"/>
      <c r="O50" s="5"/>
      <c r="P50" s="5"/>
      <c r="Q50" s="5"/>
      <c r="R50" s="5"/>
      <c r="S50" s="5"/>
      <c r="T50" s="5"/>
      <c r="U50" s="5"/>
      <c r="V50" s="5"/>
      <c r="W50" s="5"/>
      <c r="X50" s="5"/>
      <c r="Y50" s="5"/>
      <c r="Z50" s="5"/>
      <c r="AA50" s="5"/>
      <c r="AB50" s="5"/>
      <c r="AC50" s="5"/>
      <c r="AD50" s="5"/>
      <c r="AE50" s="5"/>
      <c r="AF50" s="5"/>
      <c r="AG50" s="5"/>
      <c r="AH50" s="5"/>
      <c r="AI50" s="5"/>
      <c r="AJ50" s="5"/>
      <c r="AK50" s="5"/>
      <c r="AL50" s="5"/>
      <c r="AM50" s="5"/>
      <c r="AN50" s="5"/>
    </row>
    <row r="51" spans="2:40" x14ac:dyDescent="0.3">
      <c r="B51" s="5"/>
      <c r="C51" s="5"/>
      <c r="D51" s="5"/>
      <c r="E51" s="5"/>
      <c r="F51" s="5"/>
      <c r="G51" s="5"/>
      <c r="H51" s="5"/>
      <c r="I51" s="5"/>
      <c r="J51" s="5"/>
      <c r="K51" s="5"/>
      <c r="L51" s="5"/>
      <c r="M51" s="5"/>
      <c r="N51" s="5"/>
      <c r="O51" s="5"/>
      <c r="P51" s="5"/>
      <c r="Q51" s="5"/>
      <c r="R51" s="5"/>
      <c r="S51" s="5"/>
      <c r="T51" s="5"/>
      <c r="U51" s="5"/>
      <c r="V51" s="5"/>
      <c r="W51" s="5"/>
      <c r="X51" s="5"/>
      <c r="Y51" s="5"/>
      <c r="Z51" s="5"/>
      <c r="AA51" s="5"/>
      <c r="AB51" s="5"/>
      <c r="AC51" s="5"/>
      <c r="AD51" s="5"/>
      <c r="AE51" s="5"/>
      <c r="AF51" s="5"/>
      <c r="AG51" s="5"/>
      <c r="AH51" s="5"/>
      <c r="AI51" s="5"/>
      <c r="AJ51" s="5"/>
      <c r="AK51" s="5"/>
      <c r="AL51" s="5"/>
      <c r="AM51" s="5"/>
      <c r="AN51" s="5"/>
    </row>
    <row r="52" spans="2:40" x14ac:dyDescent="0.3">
      <c r="B52" s="5"/>
      <c r="C52" s="5"/>
      <c r="D52" s="5"/>
      <c r="E52" s="5"/>
      <c r="F52" s="5"/>
      <c r="G52" s="5"/>
      <c r="H52" s="5"/>
      <c r="I52" s="5"/>
      <c r="J52" s="5"/>
      <c r="K52" s="5"/>
      <c r="L52" s="5"/>
      <c r="M52" s="5"/>
      <c r="N52" s="5"/>
      <c r="O52" s="5"/>
      <c r="P52" s="5"/>
      <c r="Q52" s="5"/>
      <c r="R52" s="5"/>
      <c r="S52" s="5"/>
      <c r="T52" s="5"/>
      <c r="U52" s="5"/>
      <c r="V52" s="5"/>
      <c r="W52" s="5"/>
      <c r="X52" s="5"/>
      <c r="Y52" s="5"/>
      <c r="Z52" s="5"/>
      <c r="AA52" s="5"/>
      <c r="AB52" s="5"/>
      <c r="AC52" s="5"/>
      <c r="AD52" s="5"/>
      <c r="AE52" s="5"/>
      <c r="AF52" s="5"/>
      <c r="AG52" s="5"/>
      <c r="AH52" s="5"/>
      <c r="AI52" s="5"/>
      <c r="AJ52" s="5"/>
      <c r="AK52" s="5"/>
      <c r="AL52" s="5"/>
      <c r="AM52" s="5"/>
      <c r="AN52" s="5"/>
    </row>
    <row r="53" spans="2:40" x14ac:dyDescent="0.3">
      <c r="B53" s="5"/>
      <c r="C53" s="5"/>
      <c r="D53" s="5"/>
      <c r="E53" s="5"/>
      <c r="F53" s="5"/>
      <c r="G53" s="5"/>
      <c r="H53" s="5"/>
      <c r="I53" s="5"/>
      <c r="J53" s="5"/>
      <c r="K53" s="5"/>
      <c r="L53" s="5"/>
      <c r="M53" s="5"/>
      <c r="N53" s="5"/>
      <c r="O53" s="5"/>
      <c r="P53" s="5"/>
      <c r="Q53" s="5"/>
      <c r="R53" s="5"/>
      <c r="S53" s="5"/>
      <c r="T53" s="5"/>
      <c r="U53" s="5"/>
      <c r="V53" s="5"/>
      <c r="W53" s="5"/>
      <c r="X53" s="5"/>
      <c r="Y53" s="5"/>
      <c r="Z53" s="5"/>
      <c r="AA53" s="5"/>
      <c r="AB53" s="5"/>
      <c r="AC53" s="5"/>
      <c r="AD53" s="5"/>
      <c r="AE53" s="5"/>
      <c r="AF53" s="5"/>
      <c r="AG53" s="5"/>
      <c r="AH53" s="5"/>
      <c r="AI53" s="5"/>
      <c r="AJ53" s="5"/>
      <c r="AK53" s="5"/>
      <c r="AL53" s="5"/>
      <c r="AM53" s="5"/>
      <c r="AN53" s="5"/>
    </row>
    <row r="54" spans="2:40" x14ac:dyDescent="0.3">
      <c r="B54" s="5"/>
      <c r="C54" s="5"/>
      <c r="D54" s="5"/>
      <c r="E54" s="5"/>
      <c r="F54" s="5"/>
      <c r="G54" s="5"/>
      <c r="H54" s="5"/>
      <c r="I54" s="5"/>
      <c r="J54" s="5"/>
      <c r="K54" s="5"/>
      <c r="L54" s="5"/>
      <c r="M54" s="5"/>
      <c r="N54" s="5"/>
      <c r="O54" s="5"/>
      <c r="P54" s="5"/>
      <c r="Q54" s="5"/>
      <c r="R54" s="5"/>
      <c r="S54" s="5"/>
      <c r="T54" s="5"/>
      <c r="U54" s="5"/>
      <c r="V54" s="5"/>
      <c r="W54" s="5"/>
      <c r="X54" s="5"/>
      <c r="Y54" s="5"/>
      <c r="Z54" s="5"/>
      <c r="AA54" s="5"/>
      <c r="AB54" s="5"/>
      <c r="AC54" s="5"/>
      <c r="AD54" s="5"/>
      <c r="AE54" s="5"/>
      <c r="AF54" s="5"/>
      <c r="AG54" s="5"/>
      <c r="AH54" s="5"/>
      <c r="AI54" s="5"/>
      <c r="AJ54" s="5"/>
      <c r="AK54" s="5"/>
      <c r="AL54" s="5"/>
      <c r="AM54" s="5"/>
      <c r="AN54" s="5"/>
    </row>
    <row r="55" spans="2:40" x14ac:dyDescent="0.3">
      <c r="B55" s="5"/>
      <c r="C55" s="5"/>
      <c r="D55" s="5"/>
      <c r="E55" s="5"/>
      <c r="F55" s="5"/>
      <c r="G55" s="5"/>
      <c r="H55" s="5"/>
      <c r="I55" s="5"/>
      <c r="J55" s="5"/>
      <c r="K55" s="5"/>
      <c r="L55" s="5"/>
      <c r="M55" s="5"/>
      <c r="N55" s="5"/>
      <c r="O55" s="5"/>
      <c r="P55" s="5"/>
      <c r="Q55" s="5"/>
      <c r="R55" s="5"/>
      <c r="S55" s="5"/>
      <c r="T55" s="5"/>
      <c r="U55" s="5"/>
      <c r="V55" s="5"/>
      <c r="W55" s="5"/>
      <c r="X55" s="5"/>
      <c r="Y55" s="5"/>
      <c r="Z55" s="5"/>
      <c r="AA55" s="5"/>
      <c r="AB55" s="5"/>
      <c r="AC55" s="5"/>
      <c r="AD55" s="5"/>
      <c r="AE55" s="5"/>
      <c r="AF55" s="5"/>
      <c r="AG55" s="5"/>
      <c r="AH55" s="5"/>
      <c r="AI55" s="5"/>
      <c r="AJ55" s="5"/>
      <c r="AK55" s="5"/>
      <c r="AL55" s="5"/>
      <c r="AM55" s="5"/>
      <c r="AN55" s="5"/>
    </row>
    <row r="56" spans="2:40" x14ac:dyDescent="0.3">
      <c r="B56" s="5"/>
      <c r="C56" s="5"/>
      <c r="D56" s="5"/>
      <c r="E56" s="5"/>
      <c r="F56" s="5"/>
      <c r="G56" s="5"/>
      <c r="H56" s="5"/>
      <c r="I56" s="5"/>
      <c r="J56" s="5"/>
      <c r="K56" s="5"/>
      <c r="L56" s="5"/>
      <c r="M56" s="5"/>
      <c r="N56" s="5"/>
      <c r="O56" s="5"/>
      <c r="P56" s="5"/>
      <c r="Q56" s="5"/>
      <c r="R56" s="5"/>
      <c r="S56" s="5"/>
      <c r="T56" s="5"/>
      <c r="U56" s="5"/>
      <c r="V56" s="5"/>
      <c r="W56" s="5"/>
      <c r="X56" s="5"/>
      <c r="Y56" s="5"/>
      <c r="Z56" s="5"/>
      <c r="AA56" s="5"/>
      <c r="AB56" s="5"/>
      <c r="AC56" s="5"/>
      <c r="AD56" s="5"/>
      <c r="AE56" s="5"/>
      <c r="AF56" s="5"/>
      <c r="AG56" s="5"/>
      <c r="AH56" s="5"/>
      <c r="AI56" s="5"/>
      <c r="AJ56" s="5"/>
      <c r="AK56" s="5"/>
      <c r="AL56" s="5"/>
      <c r="AM56" s="5"/>
      <c r="AN56" s="5"/>
    </row>
    <row r="57" spans="2:40" x14ac:dyDescent="0.3">
      <c r="B57" s="5"/>
      <c r="C57" s="5"/>
      <c r="D57" s="5"/>
      <c r="E57" s="5"/>
      <c r="F57" s="5"/>
      <c r="G57" s="5"/>
      <c r="H57" s="5"/>
      <c r="I57" s="5"/>
      <c r="J57" s="5"/>
      <c r="K57" s="5"/>
      <c r="L57" s="5"/>
      <c r="M57" s="5"/>
      <c r="N57" s="5"/>
      <c r="O57" s="5"/>
      <c r="P57" s="5"/>
      <c r="Q57" s="5"/>
      <c r="R57" s="5"/>
      <c r="S57" s="5"/>
      <c r="T57" s="5"/>
      <c r="U57" s="5"/>
      <c r="V57" s="5"/>
      <c r="W57" s="5"/>
      <c r="X57" s="5"/>
      <c r="Y57" s="5"/>
      <c r="Z57" s="5"/>
      <c r="AA57" s="5"/>
      <c r="AB57" s="5"/>
      <c r="AC57" s="5"/>
      <c r="AD57" s="5"/>
      <c r="AE57" s="5"/>
      <c r="AF57" s="5"/>
      <c r="AG57" s="5"/>
      <c r="AH57" s="5"/>
      <c r="AI57" s="5"/>
      <c r="AJ57" s="5"/>
      <c r="AK57" s="5"/>
      <c r="AL57" s="5"/>
      <c r="AM57" s="5"/>
      <c r="AN57" s="5"/>
    </row>
    <row r="58" spans="2:40" x14ac:dyDescent="0.3">
      <c r="B58" s="5"/>
      <c r="C58" s="5"/>
      <c r="D58" s="5"/>
      <c r="E58" s="5"/>
      <c r="F58" s="5"/>
      <c r="G58" s="5"/>
      <c r="H58" s="5"/>
      <c r="I58" s="5"/>
      <c r="J58" s="5"/>
      <c r="K58" s="5"/>
      <c r="L58" s="5"/>
      <c r="M58" s="5"/>
      <c r="N58" s="5"/>
      <c r="O58" s="5"/>
      <c r="P58" s="5"/>
      <c r="Q58" s="5"/>
      <c r="R58" s="5"/>
      <c r="S58" s="5"/>
      <c r="T58" s="5"/>
      <c r="U58" s="5"/>
      <c r="V58" s="5"/>
      <c r="W58" s="5"/>
      <c r="X58" s="5"/>
      <c r="Y58" s="5"/>
      <c r="Z58" s="5"/>
      <c r="AA58" s="5"/>
      <c r="AB58" s="5"/>
      <c r="AC58" s="5"/>
      <c r="AD58" s="5"/>
      <c r="AE58" s="5"/>
      <c r="AF58" s="5"/>
      <c r="AG58" s="5"/>
      <c r="AH58" s="5"/>
      <c r="AI58" s="5"/>
      <c r="AJ58" s="5"/>
      <c r="AK58" s="5"/>
      <c r="AL58" s="5"/>
      <c r="AM58" s="5"/>
      <c r="AN58" s="5"/>
    </row>
    <row r="59" spans="2:40" x14ac:dyDescent="0.3">
      <c r="B59" s="5"/>
      <c r="C59" s="5"/>
      <c r="D59" s="5"/>
      <c r="E59" s="5"/>
      <c r="F59" s="5"/>
      <c r="G59" s="5"/>
      <c r="H59" s="5"/>
      <c r="I59" s="5"/>
      <c r="J59" s="5"/>
      <c r="K59" s="5"/>
      <c r="L59" s="5"/>
      <c r="M59" s="5"/>
      <c r="N59" s="5"/>
      <c r="O59" s="5"/>
      <c r="P59" s="5"/>
      <c r="Q59" s="5"/>
      <c r="R59" s="5"/>
      <c r="S59" s="5"/>
      <c r="T59" s="5"/>
      <c r="U59" s="5"/>
      <c r="V59" s="5"/>
      <c r="W59" s="5"/>
      <c r="X59" s="5"/>
      <c r="Y59" s="5"/>
      <c r="Z59" s="5"/>
      <c r="AA59" s="5"/>
      <c r="AB59" s="5"/>
      <c r="AC59" s="5"/>
      <c r="AD59" s="5"/>
      <c r="AE59" s="5"/>
      <c r="AF59" s="5"/>
      <c r="AG59" s="5"/>
      <c r="AH59" s="5"/>
      <c r="AI59" s="5"/>
      <c r="AJ59" s="5"/>
      <c r="AK59" s="5"/>
      <c r="AL59" s="5"/>
      <c r="AM59" s="5"/>
      <c r="AN59" s="5"/>
    </row>
    <row r="60" spans="2:40" x14ac:dyDescent="0.3">
      <c r="B60" s="5"/>
      <c r="C60" s="5"/>
      <c r="D60" s="5"/>
      <c r="E60" s="5"/>
      <c r="F60" s="5"/>
      <c r="G60" s="5"/>
      <c r="H60" s="5"/>
      <c r="I60" s="5"/>
      <c r="J60" s="5"/>
      <c r="K60" s="5"/>
      <c r="L60" s="5"/>
      <c r="M60" s="5"/>
      <c r="N60" s="5"/>
      <c r="O60" s="5"/>
      <c r="P60" s="5"/>
      <c r="Q60" s="5"/>
      <c r="R60" s="5"/>
      <c r="S60" s="5"/>
      <c r="T60" s="5"/>
      <c r="U60" s="5"/>
      <c r="V60" s="5"/>
      <c r="W60" s="5"/>
      <c r="X60" s="5"/>
      <c r="Y60" s="5"/>
      <c r="Z60" s="5"/>
      <c r="AA60" s="5"/>
      <c r="AB60" s="5"/>
      <c r="AC60" s="5"/>
      <c r="AD60" s="5"/>
      <c r="AE60" s="5"/>
      <c r="AF60" s="5"/>
      <c r="AG60" s="5"/>
      <c r="AH60" s="5"/>
      <c r="AI60" s="5"/>
      <c r="AJ60" s="5"/>
      <c r="AK60" s="5"/>
      <c r="AL60" s="5"/>
      <c r="AM60" s="5"/>
      <c r="AN60" s="5"/>
    </row>
    <row r="61" spans="2:40" x14ac:dyDescent="0.3">
      <c r="B61" s="5"/>
      <c r="C61" s="5"/>
      <c r="D61" s="5"/>
      <c r="E61" s="5"/>
      <c r="F61" s="5"/>
      <c r="G61" s="5"/>
      <c r="H61" s="5"/>
      <c r="I61" s="5"/>
      <c r="J61" s="5"/>
      <c r="K61" s="5"/>
      <c r="L61" s="5"/>
      <c r="M61" s="5"/>
      <c r="N61" s="5"/>
      <c r="O61" s="5"/>
      <c r="P61" s="5"/>
      <c r="Q61" s="5"/>
      <c r="R61" s="5"/>
      <c r="S61" s="5"/>
      <c r="T61" s="5"/>
      <c r="U61" s="5"/>
      <c r="V61" s="5"/>
      <c r="W61" s="5"/>
      <c r="X61" s="5"/>
      <c r="Y61" s="5"/>
      <c r="Z61" s="5"/>
      <c r="AA61" s="5"/>
      <c r="AB61" s="5"/>
      <c r="AC61" s="5"/>
      <c r="AD61" s="5"/>
      <c r="AE61" s="5"/>
      <c r="AF61" s="5"/>
      <c r="AG61" s="5"/>
      <c r="AH61" s="5"/>
      <c r="AI61" s="5"/>
      <c r="AJ61" s="5"/>
      <c r="AK61" s="5"/>
      <c r="AL61" s="5"/>
      <c r="AM61" s="5"/>
      <c r="AN61" s="5"/>
    </row>
    <row r="62" spans="2:40" x14ac:dyDescent="0.3">
      <c r="B62" s="5"/>
      <c r="C62" s="5"/>
      <c r="D62" s="5"/>
      <c r="E62" s="5"/>
      <c r="F62" s="5"/>
      <c r="G62" s="5"/>
      <c r="H62" s="5"/>
      <c r="I62" s="5"/>
      <c r="J62" s="5"/>
      <c r="K62" s="5"/>
      <c r="L62" s="5"/>
      <c r="M62" s="5"/>
      <c r="N62" s="5"/>
      <c r="O62" s="5"/>
      <c r="P62" s="5"/>
      <c r="Q62" s="5"/>
      <c r="R62" s="5"/>
      <c r="S62" s="5"/>
      <c r="T62" s="5"/>
      <c r="U62" s="5"/>
      <c r="V62" s="5"/>
      <c r="W62" s="5"/>
      <c r="X62" s="5"/>
      <c r="Y62" s="5"/>
      <c r="Z62" s="5"/>
      <c r="AA62" s="5"/>
      <c r="AB62" s="5"/>
      <c r="AC62" s="5"/>
      <c r="AD62" s="5"/>
      <c r="AE62" s="5"/>
      <c r="AF62" s="5"/>
      <c r="AG62" s="5"/>
      <c r="AH62" s="5"/>
      <c r="AI62" s="5"/>
      <c r="AJ62" s="5"/>
      <c r="AK62" s="5"/>
      <c r="AL62" s="5"/>
      <c r="AM62" s="5"/>
      <c r="AN62" s="5"/>
    </row>
    <row r="63" spans="2:40" x14ac:dyDescent="0.3">
      <c r="B63" s="5"/>
      <c r="C63" s="5"/>
      <c r="D63" s="5"/>
      <c r="E63" s="5"/>
      <c r="F63" s="5"/>
      <c r="G63" s="5"/>
      <c r="H63" s="5"/>
      <c r="I63" s="5"/>
      <c r="J63" s="5"/>
      <c r="K63" s="5"/>
      <c r="L63" s="5"/>
      <c r="M63" s="5"/>
      <c r="N63" s="5"/>
      <c r="O63" s="5"/>
      <c r="P63" s="5"/>
      <c r="Q63" s="5"/>
      <c r="R63" s="5"/>
      <c r="S63" s="5"/>
      <c r="T63" s="5"/>
      <c r="U63" s="5"/>
      <c r="V63" s="5"/>
      <c r="W63" s="5"/>
      <c r="X63" s="5"/>
      <c r="Y63" s="5"/>
      <c r="Z63" s="5"/>
      <c r="AA63" s="5"/>
      <c r="AB63" s="5"/>
      <c r="AC63" s="5"/>
      <c r="AD63" s="5"/>
      <c r="AE63" s="5"/>
      <c r="AF63" s="5"/>
      <c r="AG63" s="5"/>
      <c r="AH63" s="5"/>
      <c r="AI63" s="5"/>
      <c r="AJ63" s="5"/>
      <c r="AK63" s="5"/>
      <c r="AL63" s="5"/>
      <c r="AM63" s="5"/>
      <c r="AN63" s="5"/>
    </row>
    <row r="64" spans="2:40" x14ac:dyDescent="0.3">
      <c r="B64" s="5"/>
      <c r="C64" s="5"/>
      <c r="D64" s="5"/>
      <c r="E64" s="5"/>
      <c r="F64" s="5"/>
      <c r="G64" s="5"/>
      <c r="H64" s="5"/>
      <c r="I64" s="5"/>
      <c r="J64" s="5"/>
      <c r="K64" s="5"/>
      <c r="L64" s="5"/>
      <c r="M64" s="5"/>
      <c r="N64" s="5"/>
      <c r="O64" s="5"/>
      <c r="P64" s="5"/>
      <c r="Q64" s="5"/>
      <c r="R64" s="5"/>
      <c r="S64" s="5"/>
      <c r="T64" s="5"/>
      <c r="U64" s="5"/>
      <c r="V64" s="5"/>
      <c r="W64" s="5"/>
      <c r="X64" s="5"/>
      <c r="Y64" s="5"/>
      <c r="Z64" s="5"/>
      <c r="AA64" s="5"/>
      <c r="AB64" s="5"/>
      <c r="AC64" s="5"/>
      <c r="AD64" s="5"/>
      <c r="AE64" s="5"/>
      <c r="AF64" s="5"/>
      <c r="AG64" s="5"/>
      <c r="AH64" s="5"/>
      <c r="AI64" s="5"/>
      <c r="AJ64" s="5"/>
      <c r="AK64" s="5"/>
      <c r="AL64" s="5"/>
      <c r="AM64" s="5"/>
      <c r="AN64" s="5"/>
    </row>
    <row r="65" spans="2:40" x14ac:dyDescent="0.3">
      <c r="B65" s="5"/>
      <c r="C65" s="5"/>
      <c r="D65" s="5"/>
      <c r="E65" s="5"/>
      <c r="F65" s="5"/>
      <c r="G65" s="5"/>
      <c r="H65" s="5"/>
      <c r="I65" s="5"/>
      <c r="J65" s="5"/>
      <c r="K65" s="5"/>
      <c r="L65" s="5"/>
      <c r="M65" s="5"/>
      <c r="N65" s="5"/>
      <c r="O65" s="5"/>
      <c r="P65" s="5"/>
      <c r="Q65" s="5"/>
      <c r="R65" s="5"/>
      <c r="S65" s="5"/>
      <c r="T65" s="5"/>
      <c r="U65" s="5"/>
      <c r="V65" s="5"/>
      <c r="W65" s="5"/>
      <c r="X65" s="5"/>
      <c r="Y65" s="5"/>
      <c r="Z65" s="5"/>
      <c r="AA65" s="5"/>
      <c r="AB65" s="5"/>
      <c r="AC65" s="5"/>
      <c r="AD65" s="5"/>
      <c r="AE65" s="5"/>
      <c r="AF65" s="5"/>
      <c r="AG65" s="5"/>
      <c r="AH65" s="5"/>
      <c r="AI65" s="5"/>
      <c r="AJ65" s="5"/>
      <c r="AK65" s="5"/>
      <c r="AL65" s="5"/>
      <c r="AM65" s="5"/>
      <c r="AN65" s="5"/>
    </row>
    <row r="66" spans="2:40" x14ac:dyDescent="0.3">
      <c r="B66" s="5"/>
      <c r="C66" s="5"/>
      <c r="D66" s="5"/>
      <c r="E66" s="5"/>
      <c r="F66" s="5"/>
      <c r="G66" s="5"/>
      <c r="H66" s="5"/>
      <c r="I66" s="5"/>
      <c r="J66" s="5"/>
      <c r="K66" s="5"/>
      <c r="L66" s="5"/>
      <c r="M66" s="5"/>
      <c r="N66" s="5"/>
      <c r="O66" s="5"/>
      <c r="P66" s="5"/>
      <c r="Q66" s="5"/>
      <c r="R66" s="5"/>
      <c r="S66" s="5"/>
      <c r="T66" s="5"/>
      <c r="U66" s="5"/>
      <c r="V66" s="5"/>
      <c r="W66" s="5"/>
      <c r="X66" s="5"/>
      <c r="Y66" s="5"/>
      <c r="Z66" s="5"/>
      <c r="AA66" s="5"/>
      <c r="AB66" s="5"/>
      <c r="AC66" s="5"/>
      <c r="AD66" s="5"/>
      <c r="AE66" s="5"/>
      <c r="AF66" s="5"/>
      <c r="AG66" s="5"/>
      <c r="AH66" s="5"/>
      <c r="AI66" s="5"/>
      <c r="AJ66" s="5"/>
      <c r="AK66" s="5"/>
      <c r="AL66" s="5"/>
      <c r="AM66" s="5"/>
      <c r="AN66" s="5"/>
    </row>
    <row r="67" spans="2:40" x14ac:dyDescent="0.3">
      <c r="B67" s="5"/>
      <c r="C67" s="5"/>
      <c r="D67" s="5"/>
      <c r="E67" s="5"/>
      <c r="F67" s="5"/>
      <c r="G67" s="5"/>
      <c r="H67" s="5"/>
      <c r="I67" s="5"/>
      <c r="J67" s="5"/>
      <c r="K67" s="5"/>
      <c r="L67" s="5"/>
      <c r="M67" s="5"/>
      <c r="N67" s="5"/>
      <c r="O67" s="5"/>
      <c r="P67" s="5"/>
      <c r="Q67" s="5"/>
      <c r="R67" s="5"/>
      <c r="S67" s="5"/>
      <c r="T67" s="5"/>
      <c r="U67" s="5"/>
      <c r="V67" s="5"/>
      <c r="W67" s="5"/>
      <c r="X67" s="5"/>
      <c r="Y67" s="5"/>
      <c r="Z67" s="5"/>
      <c r="AA67" s="5"/>
      <c r="AB67" s="5"/>
      <c r="AC67" s="5"/>
      <c r="AD67" s="5"/>
      <c r="AE67" s="5"/>
      <c r="AF67" s="5"/>
      <c r="AG67" s="5"/>
      <c r="AH67" s="5"/>
      <c r="AI67" s="5"/>
      <c r="AJ67" s="5"/>
      <c r="AK67" s="5"/>
      <c r="AL67" s="5"/>
      <c r="AM67" s="5"/>
      <c r="AN67" s="5"/>
    </row>
    <row r="68" spans="2:40" x14ac:dyDescent="0.3">
      <c r="B68" s="5"/>
      <c r="C68" s="5"/>
      <c r="D68" s="5"/>
      <c r="E68" s="5"/>
      <c r="F68" s="5"/>
      <c r="G68" s="5"/>
      <c r="H68" s="5"/>
      <c r="I68" s="5"/>
      <c r="J68" s="5"/>
      <c r="K68" s="5"/>
      <c r="L68" s="5"/>
      <c r="M68" s="5"/>
      <c r="N68" s="5"/>
      <c r="O68" s="5"/>
      <c r="P68" s="5"/>
      <c r="Q68" s="5"/>
      <c r="R68" s="5"/>
      <c r="S68" s="5"/>
      <c r="T68" s="5"/>
      <c r="U68" s="5"/>
      <c r="V68" s="5"/>
      <c r="W68" s="5"/>
      <c r="X68" s="5"/>
      <c r="Y68" s="5"/>
      <c r="Z68" s="5"/>
      <c r="AA68" s="5"/>
      <c r="AB68" s="5"/>
      <c r="AC68" s="5"/>
      <c r="AD68" s="5"/>
      <c r="AE68" s="5"/>
      <c r="AF68" s="5"/>
      <c r="AG68" s="5"/>
      <c r="AH68" s="5"/>
      <c r="AI68" s="5"/>
      <c r="AJ68" s="5"/>
      <c r="AK68" s="5"/>
      <c r="AL68" s="5"/>
      <c r="AM68" s="5"/>
      <c r="AN68" s="5"/>
    </row>
    <row r="69" spans="2:40" x14ac:dyDescent="0.3">
      <c r="B69" s="5"/>
      <c r="C69" s="5"/>
      <c r="D69" s="5"/>
      <c r="E69" s="5"/>
      <c r="F69" s="5"/>
      <c r="G69" s="5"/>
      <c r="H69" s="5"/>
      <c r="I69" s="5"/>
      <c r="J69" s="5"/>
      <c r="K69" s="5"/>
      <c r="L69" s="5"/>
      <c r="M69" s="5"/>
      <c r="N69" s="5"/>
      <c r="O69" s="5"/>
      <c r="P69" s="5"/>
      <c r="Q69" s="5"/>
      <c r="R69" s="5"/>
      <c r="S69" s="5"/>
      <c r="T69" s="5"/>
      <c r="U69" s="5"/>
      <c r="V69" s="5"/>
      <c r="W69" s="5"/>
      <c r="X69" s="5"/>
      <c r="Y69" s="5"/>
      <c r="Z69" s="5"/>
      <c r="AA69" s="5"/>
      <c r="AB69" s="5"/>
      <c r="AC69" s="5"/>
      <c r="AD69" s="5"/>
      <c r="AE69" s="5"/>
      <c r="AF69" s="5"/>
      <c r="AG69" s="5"/>
      <c r="AH69" s="5"/>
      <c r="AI69" s="5"/>
      <c r="AJ69" s="5"/>
      <c r="AK69" s="5"/>
      <c r="AL69" s="5"/>
      <c r="AM69" s="5"/>
      <c r="AN69" s="5"/>
    </row>
    <row r="70" spans="2:40" x14ac:dyDescent="0.3">
      <c r="B70" s="5"/>
      <c r="C70" s="5"/>
      <c r="D70" s="5"/>
      <c r="E70" s="5"/>
      <c r="F70" s="5"/>
      <c r="G70" s="5"/>
      <c r="H70" s="5"/>
      <c r="I70" s="5"/>
      <c r="J70" s="5"/>
      <c r="K70" s="5"/>
      <c r="L70" s="5"/>
      <c r="M70" s="5"/>
      <c r="N70" s="5"/>
      <c r="O70" s="5"/>
      <c r="P70" s="5"/>
      <c r="Q70" s="5"/>
      <c r="R70" s="5"/>
      <c r="S70" s="5"/>
      <c r="T70" s="5"/>
      <c r="U70" s="5"/>
      <c r="V70" s="5"/>
      <c r="W70" s="5"/>
      <c r="X70" s="5"/>
      <c r="Y70" s="5"/>
      <c r="Z70" s="5"/>
      <c r="AA70" s="5"/>
      <c r="AB70" s="5"/>
      <c r="AC70" s="5"/>
      <c r="AD70" s="5"/>
      <c r="AE70" s="5"/>
      <c r="AF70" s="5"/>
      <c r="AG70" s="5"/>
      <c r="AH70" s="5"/>
      <c r="AI70" s="5"/>
      <c r="AJ70" s="5"/>
      <c r="AK70" s="5"/>
      <c r="AL70" s="5"/>
      <c r="AM70" s="5"/>
      <c r="AN70" s="5"/>
    </row>
    <row r="71" spans="2:40" x14ac:dyDescent="0.3">
      <c r="B71" s="5"/>
      <c r="C71" s="5"/>
      <c r="D71" s="5"/>
      <c r="E71" s="5"/>
      <c r="F71" s="5"/>
      <c r="G71" s="5"/>
      <c r="H71" s="5"/>
      <c r="I71" s="5"/>
      <c r="J71" s="5"/>
      <c r="K71" s="5"/>
      <c r="L71" s="5"/>
      <c r="M71" s="5"/>
      <c r="N71" s="5"/>
      <c r="O71" s="5"/>
      <c r="P71" s="5"/>
      <c r="Q71" s="5"/>
      <c r="R71" s="5"/>
      <c r="S71" s="5"/>
      <c r="T71" s="5"/>
      <c r="U71" s="5"/>
      <c r="V71" s="5"/>
      <c r="W71" s="5"/>
      <c r="X71" s="5"/>
      <c r="Y71" s="5"/>
      <c r="Z71" s="5"/>
      <c r="AA71" s="5"/>
      <c r="AB71" s="5"/>
      <c r="AC71" s="5"/>
      <c r="AD71" s="5"/>
      <c r="AE71" s="5"/>
      <c r="AF71" s="5"/>
      <c r="AG71" s="5"/>
      <c r="AH71" s="5"/>
      <c r="AI71" s="5"/>
      <c r="AJ71" s="5"/>
      <c r="AK71" s="5"/>
      <c r="AL71" s="5"/>
      <c r="AM71" s="5"/>
      <c r="AN71" s="5"/>
    </row>
    <row r="72" spans="2:40" x14ac:dyDescent="0.3">
      <c r="B72" s="5"/>
      <c r="C72" s="5"/>
      <c r="D72" s="5"/>
      <c r="E72" s="5"/>
      <c r="F72" s="5"/>
      <c r="G72" s="5"/>
      <c r="H72" s="5"/>
      <c r="I72" s="5"/>
      <c r="J72" s="5"/>
      <c r="K72" s="5"/>
      <c r="L72" s="5"/>
      <c r="M72" s="5"/>
      <c r="N72" s="5"/>
      <c r="O72" s="5"/>
      <c r="P72" s="5"/>
      <c r="Q72" s="5"/>
      <c r="R72" s="5"/>
      <c r="S72" s="5"/>
      <c r="T72" s="5"/>
      <c r="U72" s="5"/>
      <c r="V72" s="5"/>
      <c r="W72" s="5"/>
      <c r="X72" s="5"/>
      <c r="Y72" s="5"/>
      <c r="Z72" s="5"/>
      <c r="AA72" s="5"/>
      <c r="AB72" s="5"/>
      <c r="AC72" s="5"/>
      <c r="AD72" s="5"/>
      <c r="AE72" s="5"/>
      <c r="AF72" s="5"/>
      <c r="AG72" s="5"/>
      <c r="AH72" s="5"/>
      <c r="AI72" s="5"/>
      <c r="AJ72" s="5"/>
      <c r="AK72" s="5"/>
      <c r="AL72" s="5"/>
      <c r="AM72" s="5"/>
      <c r="AN72" s="5"/>
    </row>
    <row r="73" spans="2:40" x14ac:dyDescent="0.3">
      <c r="B73" s="5"/>
      <c r="C73" s="5"/>
      <c r="D73" s="5"/>
      <c r="E73" s="5"/>
      <c r="F73" s="5"/>
      <c r="G73" s="5"/>
      <c r="H73" s="5"/>
      <c r="I73" s="5"/>
      <c r="J73" s="5"/>
      <c r="K73" s="5"/>
      <c r="L73" s="5"/>
      <c r="M73" s="5"/>
      <c r="N73" s="5"/>
      <c r="O73" s="5"/>
      <c r="P73" s="5"/>
      <c r="Q73" s="5"/>
      <c r="R73" s="5"/>
      <c r="S73" s="5"/>
      <c r="T73" s="5"/>
      <c r="U73" s="5"/>
      <c r="V73" s="5"/>
      <c r="W73" s="5"/>
      <c r="X73" s="5"/>
      <c r="Y73" s="5"/>
      <c r="Z73" s="5"/>
      <c r="AA73" s="5"/>
      <c r="AB73" s="5"/>
      <c r="AC73" s="5"/>
      <c r="AD73" s="5"/>
      <c r="AE73" s="5"/>
      <c r="AF73" s="5"/>
      <c r="AG73" s="5"/>
      <c r="AH73" s="5"/>
      <c r="AI73" s="5"/>
      <c r="AJ73" s="5"/>
      <c r="AK73" s="5"/>
      <c r="AL73" s="5"/>
      <c r="AM73" s="5"/>
      <c r="AN73" s="5"/>
    </row>
    <row r="74" spans="2:40" x14ac:dyDescent="0.3">
      <c r="B74" s="5"/>
      <c r="C74" s="5"/>
      <c r="D74" s="5"/>
      <c r="E74" s="5"/>
      <c r="F74" s="5"/>
      <c r="G74" s="5"/>
      <c r="H74" s="5"/>
      <c r="I74" s="5"/>
      <c r="J74" s="5"/>
      <c r="K74" s="5"/>
      <c r="L74" s="5"/>
      <c r="M74" s="5"/>
      <c r="N74" s="5"/>
      <c r="O74" s="5"/>
      <c r="P74" s="5"/>
      <c r="Q74" s="5"/>
      <c r="R74" s="5"/>
      <c r="S74" s="5"/>
      <c r="T74" s="5"/>
      <c r="U74" s="5"/>
      <c r="V74" s="5"/>
      <c r="W74" s="5"/>
      <c r="X74" s="5"/>
      <c r="Y74" s="5"/>
      <c r="Z74" s="5"/>
      <c r="AA74" s="5"/>
      <c r="AB74" s="5"/>
      <c r="AC74" s="5"/>
      <c r="AD74" s="5"/>
      <c r="AE74" s="5"/>
      <c r="AF74" s="5"/>
      <c r="AG74" s="5"/>
      <c r="AH74" s="5"/>
      <c r="AI74" s="5"/>
      <c r="AJ74" s="5"/>
      <c r="AK74" s="5"/>
      <c r="AL74" s="5"/>
      <c r="AM74" s="5"/>
      <c r="AN74" s="5"/>
    </row>
    <row r="75" spans="2:40" x14ac:dyDescent="0.3">
      <c r="B75" s="5"/>
      <c r="C75" s="5"/>
      <c r="D75" s="5"/>
      <c r="E75" s="5"/>
      <c r="F75" s="5"/>
      <c r="G75" s="5"/>
      <c r="H75" s="5"/>
      <c r="I75" s="5"/>
      <c r="J75" s="5"/>
      <c r="K75" s="5"/>
      <c r="L75" s="5"/>
      <c r="M75" s="5"/>
      <c r="N75" s="5"/>
      <c r="O75" s="5"/>
      <c r="P75" s="5"/>
      <c r="Q75" s="5"/>
      <c r="R75" s="5"/>
      <c r="S75" s="5"/>
      <c r="T75" s="5"/>
      <c r="U75" s="5"/>
      <c r="V75" s="5"/>
      <c r="W75" s="5"/>
      <c r="X75" s="5"/>
      <c r="Y75" s="5"/>
      <c r="Z75" s="5"/>
      <c r="AA75" s="5"/>
      <c r="AB75" s="5"/>
      <c r="AC75" s="5"/>
      <c r="AD75" s="5"/>
      <c r="AE75" s="5"/>
      <c r="AF75" s="5"/>
      <c r="AG75" s="5"/>
      <c r="AH75" s="5"/>
      <c r="AI75" s="5"/>
      <c r="AJ75" s="5"/>
      <c r="AK75" s="5"/>
      <c r="AL75" s="5"/>
      <c r="AM75" s="5"/>
      <c r="AN75" s="5"/>
    </row>
    <row r="76" spans="2:40" x14ac:dyDescent="0.3">
      <c r="B76" s="5"/>
      <c r="C76" s="5"/>
      <c r="D76" s="5"/>
      <c r="E76" s="5"/>
      <c r="F76" s="5"/>
      <c r="G76" s="5"/>
      <c r="H76" s="5"/>
      <c r="I76" s="5"/>
      <c r="J76" s="5"/>
      <c r="K76" s="5"/>
      <c r="L76" s="5"/>
      <c r="M76" s="5"/>
      <c r="N76" s="5"/>
      <c r="O76" s="5"/>
      <c r="P76" s="5"/>
      <c r="Q76" s="5"/>
      <c r="R76" s="5"/>
      <c r="S76" s="5"/>
      <c r="T76" s="5"/>
      <c r="U76" s="5"/>
      <c r="V76" s="5"/>
      <c r="W76" s="5"/>
      <c r="X76" s="5"/>
      <c r="Y76" s="5"/>
      <c r="Z76" s="5"/>
      <c r="AA76" s="5"/>
      <c r="AB76" s="5"/>
      <c r="AC76" s="5"/>
      <c r="AD76" s="5"/>
      <c r="AE76" s="5"/>
      <c r="AF76" s="5"/>
      <c r="AG76" s="5"/>
      <c r="AH76" s="5"/>
      <c r="AI76" s="5"/>
      <c r="AJ76" s="5"/>
      <c r="AK76" s="5"/>
      <c r="AL76" s="5"/>
      <c r="AM76" s="5"/>
      <c r="AN76" s="5"/>
    </row>
    <row r="77" spans="2:40" x14ac:dyDescent="0.3">
      <c r="B77" s="5"/>
      <c r="C77" s="5"/>
      <c r="D77" s="5"/>
      <c r="E77" s="5"/>
      <c r="F77" s="5"/>
      <c r="G77" s="5"/>
      <c r="H77" s="5"/>
      <c r="I77" s="5"/>
      <c r="J77" s="5"/>
      <c r="K77" s="5"/>
      <c r="L77" s="5"/>
      <c r="M77" s="5"/>
      <c r="N77" s="5"/>
      <c r="O77" s="5"/>
      <c r="P77" s="5"/>
      <c r="Q77" s="5"/>
      <c r="R77" s="5"/>
      <c r="S77" s="5"/>
      <c r="T77" s="5"/>
      <c r="U77" s="5"/>
      <c r="V77" s="5"/>
      <c r="W77" s="5"/>
      <c r="X77" s="5"/>
      <c r="Y77" s="5"/>
      <c r="Z77" s="5"/>
      <c r="AA77" s="5"/>
      <c r="AB77" s="5"/>
      <c r="AC77" s="5"/>
      <c r="AD77" s="5"/>
      <c r="AE77" s="5"/>
      <c r="AF77" s="5"/>
      <c r="AG77" s="5"/>
      <c r="AH77" s="5"/>
      <c r="AI77" s="5"/>
      <c r="AJ77" s="5"/>
      <c r="AK77" s="5"/>
      <c r="AL77" s="5"/>
      <c r="AM77" s="5"/>
      <c r="AN77" s="5"/>
    </row>
    <row r="78" spans="2:40" x14ac:dyDescent="0.3">
      <c r="B78" s="5"/>
      <c r="C78" s="5"/>
      <c r="D78" s="5"/>
      <c r="E78" s="5"/>
      <c r="F78" s="5"/>
      <c r="G78" s="5"/>
      <c r="H78" s="5"/>
      <c r="I78" s="5"/>
      <c r="J78" s="5"/>
      <c r="K78" s="5"/>
      <c r="L78" s="5"/>
      <c r="M78" s="5"/>
      <c r="N78" s="5"/>
      <c r="O78" s="5"/>
      <c r="P78" s="5"/>
      <c r="Q78" s="5"/>
      <c r="R78" s="5"/>
      <c r="S78" s="5"/>
      <c r="T78" s="5"/>
      <c r="U78" s="5"/>
      <c r="V78" s="5"/>
      <c r="W78" s="5"/>
      <c r="X78" s="5"/>
      <c r="Y78" s="5"/>
      <c r="Z78" s="5"/>
      <c r="AA78" s="5"/>
      <c r="AB78" s="5"/>
      <c r="AC78" s="5"/>
      <c r="AD78" s="5"/>
      <c r="AE78" s="5"/>
      <c r="AF78" s="5"/>
      <c r="AG78" s="5"/>
      <c r="AH78" s="5"/>
      <c r="AI78" s="5"/>
      <c r="AJ78" s="5"/>
      <c r="AK78" s="5"/>
      <c r="AL78" s="5"/>
      <c r="AM78" s="5"/>
      <c r="AN78" s="5"/>
    </row>
    <row r="79" spans="2:40" x14ac:dyDescent="0.3">
      <c r="B79" s="5"/>
      <c r="C79" s="5"/>
      <c r="D79" s="5"/>
      <c r="E79" s="5"/>
      <c r="F79" s="5"/>
      <c r="G79" s="5"/>
      <c r="H79" s="5"/>
      <c r="I79" s="5"/>
      <c r="J79" s="5"/>
      <c r="K79" s="5"/>
      <c r="L79" s="5"/>
      <c r="M79" s="5"/>
      <c r="N79" s="5"/>
      <c r="O79" s="5"/>
      <c r="P79" s="5"/>
      <c r="Q79" s="5"/>
      <c r="R79" s="5"/>
      <c r="S79" s="5"/>
      <c r="T79" s="5"/>
      <c r="U79" s="5"/>
      <c r="V79" s="5"/>
      <c r="W79" s="5"/>
      <c r="X79" s="5"/>
      <c r="Y79" s="5"/>
      <c r="Z79" s="5"/>
      <c r="AA79" s="5"/>
      <c r="AB79" s="5"/>
      <c r="AC79" s="5"/>
      <c r="AD79" s="5"/>
      <c r="AE79" s="5"/>
      <c r="AF79" s="5"/>
      <c r="AG79" s="5"/>
      <c r="AH79" s="5"/>
      <c r="AI79" s="5"/>
      <c r="AJ79" s="5"/>
      <c r="AK79" s="5"/>
      <c r="AL79" s="5"/>
      <c r="AM79" s="5"/>
      <c r="AN79" s="5"/>
    </row>
    <row r="80" spans="2:40" x14ac:dyDescent="0.3">
      <c r="B80" s="5"/>
      <c r="C80" s="5"/>
      <c r="D80" s="5"/>
      <c r="E80" s="5"/>
      <c r="F80" s="5"/>
      <c r="G80" s="5"/>
      <c r="H80" s="5"/>
      <c r="I80" s="5"/>
      <c r="J80" s="5"/>
      <c r="K80" s="5"/>
      <c r="L80" s="5"/>
      <c r="M80" s="5"/>
      <c r="N80" s="5"/>
      <c r="O80" s="5"/>
      <c r="P80" s="5"/>
      <c r="Q80" s="5"/>
      <c r="R80" s="5"/>
      <c r="S80" s="5"/>
      <c r="T80" s="5"/>
      <c r="U80" s="5"/>
      <c r="V80" s="5"/>
      <c r="W80" s="5"/>
      <c r="X80" s="5"/>
      <c r="Y80" s="5"/>
      <c r="Z80" s="5"/>
      <c r="AA80" s="5"/>
      <c r="AB80" s="5"/>
      <c r="AC80" s="5"/>
      <c r="AD80" s="5"/>
      <c r="AE80" s="5"/>
      <c r="AF80" s="5"/>
      <c r="AG80" s="5"/>
      <c r="AH80" s="5"/>
      <c r="AI80" s="5"/>
      <c r="AJ80" s="5"/>
      <c r="AK80" s="5"/>
      <c r="AL80" s="5"/>
      <c r="AM80" s="5"/>
      <c r="AN80" s="5"/>
    </row>
    <row r="81" spans="2:40" x14ac:dyDescent="0.3">
      <c r="B81" s="5"/>
      <c r="C81" s="5"/>
      <c r="D81" s="5"/>
      <c r="E81" s="5"/>
      <c r="F81" s="5"/>
      <c r="G81" s="5"/>
      <c r="H81" s="5"/>
      <c r="I81" s="5"/>
      <c r="J81" s="5"/>
      <c r="K81" s="5"/>
      <c r="L81" s="5"/>
      <c r="M81" s="5"/>
      <c r="N81" s="5"/>
      <c r="O81" s="5"/>
      <c r="P81" s="5"/>
      <c r="Q81" s="5"/>
      <c r="R81" s="5"/>
      <c r="S81" s="5"/>
      <c r="T81" s="5"/>
      <c r="U81" s="5"/>
      <c r="V81" s="5"/>
      <c r="W81" s="5"/>
      <c r="X81" s="5"/>
      <c r="Y81" s="5"/>
      <c r="Z81" s="5"/>
      <c r="AA81" s="5"/>
      <c r="AB81" s="5"/>
      <c r="AC81" s="5"/>
      <c r="AD81" s="5"/>
      <c r="AE81" s="5"/>
      <c r="AF81" s="5"/>
      <c r="AG81" s="5"/>
      <c r="AH81" s="5"/>
      <c r="AI81" s="5"/>
      <c r="AJ81" s="5"/>
      <c r="AK81" s="5"/>
      <c r="AL81" s="5"/>
      <c r="AM81" s="5"/>
      <c r="AN81" s="5"/>
    </row>
    <row r="82" spans="2:40" x14ac:dyDescent="0.3">
      <c r="B82" s="5"/>
      <c r="C82" s="5"/>
      <c r="D82" s="5"/>
      <c r="E82" s="5"/>
      <c r="F82" s="5"/>
      <c r="G82" s="5"/>
      <c r="H82" s="5"/>
      <c r="I82" s="5"/>
      <c r="J82" s="5"/>
      <c r="K82" s="5"/>
      <c r="L82" s="5"/>
      <c r="M82" s="5"/>
      <c r="N82" s="5"/>
      <c r="O82" s="5"/>
      <c r="P82" s="5"/>
      <c r="Q82" s="5"/>
      <c r="R82" s="5"/>
      <c r="S82" s="5"/>
      <c r="T82" s="5"/>
      <c r="U82" s="5"/>
      <c r="V82" s="5"/>
      <c r="W82" s="5"/>
      <c r="X82" s="5"/>
      <c r="Y82" s="5"/>
      <c r="Z82" s="5"/>
      <c r="AA82" s="5"/>
      <c r="AB82" s="5"/>
      <c r="AC82" s="5"/>
      <c r="AD82" s="5"/>
      <c r="AE82" s="5"/>
      <c r="AF82" s="5"/>
      <c r="AG82" s="5"/>
      <c r="AH82" s="5"/>
      <c r="AI82" s="5"/>
      <c r="AJ82" s="5"/>
      <c r="AK82" s="5"/>
      <c r="AL82" s="5"/>
      <c r="AM82" s="5"/>
      <c r="AN82" s="5"/>
    </row>
    <row r="83" spans="2:40" x14ac:dyDescent="0.3">
      <c r="B83" s="5"/>
      <c r="C83" s="5"/>
      <c r="D83" s="5"/>
      <c r="E83" s="5"/>
      <c r="F83" s="5"/>
      <c r="G83" s="5"/>
      <c r="H83" s="5"/>
      <c r="I83" s="5"/>
      <c r="J83" s="5"/>
      <c r="K83" s="5"/>
      <c r="L83" s="5"/>
      <c r="M83" s="5"/>
      <c r="N83" s="5"/>
      <c r="O83" s="5"/>
      <c r="P83" s="5"/>
      <c r="Q83" s="5"/>
      <c r="R83" s="5"/>
      <c r="S83" s="5"/>
      <c r="T83" s="5"/>
      <c r="U83" s="5"/>
      <c r="V83" s="5"/>
      <c r="W83" s="5"/>
      <c r="X83" s="5"/>
      <c r="Y83" s="5"/>
      <c r="Z83" s="5"/>
      <c r="AA83" s="5"/>
      <c r="AB83" s="5"/>
      <c r="AC83" s="5"/>
      <c r="AD83" s="5"/>
      <c r="AE83" s="5"/>
      <c r="AF83" s="5"/>
      <c r="AG83" s="5"/>
      <c r="AH83" s="5"/>
      <c r="AI83" s="5"/>
      <c r="AJ83" s="5"/>
      <c r="AK83" s="5"/>
      <c r="AL83" s="5"/>
      <c r="AM83" s="5"/>
      <c r="AN83" s="5"/>
    </row>
    <row r="84" spans="2:40" x14ac:dyDescent="0.3">
      <c r="B84" s="5"/>
      <c r="C84" s="5"/>
      <c r="D84" s="5"/>
      <c r="E84" s="5"/>
      <c r="F84" s="5"/>
      <c r="G84" s="5"/>
      <c r="H84" s="5"/>
      <c r="I84" s="5"/>
      <c r="J84" s="5"/>
      <c r="K84" s="5"/>
      <c r="L84" s="5"/>
      <c r="M84" s="5"/>
      <c r="N84" s="5"/>
      <c r="O84" s="5"/>
      <c r="P84" s="5"/>
      <c r="Q84" s="5"/>
      <c r="R84" s="5"/>
      <c r="S84" s="5"/>
      <c r="T84" s="5"/>
      <c r="U84" s="5"/>
      <c r="V84" s="5"/>
      <c r="W84" s="5"/>
      <c r="X84" s="5"/>
      <c r="Y84" s="5"/>
      <c r="Z84" s="5"/>
      <c r="AA84" s="5"/>
      <c r="AB84" s="5"/>
      <c r="AC84" s="5"/>
      <c r="AD84" s="5"/>
      <c r="AE84" s="5"/>
      <c r="AF84" s="5"/>
      <c r="AG84" s="5"/>
      <c r="AH84" s="5"/>
      <c r="AI84" s="5"/>
      <c r="AJ84" s="5"/>
      <c r="AK84" s="5"/>
      <c r="AL84" s="5"/>
      <c r="AM84" s="5"/>
      <c r="AN84" s="5"/>
    </row>
    <row r="85" spans="2:40" x14ac:dyDescent="0.3">
      <c r="B85" s="5"/>
      <c r="C85" s="5"/>
      <c r="D85" s="5"/>
      <c r="E85" s="5"/>
      <c r="F85" s="5"/>
      <c r="G85" s="5"/>
      <c r="H85" s="5"/>
      <c r="I85" s="5"/>
      <c r="J85" s="5"/>
      <c r="K85" s="5"/>
      <c r="L85" s="5"/>
      <c r="M85" s="5"/>
      <c r="N85" s="5"/>
      <c r="O85" s="5"/>
      <c r="P85" s="5"/>
      <c r="Q85" s="5"/>
      <c r="R85" s="5"/>
      <c r="S85" s="5"/>
      <c r="T85" s="5"/>
      <c r="U85" s="5"/>
      <c r="V85" s="5"/>
      <c r="W85" s="5"/>
      <c r="X85" s="5"/>
      <c r="Y85" s="5"/>
      <c r="Z85" s="5"/>
      <c r="AA85" s="5"/>
      <c r="AB85" s="5"/>
      <c r="AC85" s="5"/>
      <c r="AD85" s="5"/>
      <c r="AE85" s="5"/>
      <c r="AF85" s="5"/>
      <c r="AG85" s="5"/>
      <c r="AH85" s="5"/>
      <c r="AI85" s="5"/>
      <c r="AJ85" s="5"/>
      <c r="AK85" s="5"/>
      <c r="AL85" s="5"/>
      <c r="AM85" s="5"/>
      <c r="AN85" s="5"/>
    </row>
    <row r="86" spans="2:40" x14ac:dyDescent="0.3">
      <c r="B86" s="5"/>
      <c r="C86" s="5"/>
      <c r="D86" s="5"/>
      <c r="E86" s="5"/>
      <c r="F86" s="5"/>
      <c r="G86" s="5"/>
      <c r="H86" s="5"/>
      <c r="I86" s="5"/>
      <c r="J86" s="5"/>
      <c r="K86" s="5"/>
      <c r="L86" s="5"/>
      <c r="M86" s="5"/>
      <c r="N86" s="5"/>
      <c r="O86" s="5"/>
      <c r="P86" s="5"/>
      <c r="Q86" s="5"/>
      <c r="R86" s="5"/>
      <c r="S86" s="5"/>
      <c r="T86" s="5"/>
      <c r="U86" s="5"/>
      <c r="V86" s="5"/>
      <c r="W86" s="5"/>
      <c r="X86" s="5"/>
      <c r="Y86" s="5"/>
      <c r="Z86" s="5"/>
      <c r="AA86" s="5"/>
      <c r="AB86" s="5"/>
      <c r="AC86" s="5"/>
      <c r="AD86" s="5"/>
      <c r="AE86" s="5"/>
      <c r="AF86" s="5"/>
      <c r="AG86" s="5"/>
      <c r="AH86" s="5"/>
      <c r="AI86" s="5"/>
      <c r="AJ86" s="5"/>
      <c r="AK86" s="5"/>
      <c r="AL86" s="5"/>
      <c r="AM86" s="5"/>
      <c r="AN86" s="5"/>
    </row>
    <row r="87" spans="2:40" x14ac:dyDescent="0.3">
      <c r="B87" s="5"/>
      <c r="C87" s="5"/>
      <c r="D87" s="5"/>
      <c r="E87" s="5"/>
      <c r="F87" s="5"/>
      <c r="G87" s="5"/>
      <c r="H87" s="5"/>
      <c r="I87" s="5"/>
      <c r="J87" s="5"/>
      <c r="K87" s="5"/>
      <c r="L87" s="5"/>
      <c r="M87" s="5"/>
      <c r="N87" s="5"/>
      <c r="O87" s="5"/>
      <c r="P87" s="5"/>
      <c r="Q87" s="5"/>
      <c r="R87" s="5"/>
      <c r="S87" s="5"/>
      <c r="T87" s="5"/>
      <c r="U87" s="5"/>
      <c r="V87" s="5"/>
      <c r="W87" s="5"/>
      <c r="X87" s="5"/>
      <c r="Y87" s="5"/>
      <c r="Z87" s="5"/>
      <c r="AA87" s="5"/>
      <c r="AB87" s="5"/>
      <c r="AC87" s="5"/>
      <c r="AD87" s="5"/>
      <c r="AE87" s="5"/>
      <c r="AF87" s="5"/>
      <c r="AG87" s="5"/>
      <c r="AH87" s="5"/>
      <c r="AI87" s="5"/>
      <c r="AJ87" s="5"/>
      <c r="AK87" s="5"/>
      <c r="AL87" s="5"/>
      <c r="AM87" s="5"/>
      <c r="AN87" s="5"/>
    </row>
    <row r="88" spans="2:40" x14ac:dyDescent="0.3">
      <c r="B88" s="5"/>
      <c r="C88" s="5"/>
      <c r="D88" s="5"/>
      <c r="E88" s="5"/>
      <c r="F88" s="5"/>
      <c r="G88" s="5"/>
      <c r="H88" s="5"/>
      <c r="I88" s="5"/>
      <c r="J88" s="5"/>
      <c r="K88" s="5"/>
      <c r="L88" s="5"/>
      <c r="M88" s="5"/>
      <c r="N88" s="5"/>
      <c r="O88" s="5"/>
      <c r="P88" s="5"/>
      <c r="Q88" s="5"/>
      <c r="R88" s="5"/>
      <c r="S88" s="5"/>
      <c r="T88" s="5"/>
      <c r="U88" s="5"/>
      <c r="V88" s="5"/>
      <c r="W88" s="5"/>
      <c r="X88" s="5"/>
      <c r="Y88" s="5"/>
      <c r="Z88" s="5"/>
      <c r="AA88" s="5"/>
      <c r="AB88" s="5"/>
      <c r="AC88" s="5"/>
      <c r="AD88" s="5"/>
      <c r="AE88" s="5"/>
      <c r="AF88" s="5"/>
      <c r="AG88" s="5"/>
      <c r="AH88" s="5"/>
      <c r="AI88" s="5"/>
      <c r="AJ88" s="5"/>
      <c r="AK88" s="5"/>
      <c r="AL88" s="5"/>
      <c r="AM88" s="5"/>
      <c r="AN88" s="5"/>
    </row>
    <row r="89" spans="2:40" x14ac:dyDescent="0.3">
      <c r="B89" s="5"/>
      <c r="C89" s="5"/>
      <c r="D89" s="5"/>
      <c r="E89" s="5"/>
      <c r="F89" s="5"/>
      <c r="G89" s="5"/>
      <c r="H89" s="5"/>
      <c r="I89" s="5"/>
      <c r="J89" s="5"/>
      <c r="K89" s="5"/>
      <c r="L89" s="5"/>
      <c r="M89" s="5"/>
      <c r="N89" s="5"/>
      <c r="O89" s="5"/>
      <c r="P89" s="5"/>
      <c r="Q89" s="5"/>
      <c r="R89" s="5"/>
      <c r="S89" s="5"/>
      <c r="T89" s="5"/>
      <c r="U89" s="5"/>
      <c r="V89" s="5"/>
      <c r="W89" s="5"/>
      <c r="X89" s="5"/>
      <c r="Y89" s="5"/>
      <c r="Z89" s="5"/>
      <c r="AA89" s="5"/>
      <c r="AB89" s="5"/>
      <c r="AC89" s="5"/>
      <c r="AD89" s="5"/>
      <c r="AE89" s="5"/>
      <c r="AF89" s="5"/>
      <c r="AG89" s="5"/>
      <c r="AH89" s="5"/>
      <c r="AI89" s="5"/>
      <c r="AJ89" s="5"/>
      <c r="AK89" s="5"/>
      <c r="AL89" s="5"/>
      <c r="AM89" s="5"/>
      <c r="AN89" s="5"/>
    </row>
    <row r="90" spans="2:40" x14ac:dyDescent="0.3">
      <c r="B90" s="5"/>
      <c r="C90" s="5"/>
      <c r="D90" s="5"/>
      <c r="E90" s="5"/>
      <c r="F90" s="5"/>
      <c r="G90" s="5"/>
      <c r="H90" s="5"/>
      <c r="I90" s="5"/>
      <c r="J90" s="5"/>
      <c r="K90" s="5"/>
      <c r="L90" s="5"/>
      <c r="M90" s="5"/>
      <c r="N90" s="5"/>
      <c r="O90" s="5"/>
      <c r="P90" s="5"/>
      <c r="Q90" s="5"/>
      <c r="R90" s="5"/>
      <c r="S90" s="5"/>
      <c r="T90" s="5"/>
      <c r="U90" s="5"/>
      <c r="V90" s="5"/>
      <c r="W90" s="5"/>
      <c r="X90" s="5"/>
      <c r="Y90" s="5"/>
      <c r="Z90" s="5"/>
      <c r="AA90" s="5"/>
      <c r="AB90" s="5"/>
      <c r="AC90" s="5"/>
      <c r="AD90" s="5"/>
      <c r="AE90" s="5"/>
      <c r="AF90" s="5"/>
      <c r="AG90" s="5"/>
      <c r="AH90" s="5"/>
      <c r="AI90" s="5"/>
      <c r="AJ90" s="5"/>
      <c r="AK90" s="5"/>
      <c r="AL90" s="5"/>
      <c r="AM90" s="5"/>
      <c r="AN90" s="5"/>
    </row>
    <row r="91" spans="2:40" x14ac:dyDescent="0.3">
      <c r="B91" s="5"/>
      <c r="C91" s="5"/>
      <c r="D91" s="5"/>
      <c r="E91" s="5"/>
      <c r="F91" s="5"/>
      <c r="G91" s="5"/>
      <c r="H91" s="5"/>
      <c r="I91" s="5"/>
      <c r="J91" s="5"/>
      <c r="K91" s="5"/>
      <c r="L91" s="5"/>
      <c r="M91" s="5"/>
      <c r="N91" s="5"/>
      <c r="O91" s="5"/>
      <c r="P91" s="5"/>
      <c r="Q91" s="5"/>
      <c r="R91" s="5"/>
      <c r="S91" s="5"/>
      <c r="T91" s="5"/>
      <c r="U91" s="5"/>
      <c r="V91" s="5"/>
      <c r="W91" s="5"/>
      <c r="X91" s="5"/>
      <c r="Y91" s="5"/>
      <c r="Z91" s="5"/>
      <c r="AA91" s="5"/>
      <c r="AB91" s="5"/>
      <c r="AC91" s="5"/>
      <c r="AD91" s="5"/>
      <c r="AE91" s="5"/>
      <c r="AF91" s="5"/>
      <c r="AG91" s="5"/>
      <c r="AH91" s="5"/>
      <c r="AI91" s="5"/>
      <c r="AJ91" s="5"/>
      <c r="AK91" s="5"/>
      <c r="AL91" s="5"/>
      <c r="AM91" s="5"/>
      <c r="AN91" s="5"/>
    </row>
    <row r="92" spans="2:40" x14ac:dyDescent="0.3">
      <c r="B92" s="5"/>
      <c r="C92" s="5"/>
      <c r="D92" s="5"/>
      <c r="E92" s="5"/>
      <c r="F92" s="5"/>
      <c r="G92" s="5"/>
      <c r="H92" s="5"/>
      <c r="I92" s="5"/>
      <c r="J92" s="5"/>
      <c r="K92" s="5"/>
      <c r="L92" s="5"/>
      <c r="M92" s="5"/>
      <c r="N92" s="5"/>
      <c r="O92" s="5"/>
      <c r="P92" s="5"/>
      <c r="Q92" s="5"/>
      <c r="R92" s="5"/>
      <c r="S92" s="5"/>
      <c r="T92" s="5"/>
      <c r="U92" s="5"/>
      <c r="V92" s="5"/>
      <c r="W92" s="5"/>
      <c r="X92" s="5"/>
      <c r="Y92" s="5"/>
      <c r="Z92" s="5"/>
      <c r="AA92" s="5"/>
      <c r="AB92" s="5"/>
      <c r="AC92" s="5"/>
      <c r="AD92" s="5"/>
      <c r="AE92" s="5"/>
      <c r="AF92" s="5"/>
      <c r="AG92" s="5"/>
      <c r="AH92" s="5"/>
      <c r="AI92" s="5"/>
      <c r="AJ92" s="5"/>
      <c r="AK92" s="5"/>
      <c r="AL92" s="5"/>
      <c r="AM92" s="5"/>
      <c r="AN92" s="5"/>
    </row>
    <row r="93" spans="2:40" x14ac:dyDescent="0.3">
      <c r="B93" s="5"/>
      <c r="C93" s="5"/>
      <c r="D93" s="5"/>
      <c r="E93" s="5"/>
      <c r="F93" s="5"/>
      <c r="G93" s="5"/>
      <c r="H93" s="5"/>
      <c r="I93" s="5"/>
      <c r="J93" s="5"/>
      <c r="K93" s="5"/>
      <c r="L93" s="5"/>
      <c r="M93" s="5"/>
      <c r="N93" s="5"/>
      <c r="O93" s="5"/>
      <c r="P93" s="5"/>
      <c r="Q93" s="5"/>
      <c r="R93" s="5"/>
      <c r="S93" s="5"/>
      <c r="T93" s="5"/>
      <c r="U93" s="5"/>
      <c r="V93" s="5"/>
      <c r="W93" s="5"/>
      <c r="X93" s="5"/>
      <c r="Y93" s="5"/>
      <c r="Z93" s="5"/>
      <c r="AA93" s="5"/>
      <c r="AB93" s="5"/>
      <c r="AC93" s="5"/>
      <c r="AD93" s="5"/>
      <c r="AE93" s="5"/>
      <c r="AF93" s="5"/>
      <c r="AG93" s="5"/>
      <c r="AH93" s="5"/>
      <c r="AI93" s="5"/>
      <c r="AJ93" s="5"/>
      <c r="AK93" s="5"/>
      <c r="AL93" s="5"/>
      <c r="AM93" s="5"/>
      <c r="AN93" s="5"/>
    </row>
    <row r="94" spans="2:40" x14ac:dyDescent="0.3">
      <c r="B94" s="5"/>
      <c r="C94" s="5"/>
      <c r="D94" s="5"/>
      <c r="E94" s="5"/>
      <c r="F94" s="5"/>
      <c r="G94" s="5"/>
      <c r="H94" s="5"/>
      <c r="I94" s="5"/>
      <c r="J94" s="5"/>
      <c r="K94" s="5"/>
      <c r="L94" s="5"/>
      <c r="M94" s="5"/>
      <c r="N94" s="5"/>
      <c r="O94" s="5"/>
      <c r="P94" s="5"/>
      <c r="Q94" s="5"/>
      <c r="R94" s="5"/>
      <c r="S94" s="5"/>
      <c r="T94" s="5"/>
      <c r="U94" s="5"/>
      <c r="V94" s="5"/>
      <c r="W94" s="5"/>
      <c r="X94" s="5"/>
      <c r="Y94" s="5"/>
      <c r="Z94" s="5"/>
      <c r="AA94" s="5"/>
      <c r="AB94" s="5"/>
      <c r="AC94" s="5"/>
      <c r="AD94" s="5"/>
      <c r="AE94" s="5"/>
      <c r="AF94" s="5"/>
      <c r="AG94" s="5"/>
      <c r="AH94" s="5"/>
      <c r="AI94" s="5"/>
      <c r="AJ94" s="5"/>
      <c r="AK94" s="5"/>
      <c r="AL94" s="5"/>
      <c r="AM94" s="5"/>
      <c r="AN94" s="5"/>
    </row>
    <row r="95" spans="2:40" x14ac:dyDescent="0.3">
      <c r="B95" s="5"/>
      <c r="C95" s="5"/>
      <c r="D95" s="5"/>
      <c r="E95" s="5"/>
      <c r="F95" s="5"/>
      <c r="G95" s="5"/>
      <c r="H95" s="5"/>
      <c r="I95" s="5"/>
      <c r="J95" s="5"/>
      <c r="K95" s="5"/>
      <c r="L95" s="5"/>
      <c r="M95" s="5"/>
      <c r="N95" s="5"/>
      <c r="O95" s="5"/>
      <c r="P95" s="5"/>
      <c r="Q95" s="5"/>
      <c r="R95" s="5"/>
      <c r="S95" s="5"/>
      <c r="T95" s="5"/>
      <c r="U95" s="5"/>
      <c r="V95" s="5"/>
      <c r="W95" s="5"/>
      <c r="X95" s="5"/>
      <c r="Y95" s="5"/>
      <c r="Z95" s="5"/>
      <c r="AA95" s="5"/>
      <c r="AB95" s="5"/>
      <c r="AC95" s="5"/>
      <c r="AD95" s="5"/>
      <c r="AE95" s="5"/>
      <c r="AF95" s="5"/>
      <c r="AG95" s="5"/>
      <c r="AH95" s="5"/>
      <c r="AI95" s="5"/>
      <c r="AJ95" s="5"/>
      <c r="AK95" s="5"/>
      <c r="AL95" s="5"/>
      <c r="AM95" s="5"/>
      <c r="AN95" s="5"/>
    </row>
    <row r="96" spans="2:40" x14ac:dyDescent="0.3">
      <c r="B96" s="5"/>
      <c r="C96" s="5"/>
      <c r="D96" s="5"/>
      <c r="E96" s="5"/>
      <c r="F96" s="5"/>
      <c r="G96" s="5"/>
      <c r="H96" s="5"/>
      <c r="I96" s="5"/>
      <c r="J96" s="5"/>
      <c r="K96" s="5"/>
      <c r="L96" s="5"/>
      <c r="M96" s="5"/>
      <c r="N96" s="5"/>
      <c r="O96" s="5"/>
      <c r="P96" s="5"/>
      <c r="Q96" s="5"/>
      <c r="R96" s="5"/>
      <c r="S96" s="5"/>
      <c r="T96" s="5"/>
      <c r="U96" s="5"/>
      <c r="V96" s="5"/>
      <c r="W96" s="5"/>
      <c r="X96" s="5"/>
      <c r="Y96" s="5"/>
      <c r="Z96" s="5"/>
      <c r="AA96" s="5"/>
      <c r="AB96" s="5"/>
      <c r="AC96" s="5"/>
      <c r="AD96" s="5"/>
      <c r="AE96" s="5"/>
      <c r="AF96" s="5"/>
      <c r="AG96" s="5"/>
      <c r="AH96" s="5"/>
      <c r="AI96" s="5"/>
      <c r="AJ96" s="5"/>
      <c r="AK96" s="5"/>
      <c r="AL96" s="5"/>
      <c r="AM96" s="5"/>
      <c r="AN96" s="5"/>
    </row>
    <row r="97" spans="2:40" x14ac:dyDescent="0.3">
      <c r="B97" s="5"/>
      <c r="C97" s="5"/>
      <c r="D97" s="5"/>
      <c r="E97" s="5"/>
      <c r="F97" s="5"/>
      <c r="G97" s="5"/>
      <c r="H97" s="5"/>
      <c r="I97" s="5"/>
      <c r="J97" s="5"/>
      <c r="K97" s="5"/>
      <c r="L97" s="5"/>
      <c r="M97" s="5"/>
      <c r="N97" s="5"/>
      <c r="O97" s="5"/>
      <c r="P97" s="5"/>
      <c r="Q97" s="5"/>
      <c r="R97" s="5"/>
      <c r="S97" s="5"/>
      <c r="T97" s="5"/>
      <c r="U97" s="5"/>
      <c r="V97" s="5"/>
      <c r="W97" s="5"/>
      <c r="X97" s="5"/>
      <c r="Y97" s="5"/>
      <c r="Z97" s="5"/>
      <c r="AA97" s="5"/>
      <c r="AB97" s="5"/>
      <c r="AC97" s="5"/>
      <c r="AD97" s="5"/>
      <c r="AE97" s="5"/>
      <c r="AF97" s="5"/>
      <c r="AG97" s="5"/>
      <c r="AH97" s="5"/>
      <c r="AI97" s="5"/>
      <c r="AJ97" s="5"/>
      <c r="AK97" s="5"/>
      <c r="AL97" s="5"/>
      <c r="AM97" s="5"/>
      <c r="AN97" s="5"/>
    </row>
    <row r="98" spans="2:40" x14ac:dyDescent="0.3">
      <c r="B98" s="5"/>
      <c r="C98" s="5"/>
      <c r="D98" s="5"/>
      <c r="E98" s="5"/>
      <c r="F98" s="5"/>
      <c r="G98" s="5"/>
      <c r="H98" s="5"/>
      <c r="I98" s="5"/>
      <c r="J98" s="5"/>
      <c r="K98" s="5"/>
      <c r="L98" s="5"/>
      <c r="M98" s="5"/>
      <c r="N98" s="5"/>
      <c r="O98" s="5"/>
      <c r="P98" s="5"/>
      <c r="Q98" s="5"/>
      <c r="R98" s="5"/>
      <c r="S98" s="5"/>
      <c r="T98" s="5"/>
      <c r="U98" s="5"/>
      <c r="V98" s="5"/>
      <c r="W98" s="5"/>
      <c r="X98" s="5"/>
      <c r="Y98" s="5"/>
      <c r="Z98" s="5"/>
      <c r="AA98" s="5"/>
      <c r="AB98" s="5"/>
      <c r="AC98" s="5"/>
      <c r="AD98" s="5"/>
      <c r="AE98" s="5"/>
      <c r="AF98" s="5"/>
      <c r="AG98" s="5"/>
      <c r="AH98" s="5"/>
      <c r="AI98" s="5"/>
      <c r="AJ98" s="5"/>
      <c r="AK98" s="5"/>
      <c r="AL98" s="5"/>
      <c r="AM98" s="5"/>
      <c r="AN98" s="5"/>
    </row>
    <row r="99" spans="2:40" x14ac:dyDescent="0.3">
      <c r="B99" s="5"/>
      <c r="C99" s="5"/>
      <c r="D99" s="5"/>
      <c r="E99" s="5"/>
      <c r="F99" s="5"/>
      <c r="G99" s="5"/>
      <c r="H99" s="5"/>
      <c r="I99" s="5"/>
      <c r="J99" s="5"/>
      <c r="K99" s="5"/>
      <c r="L99" s="5"/>
      <c r="M99" s="5"/>
      <c r="N99" s="5"/>
      <c r="O99" s="5"/>
      <c r="P99" s="5"/>
      <c r="Q99" s="5"/>
      <c r="R99" s="5"/>
      <c r="S99" s="5"/>
      <c r="T99" s="5"/>
      <c r="U99" s="5"/>
      <c r="V99" s="5"/>
      <c r="W99" s="5"/>
      <c r="X99" s="5"/>
      <c r="Y99" s="5"/>
      <c r="Z99" s="5"/>
      <c r="AA99" s="5"/>
      <c r="AB99" s="5"/>
      <c r="AC99" s="5"/>
      <c r="AD99" s="5"/>
      <c r="AE99" s="5"/>
      <c r="AF99" s="5"/>
      <c r="AG99" s="5"/>
      <c r="AH99" s="5"/>
      <c r="AI99" s="5"/>
      <c r="AJ99" s="5"/>
      <c r="AK99" s="5"/>
      <c r="AL99" s="5"/>
      <c r="AM99" s="5"/>
      <c r="AN99" s="5"/>
    </row>
    <row r="100" spans="2:40" x14ac:dyDescent="0.3">
      <c r="B100" s="5"/>
      <c r="C100" s="5"/>
      <c r="D100" s="5"/>
      <c r="E100" s="5"/>
      <c r="F100" s="5"/>
      <c r="G100" s="5"/>
      <c r="H100" s="5"/>
      <c r="I100" s="5"/>
      <c r="J100" s="5"/>
      <c r="K100" s="5"/>
      <c r="L100" s="5"/>
      <c r="M100" s="5"/>
      <c r="N100" s="5"/>
      <c r="O100" s="5"/>
      <c r="P100" s="5"/>
      <c r="Q100" s="5"/>
      <c r="R100" s="5"/>
      <c r="S100" s="5"/>
      <c r="T100" s="5"/>
      <c r="U100" s="5"/>
      <c r="V100" s="5"/>
      <c r="W100" s="5"/>
      <c r="X100" s="5"/>
      <c r="Y100" s="5"/>
      <c r="Z100" s="5"/>
      <c r="AA100" s="5"/>
      <c r="AB100" s="5"/>
      <c r="AC100" s="5"/>
      <c r="AD100" s="5"/>
      <c r="AE100" s="5"/>
      <c r="AF100" s="5"/>
      <c r="AG100" s="5"/>
      <c r="AH100" s="5"/>
      <c r="AI100" s="5"/>
      <c r="AJ100" s="5"/>
      <c r="AK100" s="5"/>
      <c r="AL100" s="5"/>
      <c r="AM100" s="5"/>
      <c r="AN100" s="5"/>
    </row>
    <row r="101" spans="2:40" x14ac:dyDescent="0.3">
      <c r="B101" s="5"/>
      <c r="C101" s="5"/>
      <c r="D101" s="5"/>
      <c r="E101" s="5"/>
      <c r="F101" s="5"/>
      <c r="G101" s="5"/>
      <c r="H101" s="5"/>
      <c r="I101" s="5"/>
      <c r="J101" s="5"/>
      <c r="K101" s="5"/>
      <c r="L101" s="5"/>
      <c r="M101" s="5"/>
      <c r="N101" s="5"/>
      <c r="O101" s="5"/>
      <c r="P101" s="5"/>
      <c r="Q101" s="5"/>
      <c r="R101" s="5"/>
      <c r="S101" s="5"/>
      <c r="T101" s="5"/>
      <c r="U101" s="5"/>
      <c r="V101" s="5"/>
      <c r="W101" s="5"/>
      <c r="X101" s="5"/>
      <c r="Y101" s="5"/>
      <c r="Z101" s="5"/>
      <c r="AA101" s="5"/>
      <c r="AB101" s="5"/>
      <c r="AC101" s="5"/>
      <c r="AD101" s="5"/>
      <c r="AE101" s="5"/>
      <c r="AF101" s="5"/>
      <c r="AG101" s="5"/>
      <c r="AH101" s="5"/>
      <c r="AI101" s="5"/>
      <c r="AJ101" s="5"/>
      <c r="AK101" s="5"/>
      <c r="AL101" s="5"/>
      <c r="AM101" s="5"/>
      <c r="AN101" s="5"/>
    </row>
  </sheetData>
  <pageMargins left="0.7" right="0.7" top="0.75" bottom="0.75" header="0.3" footer="0.3"/>
  <ignoredErrors>
    <ignoredError sqref="AL8:AN8" formula="1"/>
  </ignoredErrors>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5FF72-B7AE-4838-8133-38A16456AD08}">
  <sheetPr>
    <tabColor rgb="FF1F3864"/>
  </sheetPr>
  <dimension ref="A1:AN101"/>
  <sheetViews>
    <sheetView showGridLines="0" workbookViewId="0">
      <pane xSplit="1" ySplit="2" topLeftCell="AL3" activePane="bottomRight" state="frozen"/>
      <selection pane="topRight" activeCell="B1" sqref="B1"/>
      <selection pane="bottomLeft" activeCell="A3" sqref="A3"/>
      <selection pane="bottomRight" activeCell="AQ25" sqref="AQ25"/>
    </sheetView>
  </sheetViews>
  <sheetFormatPr defaultRowHeight="14.4" x14ac:dyDescent="0.3"/>
  <cols>
    <col min="1" max="1" width="26.33203125" bestFit="1" customWidth="1"/>
    <col min="2" max="2" width="11" bestFit="1" customWidth="1"/>
    <col min="3" max="7" width="10" bestFit="1" customWidth="1"/>
    <col min="8" max="40" width="11" bestFit="1" customWidth="1"/>
  </cols>
  <sheetData>
    <row r="1" spans="1:40" ht="24" customHeight="1" thickBot="1" x14ac:dyDescent="0.35">
      <c r="A1" s="209" t="str" cm="1">
        <f t="array" ref="A1:AK2">'23_Time'!A1:AK2</f>
        <v>Month Index</v>
      </c>
      <c r="B1" s="141">
        <v>1</v>
      </c>
      <c r="C1" s="141">
        <v>2</v>
      </c>
      <c r="D1" s="141">
        <v>3</v>
      </c>
      <c r="E1" s="141">
        <v>4</v>
      </c>
      <c r="F1" s="141">
        <v>5</v>
      </c>
      <c r="G1" s="141">
        <v>6</v>
      </c>
      <c r="H1" s="141">
        <v>7</v>
      </c>
      <c r="I1" s="141">
        <v>8</v>
      </c>
      <c r="J1" s="141">
        <v>9</v>
      </c>
      <c r="K1" s="141">
        <v>10</v>
      </c>
      <c r="L1" s="141">
        <v>11</v>
      </c>
      <c r="M1" s="141">
        <v>12</v>
      </c>
      <c r="N1" s="141">
        <v>13</v>
      </c>
      <c r="O1" s="141">
        <v>14</v>
      </c>
      <c r="P1" s="141">
        <v>15</v>
      </c>
      <c r="Q1" s="141">
        <v>16</v>
      </c>
      <c r="R1" s="141">
        <v>17</v>
      </c>
      <c r="S1" s="141">
        <v>18</v>
      </c>
      <c r="T1" s="141">
        <v>19</v>
      </c>
      <c r="U1" s="141">
        <v>20</v>
      </c>
      <c r="V1" s="141">
        <v>21</v>
      </c>
      <c r="W1" s="141">
        <v>22</v>
      </c>
      <c r="X1" s="141">
        <v>23</v>
      </c>
      <c r="Y1" s="141">
        <v>24</v>
      </c>
      <c r="Z1" s="141">
        <v>25</v>
      </c>
      <c r="AA1" s="141">
        <v>26</v>
      </c>
      <c r="AB1" s="141">
        <v>27</v>
      </c>
      <c r="AC1" s="141">
        <v>28</v>
      </c>
      <c r="AD1" s="141">
        <v>29</v>
      </c>
      <c r="AE1" s="141">
        <v>30</v>
      </c>
      <c r="AF1" s="141">
        <v>31</v>
      </c>
      <c r="AG1" s="141">
        <v>32</v>
      </c>
      <c r="AH1" s="141">
        <v>33</v>
      </c>
      <c r="AI1" s="141">
        <v>34</v>
      </c>
      <c r="AJ1" s="141">
        <v>35</v>
      </c>
      <c r="AK1" s="142">
        <v>36</v>
      </c>
      <c r="AL1" s="126"/>
      <c r="AM1" s="126"/>
      <c r="AN1" s="126"/>
    </row>
    <row r="2" spans="1:40" ht="15" thickBot="1" x14ac:dyDescent="0.35">
      <c r="A2" s="132" t="str">
        <v>Month Label</v>
      </c>
      <c r="B2" s="184" t="str">
        <v>M1</v>
      </c>
      <c r="C2" s="184" t="str">
        <v>M2</v>
      </c>
      <c r="D2" s="184" t="str">
        <v>M3</v>
      </c>
      <c r="E2" s="184" t="str">
        <v>M4</v>
      </c>
      <c r="F2" s="184" t="str">
        <v>M5</v>
      </c>
      <c r="G2" s="184" t="str">
        <v>M6</v>
      </c>
      <c r="H2" s="184" t="str">
        <v>M7</v>
      </c>
      <c r="I2" s="184" t="str">
        <v>M8</v>
      </c>
      <c r="J2" s="184" t="str">
        <v>M9</v>
      </c>
      <c r="K2" s="184" t="str">
        <v>M10</v>
      </c>
      <c r="L2" s="184" t="str">
        <v>M11</v>
      </c>
      <c r="M2" s="184" t="str">
        <v>M12</v>
      </c>
      <c r="N2" s="184" t="str">
        <v>M13</v>
      </c>
      <c r="O2" s="184" t="str">
        <v>M14</v>
      </c>
      <c r="P2" s="184" t="str">
        <v>M15</v>
      </c>
      <c r="Q2" s="184" t="str">
        <v>M16</v>
      </c>
      <c r="R2" s="184" t="str">
        <v>M17</v>
      </c>
      <c r="S2" s="184" t="str">
        <v>M18</v>
      </c>
      <c r="T2" s="184" t="str">
        <v>M19</v>
      </c>
      <c r="U2" s="184" t="str">
        <v>M20</v>
      </c>
      <c r="V2" s="184" t="str">
        <v>M21</v>
      </c>
      <c r="W2" s="184" t="str">
        <v>M22</v>
      </c>
      <c r="X2" s="184" t="str">
        <v>M23</v>
      </c>
      <c r="Y2" s="184" t="str">
        <v>M24</v>
      </c>
      <c r="Z2" s="184" t="str">
        <v>M25</v>
      </c>
      <c r="AA2" s="184" t="str">
        <v>M26</v>
      </c>
      <c r="AB2" s="184" t="str">
        <v>M27</v>
      </c>
      <c r="AC2" s="184" t="str">
        <v>M28</v>
      </c>
      <c r="AD2" s="184" t="str">
        <v>M29</v>
      </c>
      <c r="AE2" s="184" t="str">
        <v>M30</v>
      </c>
      <c r="AF2" s="184" t="str">
        <v>M31</v>
      </c>
      <c r="AG2" s="184" t="str">
        <v>M32</v>
      </c>
      <c r="AH2" s="184" t="str">
        <v>M33</v>
      </c>
      <c r="AI2" s="184" t="str">
        <v>M34</v>
      </c>
      <c r="AJ2" s="184" t="str">
        <v>M35</v>
      </c>
      <c r="AK2" s="184" t="str">
        <v>M36</v>
      </c>
      <c r="AL2" s="210" t="s">
        <v>259</v>
      </c>
      <c r="AM2" s="211" t="s">
        <v>260</v>
      </c>
      <c r="AN2" s="212" t="s">
        <v>261</v>
      </c>
    </row>
    <row r="3" spans="1:40" x14ac:dyDescent="0.3">
      <c r="A3" s="213" t="s">
        <v>62</v>
      </c>
      <c r="B3" s="148"/>
      <c r="C3" s="148"/>
      <c r="D3" s="148"/>
      <c r="E3" s="148"/>
      <c r="F3" s="148"/>
      <c r="G3" s="148"/>
      <c r="H3" s="148"/>
      <c r="I3" s="148"/>
      <c r="J3" s="148"/>
      <c r="K3" s="148"/>
      <c r="L3" s="148"/>
      <c r="M3" s="148"/>
      <c r="N3" s="148"/>
      <c r="O3" s="148"/>
      <c r="P3" s="148"/>
      <c r="Q3" s="148"/>
      <c r="R3" s="148"/>
      <c r="S3" s="148"/>
      <c r="T3" s="148"/>
      <c r="U3" s="148"/>
      <c r="V3" s="148"/>
      <c r="W3" s="148"/>
      <c r="X3" s="148"/>
      <c r="Y3" s="148"/>
      <c r="Z3" s="148"/>
      <c r="AA3" s="148"/>
      <c r="AB3" s="148"/>
      <c r="AC3" s="148"/>
      <c r="AD3" s="148"/>
      <c r="AE3" s="148"/>
      <c r="AF3" s="148"/>
      <c r="AG3" s="148"/>
      <c r="AH3" s="148"/>
      <c r="AI3" s="148"/>
      <c r="AJ3" s="148"/>
      <c r="AK3" s="148"/>
      <c r="AL3" s="202"/>
      <c r="AM3" s="148"/>
      <c r="AN3" s="195"/>
    </row>
    <row r="4" spans="1:40" x14ac:dyDescent="0.3">
      <c r="A4" s="214" t="s">
        <v>63</v>
      </c>
      <c r="B4" s="189">
        <f>'36_Inputs_Funding'!B2+'11_Cash_Flow'!B14</f>
        <v>6017852.4848484844</v>
      </c>
      <c r="C4" s="189">
        <f>B4+'11_Cash_Flow'!C14</f>
        <v>4743304.9879247444</v>
      </c>
      <c r="D4" s="189">
        <f>C4+'11_Cash_Flow'!D14</f>
        <v>3481708.2396822153</v>
      </c>
      <c r="E4" s="189">
        <f>D4+'11_Cash_Flow'!E14</f>
        <v>3228978.2630430111</v>
      </c>
      <c r="F4" s="189">
        <f>E4+'11_Cash_Flow'!F14</f>
        <v>3976878.0358263496</v>
      </c>
      <c r="G4" s="189">
        <f>F4+'11_Cash_Flow'!G14</f>
        <v>2729684.1334284358</v>
      </c>
      <c r="H4" s="189">
        <f>G4+'11_Cash_Flow'!H14</f>
        <v>10459670.717619456</v>
      </c>
      <c r="I4" s="189">
        <f>H4+'11_Cash_Flow'!I14</f>
        <v>9125298.8713232689</v>
      </c>
      <c r="J4" s="189">
        <f>I4+'11_Cash_Flow'!J14</f>
        <v>7646976.6038842723</v>
      </c>
      <c r="K4" s="189">
        <f>J4+'11_Cash_Flow'!K14</f>
        <v>6118560.0262367139</v>
      </c>
      <c r="L4" s="189">
        <f>K4+'11_Cash_Flow'!L14</f>
        <v>4526835.4290680364</v>
      </c>
      <c r="M4" s="189">
        <f>L4+'11_Cash_Flow'!M14</f>
        <v>12874133.930565173</v>
      </c>
      <c r="N4" s="189">
        <f>M4+'11_Cash_Flow'!N14</f>
        <v>11153889.422529377</v>
      </c>
      <c r="O4" s="189">
        <f>N4+'11_Cash_Flow'!O14</f>
        <v>9150211.7774353102</v>
      </c>
      <c r="P4" s="189">
        <f>O4+'11_Cash_Flow'!P14</f>
        <v>7178264.7888214635</v>
      </c>
      <c r="Q4" s="189">
        <f>P4+'11_Cash_Flow'!Q14</f>
        <v>5247055.3670738414</v>
      </c>
      <c r="R4" s="189">
        <f>Q4+'11_Cash_Flow'!R14</f>
        <v>3351614.4251126042</v>
      </c>
      <c r="S4" s="189">
        <f>R4+'11_Cash_Flow'!S14</f>
        <v>1493716.7909960379</v>
      </c>
      <c r="T4" s="189">
        <f>S4+'11_Cash_Flow'!T14</f>
        <v>39681899.418511361</v>
      </c>
      <c r="U4" s="189">
        <f>T4+'11_Cash_Flow'!U14</f>
        <v>37770023.696954951</v>
      </c>
      <c r="V4" s="189">
        <f>U4+'11_Cash_Flow'!V14</f>
        <v>35298329.611050531</v>
      </c>
      <c r="W4" s="189">
        <f>V4+'11_Cash_Flow'!W14</f>
        <v>32845344.124347519</v>
      </c>
      <c r="X4" s="189">
        <f>W4+'11_Cash_Flow'!X14</f>
        <v>30410824.444926787</v>
      </c>
      <c r="Y4" s="189">
        <f>X4+'11_Cash_Flow'!Y14</f>
        <v>28023148.689547006</v>
      </c>
      <c r="Z4" s="189">
        <f>Y4+'11_Cash_Flow'!Z14</f>
        <v>25710428.084922865</v>
      </c>
      <c r="AA4" s="189">
        <f>Z4+'11_Cash_Flow'!AA14</f>
        <v>23494615.19903589</v>
      </c>
      <c r="AB4" s="189">
        <f>AA4+'11_Cash_Flow'!AB14</f>
        <v>21361642.545743871</v>
      </c>
      <c r="AC4" s="189">
        <f>AB4+'11_Cash_Flow'!AC14</f>
        <v>19309159.877129886</v>
      </c>
      <c r="AD4" s="189">
        <f>AC4+'11_Cash_Flow'!AD14</f>
        <v>17350062.451622117</v>
      </c>
      <c r="AE4" s="189">
        <f>AD4+'11_Cash_Flow'!AE14</f>
        <v>15470798.541719556</v>
      </c>
      <c r="AF4" s="189">
        <f>AE4+'11_Cash_Flow'!AF14</f>
        <v>13683146.422991501</v>
      </c>
      <c r="AG4" s="189">
        <f>AF4+'11_Cash_Flow'!AG14</f>
        <v>11994339.065711124</v>
      </c>
      <c r="AH4" s="189">
        <f>AG4+'11_Cash_Flow'!AH14</f>
        <v>10391308.73188002</v>
      </c>
      <c r="AI4" s="189">
        <f>AH4+'11_Cash_Flow'!AI14</f>
        <v>8898161.6633593515</v>
      </c>
      <c r="AJ4" s="189">
        <f>AI4+'11_Cash_Flow'!AJ14</f>
        <v>7525045.0312134521</v>
      </c>
      <c r="AK4" s="189">
        <f>AJ4+'11_Cash_Flow'!AK14</f>
        <v>6274006.3020740934</v>
      </c>
      <c r="AL4" s="200">
        <f>M4</f>
        <v>12874133.930565173</v>
      </c>
      <c r="AM4" s="199">
        <f>Y4</f>
        <v>28023148.689547006</v>
      </c>
      <c r="AN4" s="201">
        <f>AK4</f>
        <v>6274006.3020740934</v>
      </c>
    </row>
    <row r="5" spans="1:40" x14ac:dyDescent="0.3">
      <c r="A5" s="214" t="s">
        <v>176</v>
      </c>
      <c r="B5" s="189">
        <f>'44_Working_Capital'!B7</f>
        <v>5022.727272727273</v>
      </c>
      <c r="C5" s="189">
        <f>'44_Working_Capital'!C7</f>
        <v>10089.578893901322</v>
      </c>
      <c r="D5" s="189">
        <f>'44_Working_Capital'!D7</f>
        <v>15204.995824393478</v>
      </c>
      <c r="E5" s="189">
        <f>'44_Working_Capital'!E7</f>
        <v>20373.416679392627</v>
      </c>
      <c r="F5" s="189">
        <f>'44_Working_Capital'!F7</f>
        <v>25599.281656798194</v>
      </c>
      <c r="G5" s="189">
        <f>'44_Working_Capital'!G7</f>
        <v>30887.036425238064</v>
      </c>
      <c r="H5" s="189">
        <f>'44_Working_Capital'!H7</f>
        <v>36241.135975550329</v>
      </c>
      <c r="I5" s="189">
        <f>'44_Working_Capital'!I7</f>
        <v>41666.048439495098</v>
      </c>
      <c r="J5" s="189">
        <f>'44_Working_Capital'!J7</f>
        <v>47166.258879393376</v>
      </c>
      <c r="K5" s="189">
        <f>'44_Working_Capital'!K7</f>
        <v>52746.273052325872</v>
      </c>
      <c r="L5" s="189">
        <f>'44_Working_Capital'!L7</f>
        <v>58410.621152462598</v>
      </c>
      <c r="M5" s="189">
        <f>'44_Working_Capital'!M7</f>
        <v>64163.861535038071</v>
      </c>
      <c r="N5" s="189">
        <f>'44_Working_Capital'!N7</f>
        <v>85723.2367193479</v>
      </c>
      <c r="O5" s="189">
        <f>'44_Working_Capital'!O7</f>
        <v>107227.21746144528</v>
      </c>
      <c r="P5" s="189">
        <f>'44_Working_Capital'!P7</f>
        <v>128695.74464313188</v>
      </c>
      <c r="Q5" s="189">
        <f>'44_Working_Capital'!Q7</f>
        <v>150148.518267957</v>
      </c>
      <c r="R5" s="189">
        <f>'44_Working_Capital'!R7</f>
        <v>171605.01731034915</v>
      </c>
      <c r="S5" s="189">
        <f>'44_Working_Capital'!S7</f>
        <v>193084.51915970491</v>
      </c>
      <c r="T5" s="189">
        <f>'44_Working_Capital'!T7</f>
        <v>214606.11868079574</v>
      </c>
      <c r="U5" s="189">
        <f>'44_Working_Capital'!U7</f>
        <v>265763.22225650481</v>
      </c>
      <c r="V5" s="189">
        <f>'44_Working_Capital'!V7</f>
        <v>316711.2160598787</v>
      </c>
      <c r="W5" s="189">
        <f>'44_Working_Capital'!W7</f>
        <v>367497.51050395385</v>
      </c>
      <c r="X5" s="189">
        <f>'44_Working_Capital'!X7</f>
        <v>418168.87208142964</v>
      </c>
      <c r="Y5" s="189">
        <f>'44_Working_Capital'!Y7</f>
        <v>468771.47123586928</v>
      </c>
      <c r="Z5" s="189">
        <f>'44_Working_Capital'!Z7</f>
        <v>519350.92920073221</v>
      </c>
      <c r="AA5" s="189">
        <f>'44_Working_Capital'!AA7</f>
        <v>569952.36385829223</v>
      </c>
      <c r="AB5" s="189">
        <f>'44_Working_Capital'!AB7</f>
        <v>620620.43466908438</v>
      </c>
      <c r="AC5" s="189">
        <f>'44_Working_Capital'!AC7</f>
        <v>671399.38672116818</v>
      </c>
      <c r="AD5" s="189">
        <f>'44_Working_Capital'!AD7</f>
        <v>722333.09394719929</v>
      </c>
      <c r="AE5" s="189">
        <f>'44_Working_Capital'!AE7</f>
        <v>773465.10155605781</v>
      </c>
      <c r="AF5" s="189">
        <f>'44_Working_Capital'!AF7</f>
        <v>824838.66772460227</v>
      </c>
      <c r="AG5" s="189">
        <f>'44_Working_Capital'!AG7</f>
        <v>876496.80459397612</v>
      </c>
      <c r="AH5" s="189">
        <f>'44_Working_Capital'!AH7</f>
        <v>928482.31861381582</v>
      </c>
      <c r="AI5" s="189">
        <f>'44_Working_Capital'!AI7</f>
        <v>980837.85027667845</v>
      </c>
      <c r="AJ5" s="189">
        <f>'44_Working_Capital'!AJ7</f>
        <v>1033605.9132840119</v>
      </c>
      <c r="AK5" s="189">
        <f>'44_Working_Capital'!AK7</f>
        <v>1086828.9331840661</v>
      </c>
      <c r="AL5" s="200">
        <f>M5</f>
        <v>64163.861535038071</v>
      </c>
      <c r="AM5" s="199">
        <f>Y5</f>
        <v>468771.47123586928</v>
      </c>
      <c r="AN5" s="201">
        <f>AK5</f>
        <v>1086828.9331840661</v>
      </c>
    </row>
    <row r="6" spans="1:40" x14ac:dyDescent="0.3">
      <c r="A6" s="214" t="s">
        <v>184</v>
      </c>
      <c r="B6" s="189">
        <f>'44_Working_Capital'!B6</f>
        <v>0</v>
      </c>
      <c r="C6" s="189">
        <f>'44_Working_Capital'!C6</f>
        <v>0</v>
      </c>
      <c r="D6" s="189">
        <f>'44_Working_Capital'!D6</f>
        <v>0</v>
      </c>
      <c r="E6" s="189">
        <f>'44_Working_Capital'!E6</f>
        <v>0</v>
      </c>
      <c r="F6" s="189">
        <f>'44_Working_Capital'!F6</f>
        <v>0</v>
      </c>
      <c r="G6" s="189">
        <f>'44_Working_Capital'!G6</f>
        <v>0</v>
      </c>
      <c r="H6" s="189">
        <f>'44_Working_Capital'!H6</f>
        <v>0</v>
      </c>
      <c r="I6" s="189">
        <f>'44_Working_Capital'!I6</f>
        <v>0</v>
      </c>
      <c r="J6" s="189">
        <f>'44_Working_Capital'!J6</f>
        <v>84899.265982908095</v>
      </c>
      <c r="K6" s="189">
        <f>'44_Working_Capital'!K6</f>
        <v>172767.61864518566</v>
      </c>
      <c r="L6" s="189">
        <f>'44_Working_Capital'!L6</f>
        <v>263509.43516585283</v>
      </c>
      <c r="M6" s="189">
        <f>'44_Working_Capital'!M6</f>
        <v>357045.26633176696</v>
      </c>
      <c r="N6" s="189">
        <f>'44_Working_Capital'!N6</f>
        <v>481593.32023227925</v>
      </c>
      <c r="O6" s="189">
        <f>'44_Working_Capital'!O6</f>
        <v>634469.53497685748</v>
      </c>
      <c r="P6" s="189">
        <f>'44_Working_Capital'!P6</f>
        <v>813249.41408642335</v>
      </c>
      <c r="Q6" s="189">
        <f>'44_Working_Capital'!Q6</f>
        <v>1015745.962461544</v>
      </c>
      <c r="R6" s="189">
        <f>'44_Working_Capital'!R6</f>
        <v>1239989.4967483771</v>
      </c>
      <c r="S6" s="189">
        <f>'44_Working_Capital'!S6</f>
        <v>1484209.1731734811</v>
      </c>
      <c r="T6" s="189">
        <f>'44_Working_Capital'!T6</f>
        <v>1746816.0890344568</v>
      </c>
      <c r="U6" s="189">
        <f>'44_Working_Capital'!U6</f>
        <v>2079621.8816766276</v>
      </c>
      <c r="V6" s="189">
        <f>'44_Working_Capital'!V6</f>
        <v>2476400.2471113573</v>
      </c>
      <c r="W6" s="189">
        <f>'44_Working_Capital'!W6</f>
        <v>2931529.0787591944</v>
      </c>
      <c r="X6" s="189">
        <f>'44_Working_Capital'!X6</f>
        <v>3439938.9586091684</v>
      </c>
      <c r="Y6" s="189">
        <f>'44_Working_Capital'!Y6</f>
        <v>3997066.0269496362</v>
      </c>
      <c r="Z6" s="189">
        <f>'44_Working_Capital'!Z6</f>
        <v>4598808.8639318179</v>
      </c>
      <c r="AA6" s="189">
        <f>'44_Working_Capital'!AA6</f>
        <v>5241489.0468824264</v>
      </c>
      <c r="AB6" s="189">
        <f>'44_Working_Capital'!AB6</f>
        <v>5921815.0753799099</v>
      </c>
      <c r="AC6" s="189">
        <f>'44_Working_Capital'!AC6</f>
        <v>6636849.3818630204</v>
      </c>
      <c r="AD6" s="189">
        <f>'44_Working_Capital'!AD6</f>
        <v>7383978.16914606</v>
      </c>
      <c r="AE6" s="189">
        <f>'44_Working_Capital'!AE6</f>
        <v>8160883.8378514601</v>
      </c>
      <c r="AF6" s="189">
        <f>'44_Working_Capital'!AF6</f>
        <v>8965519.7866014559</v>
      </c>
      <c r="AG6" s="189">
        <f>'44_Working_Capital'!AG6</f>
        <v>9796087.3859871589</v>
      </c>
      <c r="AH6" s="189">
        <f>'44_Working_Capital'!AH6</f>
        <v>10651014.943993097</v>
      </c>
      <c r="AI6" s="189">
        <f>'44_Working_Capital'!AI6</f>
        <v>11528938.495825028</v>
      </c>
      <c r="AJ6" s="189">
        <f>'44_Working_Capital'!AJ6</f>
        <v>12428684.265084164</v>
      </c>
      <c r="AK6" s="189">
        <f>'44_Working_Capital'!AK6</f>
        <v>13349252.65605847</v>
      </c>
      <c r="AL6" s="200">
        <f>M6</f>
        <v>357045.26633176696</v>
      </c>
      <c r="AM6" s="199">
        <f>Y6</f>
        <v>3997066.0269496362</v>
      </c>
      <c r="AN6" s="201">
        <f>AK6</f>
        <v>13349252.65605847</v>
      </c>
    </row>
    <row r="7" spans="1:40" ht="15" thickBot="1" x14ac:dyDescent="0.35">
      <c r="A7" s="214" t="s">
        <v>185</v>
      </c>
      <c r="B7" s="189">
        <f>'43_CAPEX_Depreciation'!B8</f>
        <v>59776</v>
      </c>
      <c r="C7" s="189">
        <f>'43_CAPEX_Depreciation'!C8</f>
        <v>117891.55555555556</v>
      </c>
      <c r="D7" s="189">
        <f>'43_CAPEX_Depreciation'!D8</f>
        <v>174392.7901234568</v>
      </c>
      <c r="E7" s="189">
        <f>'43_CAPEX_Depreciation'!E8</f>
        <v>229324.54595336076</v>
      </c>
      <c r="F7" s="189">
        <f>'43_CAPEX_Depreciation'!F8</f>
        <v>282730.41967687849</v>
      </c>
      <c r="G7" s="189">
        <f>'43_CAPEX_Depreciation'!G8</f>
        <v>334652.79690807633</v>
      </c>
      <c r="H7" s="189">
        <f>'43_CAPEX_Depreciation'!H8</f>
        <v>389548.88588285196</v>
      </c>
      <c r="I7" s="189">
        <f>'43_CAPEX_Depreciation'!I8</f>
        <v>445312.08349721716</v>
      </c>
      <c r="J7" s="189">
        <f>'43_CAPEX_Depreciation'!J8</f>
        <v>503942.30340007221</v>
      </c>
      <c r="K7" s="189">
        <f>'43_CAPEX_Depreciation'!K8</f>
        <v>563335.90608340362</v>
      </c>
      <c r="L7" s="189">
        <f>'43_CAPEX_Depreciation'!L8</f>
        <v>625495.68646997574</v>
      </c>
      <c r="M7" s="189">
        <f>'43_CAPEX_Depreciation'!M8</f>
        <v>688320.80629025423</v>
      </c>
      <c r="N7" s="189">
        <f>'43_CAPEX_Depreciation'!N8</f>
        <v>749400.78389330278</v>
      </c>
      <c r="O7" s="189">
        <f>'43_CAPEX_Depreciation'!O8</f>
        <v>808784.09545182216</v>
      </c>
      <c r="P7" s="189">
        <f>'43_CAPEX_Depreciation'!P8</f>
        <v>866517.87057816039</v>
      </c>
      <c r="Q7" s="189">
        <f>'43_CAPEX_Depreciation'!Q8</f>
        <v>922647.92972876702</v>
      </c>
      <c r="R7" s="189">
        <f>'43_CAPEX_Depreciation'!R8</f>
        <v>977218.82056963455</v>
      </c>
      <c r="S7" s="189">
        <f>'43_CAPEX_Depreciation'!S8</f>
        <v>1030273.853331589</v>
      </c>
      <c r="T7" s="189">
        <f>'43_CAPEX_Depreciation'!T8</f>
        <v>1081855.1351834894</v>
      </c>
      <c r="U7" s="189">
        <f>'43_CAPEX_Depreciation'!U8</f>
        <v>1136419.6036506146</v>
      </c>
      <c r="V7" s="189">
        <f>'43_CAPEX_Depreciation'!V8</f>
        <v>1191860.3924380976</v>
      </c>
      <c r="W7" s="189">
        <f>'43_CAPEX_Depreciation'!W8</f>
        <v>1250177.1593148171</v>
      </c>
      <c r="X7" s="189">
        <f>'43_CAPEX_Depreciation'!X8</f>
        <v>1309266.0160005165</v>
      </c>
      <c r="Y7" s="189">
        <f>'43_CAPEX_Depreciation'!Y8</f>
        <v>1369105.5155560577</v>
      </c>
      <c r="Z7" s="189">
        <f>'43_CAPEX_Depreciation'!Z8</f>
        <v>1427282.8067906117</v>
      </c>
      <c r="AA7" s="189">
        <f>'43_CAPEX_Depreciation'!AA8</f>
        <v>1483844.0621575392</v>
      </c>
      <c r="AB7" s="189">
        <f>'43_CAPEX_Depreciation'!AB8</f>
        <v>1541226.1715420519</v>
      </c>
      <c r="AC7" s="189">
        <f>'43_CAPEX_Depreciation'!AC8</f>
        <v>1599038.3334436617</v>
      </c>
      <c r="AD7" s="189">
        <f>'43_CAPEX_Depreciation'!AD8</f>
        <v>1655244.6019591156</v>
      </c>
      <c r="AE7" s="189">
        <f>'43_CAPEX_Depreciation'!AE8</f>
        <v>1712281.585238029</v>
      </c>
      <c r="AF7" s="189">
        <f>'43_CAPEX_Depreciation'!AF8</f>
        <v>1767734.207870306</v>
      </c>
      <c r="AG7" s="189">
        <f>'43_CAPEX_Depreciation'!AG8</f>
        <v>1823670.4798739087</v>
      </c>
      <c r="AH7" s="189">
        <f>'43_CAPEX_Depreciation'!AH8</f>
        <v>1880444.966544078</v>
      </c>
      <c r="AI7" s="189">
        <f>'43_CAPEX_Depreciation'!AI8</f>
        <v>1935642.3841400759</v>
      </c>
      <c r="AJ7" s="189">
        <f>'43_CAPEX_Depreciation'!AJ8</f>
        <v>1989306.540136185</v>
      </c>
      <c r="AK7" s="189">
        <f>'43_CAPEX_Depreciation'!AK8</f>
        <v>2041480.0251324021</v>
      </c>
      <c r="AL7" s="215">
        <f>M7</f>
        <v>688320.80629025423</v>
      </c>
      <c r="AM7" s="216">
        <f>Y7</f>
        <v>1369105.5155560577</v>
      </c>
      <c r="AN7" s="217">
        <f>AK7</f>
        <v>2041480.0251324021</v>
      </c>
    </row>
    <row r="8" spans="1:40" x14ac:dyDescent="0.3">
      <c r="A8" s="218" t="s">
        <v>64</v>
      </c>
      <c r="B8" s="186"/>
      <c r="C8" s="186"/>
      <c r="D8" s="186"/>
      <c r="E8" s="186"/>
      <c r="F8" s="186"/>
      <c r="G8" s="186"/>
      <c r="H8" s="186"/>
      <c r="I8" s="186"/>
      <c r="J8" s="186"/>
      <c r="K8" s="186"/>
      <c r="L8" s="186"/>
      <c r="M8" s="186"/>
      <c r="N8" s="186"/>
      <c r="O8" s="186"/>
      <c r="P8" s="186"/>
      <c r="Q8" s="186"/>
      <c r="R8" s="186"/>
      <c r="S8" s="186"/>
      <c r="T8" s="186"/>
      <c r="U8" s="186"/>
      <c r="V8" s="186"/>
      <c r="W8" s="186"/>
      <c r="X8" s="186"/>
      <c r="Y8" s="186"/>
      <c r="Z8" s="186"/>
      <c r="AA8" s="186"/>
      <c r="AB8" s="186"/>
      <c r="AC8" s="186"/>
      <c r="AD8" s="186"/>
      <c r="AE8" s="186"/>
      <c r="AF8" s="186"/>
      <c r="AG8" s="186"/>
      <c r="AH8" s="186"/>
      <c r="AI8" s="186"/>
      <c r="AJ8" s="186"/>
      <c r="AK8" s="186"/>
      <c r="AL8" s="202"/>
      <c r="AM8" s="148"/>
      <c r="AN8" s="195"/>
    </row>
    <row r="9" spans="1:40" x14ac:dyDescent="0.3">
      <c r="A9" s="214" t="s">
        <v>183</v>
      </c>
      <c r="B9" s="203">
        <f>'44_Working_Capital'!B8</f>
        <v>467671.21212121216</v>
      </c>
      <c r="C9" s="189">
        <f>'44_Working_Capital'!C8</f>
        <v>472851.24911211361</v>
      </c>
      <c r="D9" s="189">
        <f>'44_Working_Capital'!D8</f>
        <v>478124.33249821211</v>
      </c>
      <c r="E9" s="189">
        <f>'44_Working_Capital'!E8</f>
        <v>483493.01666921191</v>
      </c>
      <c r="F9" s="189">
        <f>'44_Working_Capital'!F8</f>
        <v>488959.88966469304</v>
      </c>
      <c r="G9" s="189">
        <f>'44_Working_Capital'!G8</f>
        <v>494527.57461838092</v>
      </c>
      <c r="H9" s="189">
        <f>'44_Working_Capital'!H8</f>
        <v>500198.73120844335</v>
      </c>
      <c r="I9" s="189">
        <f>'44_Working_Capital'!I8</f>
        <v>505976.05711483228</v>
      </c>
      <c r="J9" s="189">
        <f>'44_Working_Capital'!J8</f>
        <v>511862.28948468401</v>
      </c>
      <c r="K9" s="189">
        <f>'44_Working_Capital'!K8</f>
        <v>517860.20640677982</v>
      </c>
      <c r="L9" s="189">
        <f>'44_Working_Capital'!L8</f>
        <v>523972.6283960669</v>
      </c>
      <c r="M9" s="189">
        <f>'44_Working_Capital'!M8</f>
        <v>530202.41988922679</v>
      </c>
      <c r="N9" s="189">
        <f>'44_Working_Capital'!N8</f>
        <v>858811.31401053618</v>
      </c>
      <c r="O9" s="189">
        <f>'44_Working_Capital'!O8</f>
        <v>874778.77682562231</v>
      </c>
      <c r="P9" s="189">
        <f>'44_Working_Capital'!P8</f>
        <v>890972.48226195958</v>
      </c>
      <c r="Q9" s="189">
        <f>'44_Working_Capital'!Q8</f>
        <v>907401.03698692482</v>
      </c>
      <c r="R9" s="189">
        <f>'44_Working_Capital'!R8</f>
        <v>924073.09679540317</v>
      </c>
      <c r="S9" s="189">
        <f>'44_Working_Capital'!S8</f>
        <v>940997.37236527412</v>
      </c>
      <c r="T9" s="189">
        <f>'44_Working_Capital'!T8</f>
        <v>958182.63497349247</v>
      </c>
      <c r="U9" s="189">
        <f>'44_Working_Capital'!U8</f>
        <v>1561485.9777846341</v>
      </c>
      <c r="V9" s="189">
        <f>'44_Working_Capital'!V8</f>
        <v>1596675.5765453093</v>
      </c>
      <c r="W9" s="189">
        <f>'44_Working_Capital'!W8</f>
        <v>1632332.8354341241</v>
      </c>
      <c r="X9" s="189">
        <f>'44_Working_Capital'!X8</f>
        <v>1668477.1077496191</v>
      </c>
      <c r="Y9" s="189">
        <f>'44_Working_Capital'!Y8</f>
        <v>1705127.8275805071</v>
      </c>
      <c r="Z9" s="189">
        <f>'44_Working_Capital'!Z8</f>
        <v>1742304.5231734798</v>
      </c>
      <c r="AA9" s="189">
        <f>'44_Working_Capital'!AA8</f>
        <v>1780026.8301849917</v>
      </c>
      <c r="AB9" s="189">
        <f>'44_Working_Capital'!AB8</f>
        <v>1818314.5048287499</v>
      </c>
      <c r="AC9" s="189">
        <f>'44_Working_Capital'!AC8</f>
        <v>1857187.4369303987</v>
      </c>
      <c r="AD9" s="189">
        <f>'44_Working_Capital'!AD8</f>
        <v>1896665.6629006618</v>
      </c>
      <c r="AE9" s="189">
        <f>'44_Working_Capital'!AE8</f>
        <v>1936769.3786379914</v>
      </c>
      <c r="AF9" s="189">
        <f>'44_Working_Capital'!AF8</f>
        <v>1977518.9523715684</v>
      </c>
      <c r="AG9" s="189">
        <f>'44_Working_Capital'!AG8</f>
        <v>2018934.9374553105</v>
      </c>
      <c r="AH9" s="189">
        <f>'44_Working_Capital'!AH8</f>
        <v>2061038.0851233418</v>
      </c>
      <c r="AI9" s="189">
        <f>'44_Working_Capital'!AI8</f>
        <v>2103849.3572172588</v>
      </c>
      <c r="AJ9" s="189">
        <f>'44_Working_Capital'!AJ8</f>
        <v>2147389.9388952972</v>
      </c>
      <c r="AK9" s="189">
        <f>'44_Working_Capital'!AK8</f>
        <v>2191681.2513334118</v>
      </c>
      <c r="AL9" s="200">
        <f>M9</f>
        <v>530202.41988922679</v>
      </c>
      <c r="AM9" s="199">
        <f>Y9</f>
        <v>1705127.8275805071</v>
      </c>
      <c r="AN9" s="201">
        <f>AK9</f>
        <v>2191681.2513334118</v>
      </c>
    </row>
    <row r="10" spans="1:40" x14ac:dyDescent="0.3">
      <c r="A10" s="214" t="s">
        <v>65</v>
      </c>
      <c r="B10" s="203">
        <f>'44_Working_Capital'!B9</f>
        <v>0</v>
      </c>
      <c r="C10" s="189">
        <f>'44_Working_Capital'!C9</f>
        <v>0</v>
      </c>
      <c r="D10" s="189">
        <f>'44_Working_Capital'!D9</f>
        <v>0</v>
      </c>
      <c r="E10" s="189">
        <f>'44_Working_Capital'!E9</f>
        <v>0</v>
      </c>
      <c r="F10" s="189">
        <f>'44_Working_Capital'!F9</f>
        <v>0</v>
      </c>
      <c r="G10" s="189">
        <f>'44_Working_Capital'!G9</f>
        <v>0</v>
      </c>
      <c r="H10" s="189">
        <f>'44_Working_Capital'!H9</f>
        <v>0</v>
      </c>
      <c r="I10" s="189">
        <f>'44_Working_Capital'!I9</f>
        <v>0</v>
      </c>
      <c r="J10" s="189">
        <f>'44_Working_Capital'!J9</f>
        <v>0</v>
      </c>
      <c r="K10" s="189">
        <f>'44_Working_Capital'!K9</f>
        <v>0</v>
      </c>
      <c r="L10" s="189">
        <f>'44_Working_Capital'!L9</f>
        <v>0</v>
      </c>
      <c r="M10" s="189">
        <f>'44_Working_Capital'!M9</f>
        <v>0</v>
      </c>
      <c r="N10" s="189">
        <f>'44_Working_Capital'!N9</f>
        <v>0</v>
      </c>
      <c r="O10" s="189">
        <f>'44_Working_Capital'!O9</f>
        <v>0</v>
      </c>
      <c r="P10" s="189">
        <f>'44_Working_Capital'!P9</f>
        <v>0</v>
      </c>
      <c r="Q10" s="189">
        <f>'44_Working_Capital'!Q9</f>
        <v>0</v>
      </c>
      <c r="R10" s="189">
        <f>'44_Working_Capital'!R9</f>
        <v>0</v>
      </c>
      <c r="S10" s="189">
        <f>'44_Working_Capital'!S9</f>
        <v>0</v>
      </c>
      <c r="T10" s="189">
        <f>'44_Working_Capital'!T9</f>
        <v>0</v>
      </c>
      <c r="U10" s="189">
        <f>'44_Working_Capital'!U9</f>
        <v>0</v>
      </c>
      <c r="V10" s="189">
        <f>'44_Working_Capital'!V9</f>
        <v>0</v>
      </c>
      <c r="W10" s="189">
        <f>'44_Working_Capital'!W9</f>
        <v>0</v>
      </c>
      <c r="X10" s="189">
        <f>'44_Working_Capital'!X9</f>
        <v>0</v>
      </c>
      <c r="Y10" s="189">
        <f>'44_Working_Capital'!Y9</f>
        <v>0</v>
      </c>
      <c r="Z10" s="189">
        <f>'44_Working_Capital'!Z9</f>
        <v>0</v>
      </c>
      <c r="AA10" s="189">
        <f>'44_Working_Capital'!AA9</f>
        <v>0</v>
      </c>
      <c r="AB10" s="189">
        <f>'44_Working_Capital'!AB9</f>
        <v>0</v>
      </c>
      <c r="AC10" s="189">
        <f>'44_Working_Capital'!AC9</f>
        <v>0</v>
      </c>
      <c r="AD10" s="189">
        <f>'44_Working_Capital'!AD9</f>
        <v>0</v>
      </c>
      <c r="AE10" s="189">
        <f>'44_Working_Capital'!AE9</f>
        <v>0</v>
      </c>
      <c r="AF10" s="189">
        <f>'44_Working_Capital'!AF9</f>
        <v>0</v>
      </c>
      <c r="AG10" s="189">
        <f>'44_Working_Capital'!AG9</f>
        <v>0</v>
      </c>
      <c r="AH10" s="189">
        <f>'44_Working_Capital'!AH9</f>
        <v>0</v>
      </c>
      <c r="AI10" s="189">
        <f>'44_Working_Capital'!AI9</f>
        <v>0</v>
      </c>
      <c r="AJ10" s="189">
        <f>'44_Working_Capital'!AJ9</f>
        <v>0</v>
      </c>
      <c r="AK10" s="189">
        <f>'44_Working_Capital'!AK9</f>
        <v>0</v>
      </c>
      <c r="AL10" s="200">
        <f>M10</f>
        <v>0</v>
      </c>
      <c r="AM10" s="199">
        <f>Y10</f>
        <v>0</v>
      </c>
      <c r="AN10" s="201">
        <f>AK10</f>
        <v>0</v>
      </c>
    </row>
    <row r="11" spans="1:40" x14ac:dyDescent="0.3">
      <c r="A11" s="214" t="s">
        <v>288</v>
      </c>
      <c r="B11" s="203">
        <f>'44_Working_Capital'!B10</f>
        <v>342700</v>
      </c>
      <c r="C11" s="203">
        <f>'44_Working_Capital'!C10</f>
        <v>342700</v>
      </c>
      <c r="D11" s="203">
        <f>'44_Working_Capital'!D10</f>
        <v>342700</v>
      </c>
      <c r="E11" s="203">
        <f>'44_Working_Capital'!E10</f>
        <v>342700</v>
      </c>
      <c r="F11" s="203">
        <f>'44_Working_Capital'!F10</f>
        <v>342700</v>
      </c>
      <c r="G11" s="203">
        <f>'44_Working_Capital'!G10</f>
        <v>342700</v>
      </c>
      <c r="H11" s="203">
        <f>'44_Working_Capital'!H10</f>
        <v>370300</v>
      </c>
      <c r="I11" s="203">
        <f>'44_Working_Capital'!I10</f>
        <v>413999.99999999994</v>
      </c>
      <c r="J11" s="203">
        <f>'44_Working_Capital'!J10</f>
        <v>441599.99999999994</v>
      </c>
      <c r="K11" s="203">
        <f>'44_Working_Capital'!K10</f>
        <v>473799.99999999994</v>
      </c>
      <c r="L11" s="203">
        <f>'44_Working_Capital'!L10</f>
        <v>512899.99999999994</v>
      </c>
      <c r="M11" s="203">
        <f>'44_Working_Capital'!M10</f>
        <v>545100</v>
      </c>
      <c r="N11" s="203">
        <f>'44_Working_Capital'!N10</f>
        <v>545100</v>
      </c>
      <c r="O11" s="203">
        <f>'44_Working_Capital'!O10</f>
        <v>552000</v>
      </c>
      <c r="P11" s="203">
        <f>'44_Working_Capital'!P10</f>
        <v>552000</v>
      </c>
      <c r="Q11" s="203">
        <f>'44_Working_Capital'!Q10</f>
        <v>552000</v>
      </c>
      <c r="R11" s="203">
        <f>'44_Working_Capital'!R10</f>
        <v>558900</v>
      </c>
      <c r="S11" s="203">
        <f>'44_Working_Capital'!S10</f>
        <v>558900</v>
      </c>
      <c r="T11" s="203">
        <f>'44_Working_Capital'!T10</f>
        <v>558900</v>
      </c>
      <c r="U11" s="203">
        <f>'44_Working_Capital'!U10</f>
        <v>615250</v>
      </c>
      <c r="V11" s="203">
        <f>'44_Working_Capital'!V10</f>
        <v>640550</v>
      </c>
      <c r="W11" s="203">
        <f>'44_Working_Capital'!W10</f>
        <v>690000</v>
      </c>
      <c r="X11" s="203">
        <f>'44_Working_Capital'!X10</f>
        <v>722200</v>
      </c>
      <c r="Y11" s="203">
        <f>'44_Working_Capital'!Y10</f>
        <v>747500</v>
      </c>
      <c r="Z11" s="203">
        <f>'44_Working_Capital'!Z10</f>
        <v>757849.99999999988</v>
      </c>
      <c r="AA11" s="203">
        <f>'44_Working_Capital'!AA10</f>
        <v>764749.99999999988</v>
      </c>
      <c r="AB11" s="203">
        <f>'44_Working_Capital'!AB10</f>
        <v>790049.99999999988</v>
      </c>
      <c r="AC11" s="203">
        <f>'44_Working_Capital'!AC10</f>
        <v>802699.99999999988</v>
      </c>
      <c r="AD11" s="203">
        <f>'44_Working_Capital'!AD10</f>
        <v>819949.99999999988</v>
      </c>
      <c r="AE11" s="203">
        <f>'44_Working_Capital'!AE10</f>
        <v>846399.99999999988</v>
      </c>
      <c r="AF11" s="203">
        <f>'44_Working_Capital'!AF10</f>
        <v>856749.99999999988</v>
      </c>
      <c r="AG11" s="203">
        <f>'44_Working_Capital'!AG10</f>
        <v>876299.99999999988</v>
      </c>
      <c r="AH11" s="203">
        <f>'44_Working_Capital'!AH10</f>
        <v>901599.99999999988</v>
      </c>
      <c r="AI11" s="203">
        <f>'44_Working_Capital'!AI10</f>
        <v>901599.99999999988</v>
      </c>
      <c r="AJ11" s="203">
        <f>'44_Working_Capital'!AJ10</f>
        <v>918849.99999999988</v>
      </c>
      <c r="AK11" s="203">
        <f>'44_Working_Capital'!AK10</f>
        <v>918849.99999999988</v>
      </c>
      <c r="AL11" s="200">
        <f>M11</f>
        <v>545100</v>
      </c>
      <c r="AM11" s="199">
        <f>Y11</f>
        <v>747500</v>
      </c>
      <c r="AN11" s="201">
        <f>AK11</f>
        <v>918849.99999999988</v>
      </c>
    </row>
    <row r="12" spans="1:40" x14ac:dyDescent="0.3">
      <c r="A12" s="214" t="s">
        <v>66</v>
      </c>
      <c r="B12" s="203">
        <f>'45_Funding_Interest_Equity'!B5</f>
        <v>0</v>
      </c>
      <c r="C12" s="189">
        <f>'45_Funding_Interest_Equity'!C5</f>
        <v>0</v>
      </c>
      <c r="D12" s="189">
        <f>'45_Funding_Interest_Equity'!D5</f>
        <v>0</v>
      </c>
      <c r="E12" s="189">
        <f>'45_Funding_Interest_Equity'!E5</f>
        <v>1000000</v>
      </c>
      <c r="F12" s="189">
        <f>'45_Funding_Interest_Equity'!F5</f>
        <v>3000000</v>
      </c>
      <c r="G12" s="189">
        <f>'45_Funding_Interest_Equity'!G5</f>
        <v>3000000</v>
      </c>
      <c r="H12" s="189">
        <f>'45_Funding_Interest_Equity'!H5</f>
        <v>4000000</v>
      </c>
      <c r="I12" s="189">
        <f>'45_Funding_Interest_Equity'!I5</f>
        <v>4000000</v>
      </c>
      <c r="J12" s="189">
        <f>'45_Funding_Interest_Equity'!J5</f>
        <v>4000000</v>
      </c>
      <c r="K12" s="189">
        <f>'45_Funding_Interest_Equity'!K5</f>
        <v>4000000</v>
      </c>
      <c r="L12" s="189">
        <f>'45_Funding_Interest_Equity'!L5</f>
        <v>4000000</v>
      </c>
      <c r="M12" s="189">
        <f>'45_Funding_Interest_Equity'!M5</f>
        <v>4000000</v>
      </c>
      <c r="N12" s="189">
        <f>'45_Funding_Interest_Equity'!N5</f>
        <v>4000000</v>
      </c>
      <c r="O12" s="189">
        <f>'45_Funding_Interest_Equity'!O5</f>
        <v>4000000</v>
      </c>
      <c r="P12" s="189">
        <f>'45_Funding_Interest_Equity'!P5</f>
        <v>4000000</v>
      </c>
      <c r="Q12" s="189">
        <f>'45_Funding_Interest_Equity'!Q5</f>
        <v>4000000</v>
      </c>
      <c r="R12" s="189">
        <f>'45_Funding_Interest_Equity'!R5</f>
        <v>4000000</v>
      </c>
      <c r="S12" s="189">
        <f>'45_Funding_Interest_Equity'!S5</f>
        <v>4000000</v>
      </c>
      <c r="T12" s="189">
        <f>'45_Funding_Interest_Equity'!T5</f>
        <v>4000000</v>
      </c>
      <c r="U12" s="189">
        <f>'45_Funding_Interest_Equity'!U5</f>
        <v>4000000</v>
      </c>
      <c r="V12" s="189">
        <f>'45_Funding_Interest_Equity'!V5</f>
        <v>4000000</v>
      </c>
      <c r="W12" s="189">
        <f>'45_Funding_Interest_Equity'!W5</f>
        <v>4000000</v>
      </c>
      <c r="X12" s="189">
        <f>'45_Funding_Interest_Equity'!X5</f>
        <v>4000000</v>
      </c>
      <c r="Y12" s="189">
        <f>'45_Funding_Interest_Equity'!Y5</f>
        <v>4000000</v>
      </c>
      <c r="Z12" s="189">
        <f>'45_Funding_Interest_Equity'!Z5</f>
        <v>4000000</v>
      </c>
      <c r="AA12" s="189">
        <f>'45_Funding_Interest_Equity'!AA5</f>
        <v>4000000</v>
      </c>
      <c r="AB12" s="189">
        <f>'45_Funding_Interest_Equity'!AB5</f>
        <v>4000000</v>
      </c>
      <c r="AC12" s="189">
        <f>'45_Funding_Interest_Equity'!AC5</f>
        <v>4000000</v>
      </c>
      <c r="AD12" s="189">
        <f>'45_Funding_Interest_Equity'!AD5</f>
        <v>4000000</v>
      </c>
      <c r="AE12" s="189">
        <f>'45_Funding_Interest_Equity'!AE5</f>
        <v>4000000</v>
      </c>
      <c r="AF12" s="189">
        <f>'45_Funding_Interest_Equity'!AF5</f>
        <v>4000000</v>
      </c>
      <c r="AG12" s="189">
        <f>'45_Funding_Interest_Equity'!AG5</f>
        <v>4000000</v>
      </c>
      <c r="AH12" s="189">
        <f>'45_Funding_Interest_Equity'!AH5</f>
        <v>4000000</v>
      </c>
      <c r="AI12" s="189">
        <f>'45_Funding_Interest_Equity'!AI5</f>
        <v>4000000</v>
      </c>
      <c r="AJ12" s="189">
        <f>'45_Funding_Interest_Equity'!AJ5</f>
        <v>4000000</v>
      </c>
      <c r="AK12" s="189">
        <f>'45_Funding_Interest_Equity'!AK5</f>
        <v>4000000</v>
      </c>
      <c r="AL12" s="200">
        <f>M12</f>
        <v>4000000</v>
      </c>
      <c r="AM12" s="199">
        <f>Y12</f>
        <v>4000000</v>
      </c>
      <c r="AN12" s="201">
        <f>AK12</f>
        <v>4000000</v>
      </c>
    </row>
    <row r="13" spans="1:40" ht="15" thickBot="1" x14ac:dyDescent="0.35">
      <c r="A13" s="343" t="s">
        <v>610</v>
      </c>
      <c r="B13" s="203">
        <f>IF(AND(B$1&gt;='36_Inputs_Funding'!$B$4,B$1&lt;'36_Inputs_Funding'!$B$11),'36_Inputs_Funding'!$C$4,0)</f>
        <v>0</v>
      </c>
      <c r="C13" s="203">
        <f>IF(AND(C$1&gt;='36_Inputs_Funding'!$B$4,C$1&lt;'36_Inputs_Funding'!$B$11),'36_Inputs_Funding'!$C$4,0)</f>
        <v>0</v>
      </c>
      <c r="D13" s="203">
        <f>IF(AND(D$1&gt;='36_Inputs_Funding'!$B$4,D$1&lt;'36_Inputs_Funding'!$B$11),'36_Inputs_Funding'!$C$4,0)</f>
        <v>0</v>
      </c>
      <c r="E13" s="203">
        <f>IF(AND(E$1&gt;='36_Inputs_Funding'!$B$4,E$1&lt;'36_Inputs_Funding'!$B$11),'36_Inputs_Funding'!$C$4,0)</f>
        <v>0</v>
      </c>
      <c r="F13" s="203">
        <f>IF(AND(F$1&gt;='36_Inputs_Funding'!$B$4,F$1&lt;'36_Inputs_Funding'!$B$11),'36_Inputs_Funding'!$C$4,0)</f>
        <v>0</v>
      </c>
      <c r="G13" s="203">
        <f>IF(AND(G$1&gt;='36_Inputs_Funding'!$B$4,G$1&lt;'36_Inputs_Funding'!$B$11),'36_Inputs_Funding'!$C$4,0)</f>
        <v>0</v>
      </c>
      <c r="H13" s="203">
        <f>IF(AND(H$1&gt;='36_Inputs_Funding'!$B$4,H$1&lt;'36_Inputs_Funding'!$B$11),'36_Inputs_Funding'!$C$4,0)</f>
        <v>8000000</v>
      </c>
      <c r="I13" s="203">
        <f>IF(AND(I$1&gt;='36_Inputs_Funding'!$B$4,I$1&lt;'36_Inputs_Funding'!$B$11),'36_Inputs_Funding'!$C$4,0)</f>
        <v>8000000</v>
      </c>
      <c r="J13" s="203">
        <f>IF(AND(J$1&gt;='36_Inputs_Funding'!$B$4,J$1&lt;'36_Inputs_Funding'!$B$11),'36_Inputs_Funding'!$C$4,0)</f>
        <v>8000000</v>
      </c>
      <c r="K13" s="203">
        <f>IF(AND(K$1&gt;='36_Inputs_Funding'!$B$4,K$1&lt;'36_Inputs_Funding'!$B$11),'36_Inputs_Funding'!$C$4,0)</f>
        <v>8000000</v>
      </c>
      <c r="L13" s="203">
        <f>IF(AND(L$1&gt;='36_Inputs_Funding'!$B$4,L$1&lt;'36_Inputs_Funding'!$B$11),'36_Inputs_Funding'!$C$4,0)</f>
        <v>8000000</v>
      </c>
      <c r="M13" s="203">
        <f>IF(AND(M$1&gt;='36_Inputs_Funding'!$B$4,M$1&lt;'36_Inputs_Funding'!$B$11),'36_Inputs_Funding'!$C$4,0)</f>
        <v>0</v>
      </c>
      <c r="N13" s="203">
        <f>IF(AND(N$1&gt;='36_Inputs_Funding'!$B$4,N$1&lt;'36_Inputs_Funding'!$B$11),'36_Inputs_Funding'!$C$4,0)</f>
        <v>0</v>
      </c>
      <c r="O13" s="203">
        <f>IF(AND(O$1&gt;='36_Inputs_Funding'!$B$4,O$1&lt;'36_Inputs_Funding'!$B$11),'36_Inputs_Funding'!$C$4,0)</f>
        <v>0</v>
      </c>
      <c r="P13" s="203">
        <f>IF(AND(P$1&gt;='36_Inputs_Funding'!$B$4,P$1&lt;'36_Inputs_Funding'!$B$11),'36_Inputs_Funding'!$C$4,0)</f>
        <v>0</v>
      </c>
      <c r="Q13" s="203">
        <f>IF(AND(Q$1&gt;='36_Inputs_Funding'!$B$4,Q$1&lt;'36_Inputs_Funding'!$B$11),'36_Inputs_Funding'!$C$4,0)</f>
        <v>0</v>
      </c>
      <c r="R13" s="203">
        <f>IF(AND(R$1&gt;='36_Inputs_Funding'!$B$4,R$1&lt;'36_Inputs_Funding'!$B$11),'36_Inputs_Funding'!$C$4,0)</f>
        <v>0</v>
      </c>
      <c r="S13" s="203">
        <f>IF(AND(S$1&gt;='36_Inputs_Funding'!$B$4,S$1&lt;'36_Inputs_Funding'!$B$11),'36_Inputs_Funding'!$C$4,0)</f>
        <v>0</v>
      </c>
      <c r="T13" s="203">
        <f>IF(AND(T$1&gt;='36_Inputs_Funding'!$B$4,T$1&lt;'36_Inputs_Funding'!$B$11),'36_Inputs_Funding'!$C$4,0)</f>
        <v>0</v>
      </c>
      <c r="U13" s="203">
        <f>IF(AND(U$1&gt;='36_Inputs_Funding'!$B$4,U$1&lt;'36_Inputs_Funding'!$B$11),'36_Inputs_Funding'!$C$4,0)</f>
        <v>0</v>
      </c>
      <c r="V13" s="203">
        <f>IF(AND(V$1&gt;='36_Inputs_Funding'!$B$4,V$1&lt;'36_Inputs_Funding'!$B$11),'36_Inputs_Funding'!$C$4,0)</f>
        <v>0</v>
      </c>
      <c r="W13" s="203">
        <f>IF(AND(W$1&gt;='36_Inputs_Funding'!$B$4,W$1&lt;'36_Inputs_Funding'!$B$11),'36_Inputs_Funding'!$C$4,0)</f>
        <v>0</v>
      </c>
      <c r="X13" s="203">
        <f>IF(AND(X$1&gt;='36_Inputs_Funding'!$B$4,X$1&lt;'36_Inputs_Funding'!$B$11),'36_Inputs_Funding'!$C$4,0)</f>
        <v>0</v>
      </c>
      <c r="Y13" s="203">
        <f>IF(AND(Y$1&gt;='36_Inputs_Funding'!$B$4,Y$1&lt;'36_Inputs_Funding'!$B$11),'36_Inputs_Funding'!$C$4,0)</f>
        <v>0</v>
      </c>
      <c r="Z13" s="203">
        <f>IF(AND(Z$1&gt;='36_Inputs_Funding'!$B$4,Z$1&lt;'36_Inputs_Funding'!$B$11),'36_Inputs_Funding'!$C$4,0)</f>
        <v>0</v>
      </c>
      <c r="AA13" s="203">
        <f>IF(AND(AA$1&gt;='36_Inputs_Funding'!$B$4,AA$1&lt;'36_Inputs_Funding'!$B$11),'36_Inputs_Funding'!$C$4,0)</f>
        <v>0</v>
      </c>
      <c r="AB13" s="203">
        <f>IF(AND(AB$1&gt;='36_Inputs_Funding'!$B$4,AB$1&lt;'36_Inputs_Funding'!$B$11),'36_Inputs_Funding'!$C$4,0)</f>
        <v>0</v>
      </c>
      <c r="AC13" s="203">
        <f>IF(AND(AC$1&gt;='36_Inputs_Funding'!$B$4,AC$1&lt;'36_Inputs_Funding'!$B$11),'36_Inputs_Funding'!$C$4,0)</f>
        <v>0</v>
      </c>
      <c r="AD13" s="203">
        <f>IF(AND(AD$1&gt;='36_Inputs_Funding'!$B$4,AD$1&lt;'36_Inputs_Funding'!$B$11),'36_Inputs_Funding'!$C$4,0)</f>
        <v>0</v>
      </c>
      <c r="AE13" s="203">
        <f>IF(AND(AE$1&gt;='36_Inputs_Funding'!$B$4,AE$1&lt;'36_Inputs_Funding'!$B$11),'36_Inputs_Funding'!$C$4,0)</f>
        <v>0</v>
      </c>
      <c r="AF13" s="203">
        <f>IF(AND(AF$1&gt;='36_Inputs_Funding'!$B$4,AF$1&lt;'36_Inputs_Funding'!$B$11),'36_Inputs_Funding'!$C$4,0)</f>
        <v>0</v>
      </c>
      <c r="AG13" s="203">
        <f>IF(AND(AG$1&gt;='36_Inputs_Funding'!$B$4,AG$1&lt;'36_Inputs_Funding'!$B$11),'36_Inputs_Funding'!$C$4,0)</f>
        <v>0</v>
      </c>
      <c r="AH13" s="203">
        <f>IF(AND(AH$1&gt;='36_Inputs_Funding'!$B$4,AH$1&lt;'36_Inputs_Funding'!$B$11),'36_Inputs_Funding'!$C$4,0)</f>
        <v>0</v>
      </c>
      <c r="AI13" s="203">
        <f>IF(AND(AI$1&gt;='36_Inputs_Funding'!$B$4,AI$1&lt;'36_Inputs_Funding'!$B$11),'36_Inputs_Funding'!$C$4,0)</f>
        <v>0</v>
      </c>
      <c r="AJ13" s="203">
        <f>IF(AND(AJ$1&gt;='36_Inputs_Funding'!$B$4,AJ$1&lt;'36_Inputs_Funding'!$B$11),'36_Inputs_Funding'!$C$4,0)</f>
        <v>0</v>
      </c>
      <c r="AK13" s="203">
        <f>IF(AND(AK$1&gt;='36_Inputs_Funding'!$B$4,AK$1&lt;'36_Inputs_Funding'!$B$11),'36_Inputs_Funding'!$C$4,0)</f>
        <v>0</v>
      </c>
      <c r="AL13" s="215">
        <f>M13</f>
        <v>0</v>
      </c>
      <c r="AM13" s="216">
        <f>Y13</f>
        <v>0</v>
      </c>
      <c r="AN13" s="217">
        <f>AK13</f>
        <v>0</v>
      </c>
    </row>
    <row r="14" spans="1:40" x14ac:dyDescent="0.3">
      <c r="A14" s="213" t="s">
        <v>67</v>
      </c>
      <c r="B14" s="219"/>
      <c r="C14" s="219"/>
      <c r="D14" s="219"/>
      <c r="E14" s="219"/>
      <c r="F14" s="219"/>
      <c r="G14" s="219"/>
      <c r="H14" s="219"/>
      <c r="I14" s="219"/>
      <c r="J14" s="219"/>
      <c r="K14" s="219"/>
      <c r="L14" s="219"/>
      <c r="M14" s="219"/>
      <c r="N14" s="219"/>
      <c r="O14" s="219"/>
      <c r="P14" s="219"/>
      <c r="Q14" s="219"/>
      <c r="R14" s="219"/>
      <c r="S14" s="219"/>
      <c r="T14" s="219"/>
      <c r="U14" s="219"/>
      <c r="V14" s="219"/>
      <c r="W14" s="219"/>
      <c r="X14" s="219"/>
      <c r="Y14" s="219"/>
      <c r="Z14" s="219"/>
      <c r="AA14" s="219"/>
      <c r="AB14" s="219"/>
      <c r="AC14" s="219"/>
      <c r="AD14" s="219"/>
      <c r="AE14" s="219"/>
      <c r="AF14" s="219"/>
      <c r="AG14" s="219"/>
      <c r="AH14" s="219"/>
      <c r="AI14" s="219"/>
      <c r="AJ14" s="219"/>
      <c r="AK14" s="219"/>
      <c r="AL14" s="350"/>
      <c r="AM14" s="351"/>
      <c r="AN14" s="352"/>
    </row>
    <row r="15" spans="1:40" x14ac:dyDescent="0.3">
      <c r="A15" s="214" t="s">
        <v>68</v>
      </c>
      <c r="B15" s="189">
        <f>'36_Inputs_Funding'!$B$2</f>
        <v>6500000</v>
      </c>
      <c r="C15" s="189">
        <f>B15+'45_Funding_Interest_Equity'!C7+IF(C$1='36_Inputs_Funding'!$B$11,'36_Inputs_Funding'!$C$4,0)</f>
        <v>6500000</v>
      </c>
      <c r="D15" s="189">
        <f>C15+'45_Funding_Interest_Equity'!D7+IF(D$1='36_Inputs_Funding'!$B$11,'36_Inputs_Funding'!$C$4,0)</f>
        <v>6500000</v>
      </c>
      <c r="E15" s="189">
        <f>D15+'45_Funding_Interest_Equity'!E7+IF(E$1='36_Inputs_Funding'!$B$11,'36_Inputs_Funding'!$C$4,0)</f>
        <v>6500000</v>
      </c>
      <c r="F15" s="189">
        <f>E15+'45_Funding_Interest_Equity'!F7+IF(F$1='36_Inputs_Funding'!$B$11,'36_Inputs_Funding'!$C$4,0)</f>
        <v>6500000</v>
      </c>
      <c r="G15" s="189">
        <f>F15+'45_Funding_Interest_Equity'!G7+IF(G$1='36_Inputs_Funding'!$B$11,'36_Inputs_Funding'!$C$4,0)</f>
        <v>6500000</v>
      </c>
      <c r="H15" s="189">
        <f>G15+'45_Funding_Interest_Equity'!H7+IF(H$1='36_Inputs_Funding'!$B$11,'36_Inputs_Funding'!$C$4,0)</f>
        <v>6500000</v>
      </c>
      <c r="I15" s="189">
        <f>H15+'45_Funding_Interest_Equity'!I7+IF(I$1='36_Inputs_Funding'!$B$11,'36_Inputs_Funding'!$C$4,0)</f>
        <v>6500000</v>
      </c>
      <c r="J15" s="189">
        <f>I15+'45_Funding_Interest_Equity'!J7+IF(J$1='36_Inputs_Funding'!$B$11,'36_Inputs_Funding'!$C$4,0)</f>
        <v>6500000</v>
      </c>
      <c r="K15" s="189">
        <f>J15+'45_Funding_Interest_Equity'!K7+IF(K$1='36_Inputs_Funding'!$B$11,'36_Inputs_Funding'!$C$4,0)</f>
        <v>6500000</v>
      </c>
      <c r="L15" s="189">
        <f>K15+'45_Funding_Interest_Equity'!L7+IF(L$1='36_Inputs_Funding'!$B$11,'36_Inputs_Funding'!$C$4,0)</f>
        <v>6500000</v>
      </c>
      <c r="M15" s="189">
        <f>L15+'45_Funding_Interest_Equity'!M7+IF(M$1='36_Inputs_Funding'!$B$11,'36_Inputs_Funding'!$C$4,0)</f>
        <v>24500000</v>
      </c>
      <c r="N15" s="189">
        <f>M15+'45_Funding_Interest_Equity'!N7+IF(N$1='36_Inputs_Funding'!$B$11,'36_Inputs_Funding'!$C$4,0)</f>
        <v>24500000</v>
      </c>
      <c r="O15" s="189">
        <f>N15+'45_Funding_Interest_Equity'!O7+IF(O$1='36_Inputs_Funding'!$B$11,'36_Inputs_Funding'!$C$4,0)</f>
        <v>24500000</v>
      </c>
      <c r="P15" s="189">
        <f>O15+'45_Funding_Interest_Equity'!P7+IF(P$1='36_Inputs_Funding'!$B$11,'36_Inputs_Funding'!$C$4,0)</f>
        <v>24500000</v>
      </c>
      <c r="Q15" s="189">
        <f>P15+'45_Funding_Interest_Equity'!Q7+IF(Q$1='36_Inputs_Funding'!$B$11,'36_Inputs_Funding'!$C$4,0)</f>
        <v>24500000</v>
      </c>
      <c r="R15" s="189">
        <f>Q15+'45_Funding_Interest_Equity'!R7+IF(R$1='36_Inputs_Funding'!$B$11,'36_Inputs_Funding'!$C$4,0)</f>
        <v>24500000</v>
      </c>
      <c r="S15" s="189">
        <f>R15+'45_Funding_Interest_Equity'!S7+IF(S$1='36_Inputs_Funding'!$B$11,'36_Inputs_Funding'!$C$4,0)</f>
        <v>24500000</v>
      </c>
      <c r="T15" s="189">
        <f>S15+'45_Funding_Interest_Equity'!T7+IF(T$1='36_Inputs_Funding'!$B$11,'36_Inputs_Funding'!$C$4,0)</f>
        <v>64500000</v>
      </c>
      <c r="U15" s="189">
        <f>T15+'45_Funding_Interest_Equity'!U7+IF(U$1='36_Inputs_Funding'!$B$11,'36_Inputs_Funding'!$C$4,0)</f>
        <v>64500000</v>
      </c>
      <c r="V15" s="189">
        <f>U15+'45_Funding_Interest_Equity'!V7+IF(V$1='36_Inputs_Funding'!$B$11,'36_Inputs_Funding'!$C$4,0)</f>
        <v>64500000</v>
      </c>
      <c r="W15" s="189">
        <f>V15+'45_Funding_Interest_Equity'!W7+IF(W$1='36_Inputs_Funding'!$B$11,'36_Inputs_Funding'!$C$4,0)</f>
        <v>64500000</v>
      </c>
      <c r="X15" s="189">
        <f>W15+'45_Funding_Interest_Equity'!X7+IF(X$1='36_Inputs_Funding'!$B$11,'36_Inputs_Funding'!$C$4,0)</f>
        <v>64500000</v>
      </c>
      <c r="Y15" s="189">
        <f>X15+'45_Funding_Interest_Equity'!Y7+IF(Y$1='36_Inputs_Funding'!$B$11,'36_Inputs_Funding'!$C$4,0)</f>
        <v>64500000</v>
      </c>
      <c r="Z15" s="189">
        <f>Y15+'45_Funding_Interest_Equity'!Z7+IF(Z$1='36_Inputs_Funding'!$B$11,'36_Inputs_Funding'!$C$4,0)</f>
        <v>64500000</v>
      </c>
      <c r="AA15" s="189">
        <f>Z15+'45_Funding_Interest_Equity'!AA7+IF(AA$1='36_Inputs_Funding'!$B$11,'36_Inputs_Funding'!$C$4,0)</f>
        <v>64500000</v>
      </c>
      <c r="AB15" s="189">
        <f>AA15+'45_Funding_Interest_Equity'!AB7+IF(AB$1='36_Inputs_Funding'!$B$11,'36_Inputs_Funding'!$C$4,0)</f>
        <v>64500000</v>
      </c>
      <c r="AC15" s="189">
        <f>AB15+'45_Funding_Interest_Equity'!AC7+IF(AC$1='36_Inputs_Funding'!$B$11,'36_Inputs_Funding'!$C$4,0)</f>
        <v>64500000</v>
      </c>
      <c r="AD15" s="189">
        <f>AC15+'45_Funding_Interest_Equity'!AD7+IF(AD$1='36_Inputs_Funding'!$B$11,'36_Inputs_Funding'!$C$4,0)</f>
        <v>64500000</v>
      </c>
      <c r="AE15" s="189">
        <f>AD15+'45_Funding_Interest_Equity'!AE7+IF(AE$1='36_Inputs_Funding'!$B$11,'36_Inputs_Funding'!$C$4,0)</f>
        <v>64500000</v>
      </c>
      <c r="AF15" s="189">
        <f>AE15+'45_Funding_Interest_Equity'!AF7+IF(AF$1='36_Inputs_Funding'!$B$11,'36_Inputs_Funding'!$C$4,0)</f>
        <v>64500000</v>
      </c>
      <c r="AG15" s="189">
        <f>AF15+'45_Funding_Interest_Equity'!AG7+IF(AG$1='36_Inputs_Funding'!$B$11,'36_Inputs_Funding'!$C$4,0)</f>
        <v>64500000</v>
      </c>
      <c r="AH15" s="189">
        <f>AG15+'45_Funding_Interest_Equity'!AH7+IF(AH$1='36_Inputs_Funding'!$B$11,'36_Inputs_Funding'!$C$4,0)</f>
        <v>64500000</v>
      </c>
      <c r="AI15" s="189">
        <f>AH15+'45_Funding_Interest_Equity'!AI7+IF(AI$1='36_Inputs_Funding'!$B$11,'36_Inputs_Funding'!$C$4,0)</f>
        <v>64500000</v>
      </c>
      <c r="AJ15" s="189">
        <f>AI15+'45_Funding_Interest_Equity'!AJ7+IF(AJ$1='36_Inputs_Funding'!$B$11,'36_Inputs_Funding'!$C$4,0)</f>
        <v>64500000</v>
      </c>
      <c r="AK15" s="189">
        <f>AJ15+'45_Funding_Interest_Equity'!AK7+IF(AK$1='36_Inputs_Funding'!$B$11,'36_Inputs_Funding'!$C$4,0)</f>
        <v>64500000</v>
      </c>
      <c r="AL15" s="200">
        <f t="shared" ref="AL15:AL16" si="0">M15</f>
        <v>24500000</v>
      </c>
      <c r="AM15" s="199">
        <f t="shared" ref="AM15:AM16" si="1">Y15</f>
        <v>64500000</v>
      </c>
      <c r="AN15" s="220">
        <f t="shared" ref="AN15:AN16" si="2">AK15</f>
        <v>64500000</v>
      </c>
    </row>
    <row r="16" spans="1:40" ht="15" thickBot="1" x14ac:dyDescent="0.35">
      <c r="A16" s="221" t="s">
        <v>69</v>
      </c>
      <c r="B16" s="222">
        <f>'10_Income_Statement'!B15</f>
        <v>-1227720</v>
      </c>
      <c r="C16" s="223">
        <f>B16+'10_Income_Statement'!C15</f>
        <v>-2444265.1267379117</v>
      </c>
      <c r="D16" s="223">
        <f>C16+'10_Income_Statement'!D15</f>
        <v>-3649518.3068681457</v>
      </c>
      <c r="E16" s="223">
        <f>D16+'10_Income_Statement'!E15</f>
        <v>-4847516.7909934465</v>
      </c>
      <c r="F16" s="223">
        <f>E16+'10_Income_Statement'!F15</f>
        <v>-6046452.1525046658</v>
      </c>
      <c r="G16" s="223">
        <f>F16+'10_Income_Statement'!G15</f>
        <v>-7242003.6078566294</v>
      </c>
      <c r="H16" s="223">
        <f>G16+'10_Income_Statement'!H15</f>
        <v>-8485037.9917305838</v>
      </c>
      <c r="I16" s="223">
        <f>H16+'10_Income_Statement'!I15</f>
        <v>-9807699.0538548492</v>
      </c>
      <c r="J16" s="223">
        <f>I16+'10_Income_Statement'!J15</f>
        <v>-11170477.857338035</v>
      </c>
      <c r="K16" s="223">
        <f>J16+'10_Income_Statement'!K15</f>
        <v>-12584250.382389147</v>
      </c>
      <c r="L16" s="223">
        <f>K16+'10_Income_Statement'!L15</f>
        <v>-14062621.456539735</v>
      </c>
      <c r="M16" s="223">
        <f>L16+'10_Income_Statement'!M15</f>
        <v>-15591638.55516699</v>
      </c>
      <c r="N16" s="223">
        <f>M16+'10_Income_Statement'!N15</f>
        <v>-17433304.550636224</v>
      </c>
      <c r="O16" s="223">
        <f>N16+'10_Income_Statement'!O15</f>
        <v>-19226086.151500184</v>
      </c>
      <c r="P16" s="223">
        <f>O16+'10_Income_Statement'!P15</f>
        <v>-20956244.664132778</v>
      </c>
      <c r="Q16" s="223">
        <f>P16+'10_Income_Statement'!Q15</f>
        <v>-22623803.259454813</v>
      </c>
      <c r="R16" s="223">
        <f>Q16+'10_Income_Statement'!R15</f>
        <v>-24242545.337054435</v>
      </c>
      <c r="S16" s="223">
        <f>R16+'10_Income_Statement'!S15</f>
        <v>-25798613.035704456</v>
      </c>
      <c r="T16" s="223">
        <f>S16+'10_Income_Statement'!T15</f>
        <v>-27291905.873563383</v>
      </c>
      <c r="U16" s="223">
        <f>T16+'10_Income_Statement'!U15</f>
        <v>-29424907.573245931</v>
      </c>
      <c r="V16" s="223">
        <f>U16+'10_Income_Statement'!V15</f>
        <v>-31453924.109885439</v>
      </c>
      <c r="W16" s="223">
        <f>V16+'10_Income_Statement'!W15</f>
        <v>-33427784.962508634</v>
      </c>
      <c r="X16" s="223">
        <f>W16+'10_Income_Statement'!X15</f>
        <v>-35312478.816131711</v>
      </c>
      <c r="Y16" s="223">
        <f>X16+'10_Income_Statement'!Y15</f>
        <v>-37094536.124291934</v>
      </c>
      <c r="Z16" s="223">
        <f>Y16+'10_Income_Statement'!Z15</f>
        <v>-38744283.838327445</v>
      </c>
      <c r="AA16" s="223">
        <f>Z16+'10_Income_Statement'!AA15</f>
        <v>-40254876.158250839</v>
      </c>
      <c r="AB16" s="223">
        <f>AA16+'10_Income_Statement'!AB15</f>
        <v>-41663060.277493827</v>
      </c>
      <c r="AC16" s="223">
        <f>AB16+'10_Income_Statement'!AC15</f>
        <v>-42943440.457772657</v>
      </c>
      <c r="AD16" s="223">
        <f>AC16+'10_Income_Statement'!AD15</f>
        <v>-44104997.346226163</v>
      </c>
      <c r="AE16" s="223">
        <f>AD16+'10_Income_Statement'!AE15</f>
        <v>-45165740.312272884</v>
      </c>
      <c r="AF16" s="223">
        <f>AE16+'10_Income_Statement'!AF15</f>
        <v>-46093029.8671837</v>
      </c>
      <c r="AG16" s="223">
        <f>AF16+'10_Income_Statement'!AG15</f>
        <v>-46904641.20128914</v>
      </c>
      <c r="AH16" s="223">
        <f>AG16+'10_Income_Statement'!AH15</f>
        <v>-47611387.124092326</v>
      </c>
      <c r="AI16" s="223">
        <f>AH16+'10_Income_Statement'!AI15</f>
        <v>-48161868.963616118</v>
      </c>
      <c r="AJ16" s="223">
        <f>AI16+'10_Income_Statement'!AJ15</f>
        <v>-48589598.189177476</v>
      </c>
      <c r="AK16" s="223">
        <f>AJ16+'10_Income_Statement'!AK15</f>
        <v>-48858963.334884375</v>
      </c>
      <c r="AL16" s="224">
        <f t="shared" si="0"/>
        <v>-15591638.55516699</v>
      </c>
      <c r="AM16" s="225">
        <f t="shared" si="1"/>
        <v>-37094536.124291934</v>
      </c>
      <c r="AN16" s="226">
        <f t="shared" si="2"/>
        <v>-48858963.334884375</v>
      </c>
    </row>
    <row r="17" spans="1:40" x14ac:dyDescent="0.3">
      <c r="A17" s="46"/>
      <c r="B17" s="184"/>
      <c r="C17" s="184"/>
      <c r="D17" s="184"/>
      <c r="E17" s="184"/>
      <c r="F17" s="184"/>
      <c r="G17" s="184"/>
      <c r="H17" s="184"/>
      <c r="I17" s="184"/>
      <c r="J17" s="184"/>
      <c r="K17" s="184"/>
      <c r="L17" s="184"/>
      <c r="M17" s="184"/>
      <c r="N17" s="184"/>
      <c r="O17" s="184"/>
      <c r="P17" s="184"/>
      <c r="Q17" s="184"/>
      <c r="R17" s="184"/>
      <c r="S17" s="184"/>
      <c r="T17" s="184"/>
      <c r="U17" s="184"/>
      <c r="V17" s="184"/>
      <c r="W17" s="184"/>
      <c r="X17" s="184"/>
      <c r="Y17" s="184"/>
      <c r="Z17" s="184"/>
      <c r="AA17" s="184"/>
      <c r="AB17" s="184"/>
      <c r="AC17" s="184"/>
      <c r="AD17" s="184"/>
      <c r="AE17" s="184"/>
      <c r="AF17" s="184"/>
      <c r="AG17" s="184"/>
      <c r="AH17" s="184"/>
      <c r="AI17" s="184"/>
      <c r="AJ17" s="184"/>
      <c r="AK17" s="184"/>
      <c r="AL17" s="184"/>
      <c r="AM17" s="184"/>
      <c r="AN17" s="184"/>
    </row>
    <row r="18" spans="1:40" ht="15" thickBot="1" x14ac:dyDescent="0.35">
      <c r="A18" s="46"/>
      <c r="B18" s="184"/>
      <c r="C18" s="184"/>
      <c r="D18" s="184"/>
      <c r="E18" s="184"/>
      <c r="F18" s="184"/>
      <c r="G18" s="184"/>
      <c r="H18" s="184"/>
      <c r="I18" s="184"/>
      <c r="J18" s="184"/>
      <c r="K18" s="184"/>
      <c r="L18" s="184"/>
      <c r="M18" s="184"/>
      <c r="N18" s="184"/>
      <c r="O18" s="184"/>
      <c r="P18" s="184"/>
      <c r="Q18" s="184"/>
      <c r="R18" s="184"/>
      <c r="S18" s="184"/>
      <c r="T18" s="184"/>
      <c r="U18" s="184"/>
      <c r="V18" s="184"/>
      <c r="W18" s="184"/>
      <c r="X18" s="184"/>
      <c r="Y18" s="184"/>
      <c r="Z18" s="184"/>
      <c r="AA18" s="184"/>
      <c r="AB18" s="184"/>
      <c r="AC18" s="184"/>
      <c r="AD18" s="184"/>
      <c r="AE18" s="184"/>
      <c r="AF18" s="184"/>
      <c r="AG18" s="184"/>
      <c r="AH18" s="184"/>
      <c r="AI18" s="184"/>
      <c r="AJ18" s="184"/>
      <c r="AK18" s="184"/>
      <c r="AL18" s="184"/>
      <c r="AM18" s="184"/>
      <c r="AN18" s="184"/>
    </row>
    <row r="19" spans="1:40" x14ac:dyDescent="0.3">
      <c r="A19" s="227" t="s">
        <v>191</v>
      </c>
      <c r="B19" s="196">
        <f t="shared" ref="B19:AK19" si="3">SUM(B4:B7)</f>
        <v>6082651.2121212119</v>
      </c>
      <c r="C19" s="196">
        <f t="shared" si="3"/>
        <v>4871286.1223742021</v>
      </c>
      <c r="D19" s="196">
        <f t="shared" si="3"/>
        <v>3671306.0256300652</v>
      </c>
      <c r="E19" s="196">
        <f t="shared" si="3"/>
        <v>3478676.2256757645</v>
      </c>
      <c r="F19" s="196">
        <f t="shared" si="3"/>
        <v>4285207.7371600261</v>
      </c>
      <c r="G19" s="196">
        <f t="shared" si="3"/>
        <v>3095223.9667617502</v>
      </c>
      <c r="H19" s="196">
        <f t="shared" si="3"/>
        <v>10885460.73947786</v>
      </c>
      <c r="I19" s="196">
        <f t="shared" si="3"/>
        <v>9612277.0032599811</v>
      </c>
      <c r="J19" s="196">
        <f t="shared" si="3"/>
        <v>8282984.4321466461</v>
      </c>
      <c r="K19" s="196">
        <f t="shared" si="3"/>
        <v>6907409.824017629</v>
      </c>
      <c r="L19" s="196">
        <f t="shared" si="3"/>
        <v>5474251.1718563279</v>
      </c>
      <c r="M19" s="196">
        <f t="shared" si="3"/>
        <v>13983663.864722233</v>
      </c>
      <c r="N19" s="196">
        <f t="shared" si="3"/>
        <v>12470606.763374306</v>
      </c>
      <c r="O19" s="196">
        <f t="shared" si="3"/>
        <v>10700692.625325434</v>
      </c>
      <c r="P19" s="196">
        <f t="shared" si="3"/>
        <v>8986727.81812918</v>
      </c>
      <c r="Q19" s="196">
        <f t="shared" si="3"/>
        <v>7335597.7775321091</v>
      </c>
      <c r="R19" s="196">
        <f t="shared" si="3"/>
        <v>5740427.7597409654</v>
      </c>
      <c r="S19" s="196">
        <f t="shared" si="3"/>
        <v>4201284.3366608126</v>
      </c>
      <c r="T19" s="196">
        <f t="shared" si="3"/>
        <v>42725176.76141011</v>
      </c>
      <c r="U19" s="196">
        <f t="shared" si="3"/>
        <v>41251828.404538698</v>
      </c>
      <c r="V19" s="196">
        <f t="shared" si="3"/>
        <v>39283301.466659866</v>
      </c>
      <c r="W19" s="196">
        <f t="shared" si="3"/>
        <v>37394547.87292549</v>
      </c>
      <c r="X19" s="196">
        <f t="shared" si="3"/>
        <v>35578198.2916179</v>
      </c>
      <c r="Y19" s="196">
        <f t="shared" si="3"/>
        <v>33858091.70328857</v>
      </c>
      <c r="Z19" s="196">
        <f t="shared" si="3"/>
        <v>32255870.684846029</v>
      </c>
      <c r="AA19" s="196">
        <f t="shared" si="3"/>
        <v>30789900.671934146</v>
      </c>
      <c r="AB19" s="196">
        <f t="shared" si="3"/>
        <v>29445304.22733492</v>
      </c>
      <c r="AC19" s="196">
        <f t="shared" si="3"/>
        <v>28216446.979157735</v>
      </c>
      <c r="AD19" s="196">
        <f t="shared" si="3"/>
        <v>27111618.316674493</v>
      </c>
      <c r="AE19" s="196">
        <f t="shared" si="3"/>
        <v>26117429.0663651</v>
      </c>
      <c r="AF19" s="196">
        <f t="shared" si="3"/>
        <v>25241239.085187864</v>
      </c>
      <c r="AG19" s="196">
        <f t="shared" si="3"/>
        <v>24490593.736166172</v>
      </c>
      <c r="AH19" s="196">
        <f t="shared" si="3"/>
        <v>23851250.961031012</v>
      </c>
      <c r="AI19" s="196">
        <f t="shared" si="3"/>
        <v>23343580.393601134</v>
      </c>
      <c r="AJ19" s="196">
        <f t="shared" si="3"/>
        <v>22976641.749717813</v>
      </c>
      <c r="AK19" s="196">
        <f t="shared" si="3"/>
        <v>22751567.916449033</v>
      </c>
      <c r="AL19" s="14">
        <f>SUM(AL4:AL7)</f>
        <v>13983663.864722233</v>
      </c>
      <c r="AM19" s="15">
        <f>SUM(AM4:AM7)</f>
        <v>33858091.70328857</v>
      </c>
      <c r="AN19" s="16">
        <f>SUM(AN4:AN7)</f>
        <v>22751567.916449033</v>
      </c>
    </row>
    <row r="20" spans="1:40" x14ac:dyDescent="0.3">
      <c r="A20" s="228" t="s">
        <v>192</v>
      </c>
      <c r="B20" s="199">
        <f t="shared" ref="B20:AK20" si="4">SUM(B9:B16)</f>
        <v>6082651.2121212119</v>
      </c>
      <c r="C20" s="199">
        <f t="shared" si="4"/>
        <v>4871286.1223742012</v>
      </c>
      <c r="D20" s="199">
        <f t="shared" si="4"/>
        <v>3671306.0256300666</v>
      </c>
      <c r="E20" s="199">
        <f t="shared" si="4"/>
        <v>3478676.2256757654</v>
      </c>
      <c r="F20" s="199">
        <f t="shared" si="4"/>
        <v>4285207.737160027</v>
      </c>
      <c r="G20" s="199">
        <f t="shared" si="4"/>
        <v>3095223.9667617511</v>
      </c>
      <c r="H20" s="199">
        <f t="shared" si="4"/>
        <v>10885460.73947786</v>
      </c>
      <c r="I20" s="199">
        <f t="shared" si="4"/>
        <v>9612277.0032599829</v>
      </c>
      <c r="J20" s="199">
        <f t="shared" si="4"/>
        <v>8282984.4321466479</v>
      </c>
      <c r="K20" s="199">
        <f t="shared" si="4"/>
        <v>6907409.8240176328</v>
      </c>
      <c r="L20" s="199">
        <f t="shared" si="4"/>
        <v>5474251.1718563326</v>
      </c>
      <c r="M20" s="199">
        <f t="shared" si="4"/>
        <v>13983663.864722237</v>
      </c>
      <c r="N20" s="199">
        <f t="shared" si="4"/>
        <v>12470606.763374314</v>
      </c>
      <c r="O20" s="199">
        <f t="shared" si="4"/>
        <v>10700692.625325438</v>
      </c>
      <c r="P20" s="199">
        <f t="shared" si="4"/>
        <v>8986727.8181291819</v>
      </c>
      <c r="Q20" s="199">
        <f t="shared" si="4"/>
        <v>7335597.7775321119</v>
      </c>
      <c r="R20" s="199">
        <f t="shared" si="4"/>
        <v>5740427.7597409673</v>
      </c>
      <c r="S20" s="199">
        <f t="shared" si="4"/>
        <v>4201284.3366608173</v>
      </c>
      <c r="T20" s="199">
        <f t="shared" si="4"/>
        <v>42725176.761410117</v>
      </c>
      <c r="U20" s="199">
        <f t="shared" si="4"/>
        <v>41251828.404538706</v>
      </c>
      <c r="V20" s="199">
        <f t="shared" si="4"/>
        <v>39283301.466659874</v>
      </c>
      <c r="W20" s="199">
        <f t="shared" si="4"/>
        <v>37394547.87292549</v>
      </c>
      <c r="X20" s="199">
        <f t="shared" si="4"/>
        <v>35578198.2916179</v>
      </c>
      <c r="Y20" s="199">
        <f t="shared" si="4"/>
        <v>33858091.703288577</v>
      </c>
      <c r="Z20" s="199">
        <f t="shared" si="4"/>
        <v>32255870.684846036</v>
      </c>
      <c r="AA20" s="199">
        <f t="shared" si="4"/>
        <v>30789900.671934158</v>
      </c>
      <c r="AB20" s="199">
        <f t="shared" si="4"/>
        <v>29445304.227334924</v>
      </c>
      <c r="AC20" s="199">
        <f t="shared" si="4"/>
        <v>28216446.979157746</v>
      </c>
      <c r="AD20" s="199">
        <f t="shared" si="4"/>
        <v>27111618.316674493</v>
      </c>
      <c r="AE20" s="199">
        <f t="shared" si="4"/>
        <v>26117429.066365115</v>
      </c>
      <c r="AF20" s="199">
        <f t="shared" si="4"/>
        <v>25241239.085187867</v>
      </c>
      <c r="AG20" s="199">
        <f t="shared" si="4"/>
        <v>24490593.736166172</v>
      </c>
      <c r="AH20" s="199">
        <f t="shared" si="4"/>
        <v>23851250.96103102</v>
      </c>
      <c r="AI20" s="199">
        <f t="shared" si="4"/>
        <v>23343580.393601134</v>
      </c>
      <c r="AJ20" s="199">
        <f t="shared" si="4"/>
        <v>22976641.749717824</v>
      </c>
      <c r="AK20" s="199">
        <f t="shared" si="4"/>
        <v>22751567.91644904</v>
      </c>
      <c r="AL20" s="17">
        <f>SUM(AL9:AL16)</f>
        <v>13983663.864722237</v>
      </c>
      <c r="AM20" s="18">
        <f>SUM(AM9:AM16)</f>
        <v>33858091.703288577</v>
      </c>
      <c r="AN20" s="19">
        <f>SUM(AN9:AN16)</f>
        <v>22751567.91644904</v>
      </c>
    </row>
    <row r="21" spans="1:40" ht="15" thickBot="1" x14ac:dyDescent="0.35">
      <c r="A21" s="229" t="s">
        <v>193</v>
      </c>
      <c r="B21" s="216">
        <f>B19-B20</f>
        <v>0</v>
      </c>
      <c r="C21" s="216">
        <f t="shared" ref="C21:AN21" si="5">C19-C20</f>
        <v>0</v>
      </c>
      <c r="D21" s="216">
        <f t="shared" si="5"/>
        <v>0</v>
      </c>
      <c r="E21" s="216">
        <f t="shared" si="5"/>
        <v>0</v>
      </c>
      <c r="F21" s="216">
        <f t="shared" si="5"/>
        <v>0</v>
      </c>
      <c r="G21" s="216">
        <f t="shared" si="5"/>
        <v>0</v>
      </c>
      <c r="H21" s="216">
        <f t="shared" si="5"/>
        <v>0</v>
      </c>
      <c r="I21" s="216">
        <f t="shared" si="5"/>
        <v>0</v>
      </c>
      <c r="J21" s="216">
        <f t="shared" si="5"/>
        <v>0</v>
      </c>
      <c r="K21" s="216">
        <f t="shared" si="5"/>
        <v>0</v>
      </c>
      <c r="L21" s="216">
        <f t="shared" si="5"/>
        <v>0</v>
      </c>
      <c r="M21" s="216">
        <f t="shared" si="5"/>
        <v>0</v>
      </c>
      <c r="N21" s="216">
        <f t="shared" si="5"/>
        <v>0</v>
      </c>
      <c r="O21" s="216">
        <f t="shared" si="5"/>
        <v>0</v>
      </c>
      <c r="P21" s="216">
        <f t="shared" si="5"/>
        <v>0</v>
      </c>
      <c r="Q21" s="216">
        <f t="shared" si="5"/>
        <v>0</v>
      </c>
      <c r="R21" s="216">
        <f t="shared" si="5"/>
        <v>0</v>
      </c>
      <c r="S21" s="216">
        <f t="shared" si="5"/>
        <v>0</v>
      </c>
      <c r="T21" s="216">
        <f t="shared" si="5"/>
        <v>0</v>
      </c>
      <c r="U21" s="216">
        <f t="shared" si="5"/>
        <v>0</v>
      </c>
      <c r="V21" s="216">
        <f t="shared" si="5"/>
        <v>0</v>
      </c>
      <c r="W21" s="216">
        <f t="shared" si="5"/>
        <v>0</v>
      </c>
      <c r="X21" s="216">
        <f t="shared" si="5"/>
        <v>0</v>
      </c>
      <c r="Y21" s="216">
        <f t="shared" si="5"/>
        <v>0</v>
      </c>
      <c r="Z21" s="216">
        <f t="shared" si="5"/>
        <v>0</v>
      </c>
      <c r="AA21" s="216">
        <f t="shared" si="5"/>
        <v>0</v>
      </c>
      <c r="AB21" s="216">
        <f t="shared" si="5"/>
        <v>0</v>
      </c>
      <c r="AC21" s="216">
        <f t="shared" si="5"/>
        <v>0</v>
      </c>
      <c r="AD21" s="216">
        <f t="shared" si="5"/>
        <v>0</v>
      </c>
      <c r="AE21" s="216">
        <f t="shared" si="5"/>
        <v>0</v>
      </c>
      <c r="AF21" s="216">
        <f t="shared" si="5"/>
        <v>0</v>
      </c>
      <c r="AG21" s="216">
        <f t="shared" si="5"/>
        <v>0</v>
      </c>
      <c r="AH21" s="216">
        <f t="shared" si="5"/>
        <v>0</v>
      </c>
      <c r="AI21" s="216">
        <f t="shared" si="5"/>
        <v>0</v>
      </c>
      <c r="AJ21" s="216">
        <f t="shared" si="5"/>
        <v>0</v>
      </c>
      <c r="AK21" s="216">
        <f t="shared" si="5"/>
        <v>0</v>
      </c>
      <c r="AL21" s="215">
        <f t="shared" si="5"/>
        <v>0</v>
      </c>
      <c r="AM21" s="216">
        <f t="shared" si="5"/>
        <v>0</v>
      </c>
      <c r="AN21" s="217">
        <f t="shared" si="5"/>
        <v>0</v>
      </c>
    </row>
    <row r="22" spans="1:40" x14ac:dyDescent="0.3">
      <c r="B22" s="5"/>
      <c r="C22" s="5"/>
      <c r="D22" s="5"/>
      <c r="E22" s="5"/>
      <c r="F22" s="5"/>
      <c r="G22" s="5"/>
      <c r="H22" s="5"/>
      <c r="I22" s="5"/>
      <c r="J22" s="5"/>
      <c r="K22" s="5"/>
      <c r="L22" s="5"/>
      <c r="M22" s="5"/>
      <c r="N22" s="5"/>
      <c r="O22" s="5"/>
      <c r="P22" s="5"/>
      <c r="Q22" s="5"/>
      <c r="R22" s="5"/>
      <c r="S22" s="5"/>
      <c r="T22" s="5"/>
      <c r="U22" s="5"/>
      <c r="V22" s="5"/>
      <c r="W22" s="5"/>
      <c r="X22" s="5"/>
      <c r="Y22" s="5"/>
      <c r="Z22" s="5"/>
      <c r="AA22" s="5"/>
      <c r="AB22" s="5"/>
      <c r="AC22" s="5"/>
      <c r="AD22" s="5"/>
      <c r="AE22" s="5"/>
      <c r="AF22" s="5"/>
      <c r="AG22" s="5"/>
      <c r="AH22" s="5"/>
      <c r="AI22" s="5"/>
      <c r="AJ22" s="5"/>
      <c r="AK22" s="5"/>
      <c r="AL22" s="5"/>
      <c r="AM22" s="5"/>
      <c r="AN22" s="5"/>
    </row>
    <row r="23" spans="1:40" x14ac:dyDescent="0.3">
      <c r="B23" s="5"/>
      <c r="C23" s="5"/>
      <c r="D23" s="5"/>
      <c r="E23" s="5"/>
      <c r="F23" s="5"/>
      <c r="G23" s="5"/>
      <c r="H23" s="5"/>
      <c r="I23" s="5"/>
      <c r="J23" s="5"/>
      <c r="K23" s="5"/>
      <c r="L23" s="5"/>
      <c r="M23" s="5"/>
      <c r="N23" s="5"/>
      <c r="O23" s="5"/>
      <c r="P23" s="5"/>
      <c r="Q23" s="5"/>
      <c r="R23" s="5"/>
      <c r="S23" s="5"/>
      <c r="T23" s="5"/>
      <c r="U23" s="5"/>
      <c r="V23" s="5"/>
      <c r="W23" s="5"/>
      <c r="X23" s="5"/>
      <c r="Y23" s="5"/>
      <c r="Z23" s="5"/>
      <c r="AA23" s="5"/>
      <c r="AB23" s="5"/>
      <c r="AC23" s="5"/>
      <c r="AD23" s="5"/>
      <c r="AE23" s="5"/>
      <c r="AF23" s="5"/>
      <c r="AG23" s="5"/>
      <c r="AH23" s="5"/>
      <c r="AI23" s="5"/>
      <c r="AJ23" s="5"/>
      <c r="AK23" s="5"/>
      <c r="AL23" s="5"/>
      <c r="AM23" s="5"/>
      <c r="AN23" s="5"/>
    </row>
    <row r="24" spans="1:40" x14ac:dyDescent="0.3">
      <c r="B24" s="5"/>
      <c r="C24" s="5"/>
      <c r="D24" s="5"/>
      <c r="E24" s="5"/>
      <c r="F24" s="5"/>
      <c r="G24" s="5"/>
      <c r="H24" s="5"/>
      <c r="I24" s="5"/>
      <c r="J24" s="5"/>
      <c r="K24" s="5"/>
      <c r="L24" s="5"/>
      <c r="M24" s="5"/>
      <c r="N24" s="5"/>
      <c r="O24" s="5"/>
      <c r="P24" s="5"/>
      <c r="Q24" s="5"/>
      <c r="R24" s="5"/>
      <c r="S24" s="5"/>
      <c r="T24" s="5"/>
      <c r="U24" s="5"/>
      <c r="V24" s="5"/>
      <c r="W24" s="5"/>
      <c r="X24" s="5"/>
      <c r="Y24" s="5"/>
      <c r="Z24" s="5"/>
      <c r="AA24" s="5"/>
      <c r="AB24" s="5"/>
      <c r="AC24" s="5"/>
      <c r="AD24" s="5"/>
      <c r="AE24" s="5"/>
      <c r="AF24" s="5"/>
      <c r="AG24" s="5"/>
      <c r="AH24" s="5"/>
      <c r="AI24" s="5"/>
      <c r="AJ24" s="5"/>
      <c r="AK24" s="5"/>
      <c r="AL24" s="5"/>
      <c r="AM24" s="5"/>
      <c r="AN24" s="5"/>
    </row>
    <row r="25" spans="1:40" x14ac:dyDescent="0.3">
      <c r="B25" s="5"/>
      <c r="C25" s="5"/>
      <c r="D25" s="5"/>
      <c r="E25" s="5"/>
      <c r="F25" s="5"/>
      <c r="G25" s="5"/>
      <c r="H25" s="5"/>
      <c r="I25" s="5"/>
      <c r="J25" s="5"/>
      <c r="K25" s="5"/>
      <c r="L25" s="5"/>
      <c r="M25" s="5"/>
      <c r="N25" s="5"/>
      <c r="O25" s="5"/>
      <c r="P25" s="5"/>
      <c r="Q25" s="5"/>
      <c r="R25" s="5"/>
      <c r="S25" s="5"/>
      <c r="T25" s="5"/>
      <c r="U25" s="5"/>
      <c r="V25" s="5"/>
      <c r="W25" s="5"/>
      <c r="X25" s="5"/>
      <c r="Y25" s="5"/>
      <c r="Z25" s="5"/>
      <c r="AA25" s="5"/>
      <c r="AB25" s="5"/>
      <c r="AC25" s="5"/>
      <c r="AD25" s="5"/>
      <c r="AE25" s="5"/>
      <c r="AF25" s="5"/>
      <c r="AG25" s="5"/>
      <c r="AH25" s="5"/>
      <c r="AI25" s="5"/>
      <c r="AJ25" s="5"/>
      <c r="AK25" s="5"/>
      <c r="AL25" s="5"/>
      <c r="AM25" s="5"/>
      <c r="AN25" s="5"/>
    </row>
    <row r="26" spans="1:40" x14ac:dyDescent="0.3">
      <c r="B26" s="5"/>
      <c r="C26" s="5"/>
      <c r="D26" s="5"/>
      <c r="E26" s="5"/>
      <c r="F26" s="5"/>
      <c r="G26" s="5"/>
      <c r="H26" s="5"/>
      <c r="I26" s="5"/>
      <c r="J26" s="5"/>
      <c r="K26" s="5"/>
      <c r="L26" s="5"/>
      <c r="M26" s="5"/>
      <c r="N26" s="5"/>
      <c r="O26" s="5"/>
      <c r="P26" s="5"/>
      <c r="Q26" s="5"/>
      <c r="R26" s="5"/>
      <c r="S26" s="5"/>
      <c r="T26" s="5"/>
      <c r="U26" s="5"/>
      <c r="V26" s="5"/>
      <c r="W26" s="5"/>
      <c r="X26" s="5"/>
      <c r="Y26" s="5"/>
      <c r="Z26" s="5"/>
      <c r="AA26" s="5"/>
      <c r="AB26" s="5"/>
      <c r="AC26" s="5"/>
      <c r="AD26" s="5"/>
      <c r="AE26" s="5"/>
      <c r="AF26" s="5"/>
      <c r="AG26" s="5"/>
      <c r="AH26" s="5"/>
      <c r="AI26" s="5"/>
      <c r="AJ26" s="5"/>
      <c r="AK26" s="5"/>
      <c r="AL26" s="5"/>
      <c r="AM26" s="5"/>
      <c r="AN26" s="5"/>
    </row>
    <row r="27" spans="1:40" x14ac:dyDescent="0.3">
      <c r="B27" s="5"/>
      <c r="C27" s="5"/>
      <c r="D27" s="5"/>
      <c r="E27" s="5"/>
      <c r="F27" s="5"/>
      <c r="G27" s="5"/>
      <c r="H27" s="5"/>
      <c r="I27" s="5"/>
      <c r="J27" s="5"/>
      <c r="K27" s="5"/>
      <c r="L27" s="5"/>
      <c r="M27" s="5"/>
      <c r="N27" s="5"/>
      <c r="O27" s="5"/>
      <c r="P27" s="5"/>
      <c r="Q27" s="5"/>
      <c r="R27" s="5"/>
      <c r="S27" s="5"/>
      <c r="T27" s="5"/>
      <c r="U27" s="5"/>
      <c r="V27" s="5"/>
      <c r="W27" s="5"/>
      <c r="X27" s="5"/>
      <c r="Y27" s="5"/>
      <c r="Z27" s="5"/>
      <c r="AA27" s="5"/>
      <c r="AB27" s="5"/>
      <c r="AC27" s="5"/>
      <c r="AD27" s="5"/>
      <c r="AE27" s="5"/>
      <c r="AF27" s="5"/>
      <c r="AG27" s="5"/>
      <c r="AH27" s="5"/>
      <c r="AI27" s="5"/>
      <c r="AJ27" s="5"/>
      <c r="AK27" s="5"/>
      <c r="AL27" s="5"/>
      <c r="AM27" s="5"/>
      <c r="AN27" s="5"/>
    </row>
    <row r="28" spans="1:40" x14ac:dyDescent="0.3">
      <c r="B28" s="5"/>
      <c r="C28" s="5"/>
      <c r="D28" s="5"/>
      <c r="E28" s="5"/>
      <c r="F28" s="5"/>
      <c r="G28" s="5"/>
      <c r="H28" s="5"/>
      <c r="I28" s="5"/>
      <c r="J28" s="5"/>
      <c r="K28" s="5"/>
      <c r="L28" s="5"/>
      <c r="M28" s="5"/>
      <c r="N28" s="5"/>
      <c r="O28" s="5"/>
      <c r="P28" s="5"/>
      <c r="Q28" s="5"/>
      <c r="R28" s="5"/>
      <c r="S28" s="5"/>
      <c r="T28" s="5"/>
      <c r="U28" s="5"/>
      <c r="V28" s="5"/>
      <c r="W28" s="5"/>
      <c r="X28" s="5"/>
      <c r="Y28" s="5"/>
      <c r="Z28" s="5"/>
      <c r="AA28" s="5"/>
      <c r="AB28" s="5"/>
      <c r="AC28" s="5"/>
      <c r="AD28" s="5"/>
      <c r="AE28" s="5"/>
      <c r="AF28" s="5"/>
      <c r="AG28" s="5"/>
      <c r="AH28" s="5"/>
      <c r="AI28" s="5"/>
      <c r="AJ28" s="5"/>
      <c r="AK28" s="5"/>
      <c r="AL28" s="5"/>
      <c r="AM28" s="5"/>
      <c r="AN28" s="5"/>
    </row>
    <row r="29" spans="1:40" x14ac:dyDescent="0.3">
      <c r="B29" s="5"/>
      <c r="C29" s="5"/>
      <c r="D29" s="5"/>
      <c r="E29" s="5"/>
      <c r="F29" s="5"/>
      <c r="G29" s="5"/>
      <c r="H29" s="5"/>
      <c r="I29" s="5"/>
      <c r="J29" s="5"/>
      <c r="K29" s="5"/>
      <c r="L29" s="5"/>
      <c r="M29" s="5"/>
      <c r="N29" s="5"/>
      <c r="O29" s="5"/>
      <c r="P29" s="5"/>
      <c r="Q29" s="5"/>
      <c r="R29" s="5"/>
      <c r="S29" s="5"/>
      <c r="T29" s="5"/>
      <c r="U29" s="5"/>
      <c r="V29" s="5"/>
      <c r="W29" s="5"/>
      <c r="X29" s="5"/>
      <c r="Y29" s="5"/>
      <c r="Z29" s="5"/>
      <c r="AA29" s="5"/>
      <c r="AB29" s="5"/>
      <c r="AC29" s="5"/>
      <c r="AD29" s="5"/>
      <c r="AE29" s="5"/>
      <c r="AF29" s="5"/>
      <c r="AG29" s="5"/>
      <c r="AH29" s="5"/>
      <c r="AI29" s="5"/>
      <c r="AJ29" s="5"/>
      <c r="AK29" s="5"/>
      <c r="AL29" s="5"/>
      <c r="AM29" s="5"/>
      <c r="AN29" s="5"/>
    </row>
    <row r="30" spans="1:40" x14ac:dyDescent="0.3">
      <c r="B30" s="5"/>
      <c r="C30" s="5"/>
      <c r="D30" s="5"/>
      <c r="E30" s="5"/>
      <c r="F30" s="5"/>
      <c r="G30" s="5"/>
      <c r="H30" s="5"/>
      <c r="I30" s="5"/>
      <c r="J30" s="5"/>
      <c r="K30" s="5"/>
      <c r="L30" s="5"/>
      <c r="M30" s="5"/>
      <c r="N30" s="5"/>
      <c r="O30" s="5"/>
      <c r="P30" s="5"/>
      <c r="Q30" s="5"/>
      <c r="R30" s="5"/>
      <c r="S30" s="5"/>
      <c r="T30" s="5"/>
      <c r="U30" s="5"/>
      <c r="V30" s="5"/>
      <c r="W30" s="5"/>
      <c r="X30" s="5"/>
      <c r="Y30" s="5"/>
      <c r="Z30" s="5"/>
      <c r="AA30" s="5"/>
      <c r="AB30" s="5"/>
      <c r="AC30" s="5"/>
      <c r="AD30" s="5"/>
      <c r="AE30" s="5"/>
      <c r="AF30" s="5"/>
      <c r="AG30" s="5"/>
      <c r="AH30" s="5"/>
      <c r="AI30" s="5"/>
      <c r="AJ30" s="5"/>
      <c r="AK30" s="5"/>
      <c r="AL30" s="5"/>
      <c r="AM30" s="5"/>
      <c r="AN30" s="5"/>
    </row>
    <row r="31" spans="1:40" x14ac:dyDescent="0.3">
      <c r="B31" s="5"/>
      <c r="C31" s="5"/>
      <c r="D31" s="5"/>
      <c r="E31" s="5"/>
      <c r="F31" s="5"/>
      <c r="G31" s="5"/>
      <c r="H31" s="5"/>
      <c r="I31" s="5"/>
      <c r="J31" s="5"/>
      <c r="K31" s="5"/>
      <c r="L31" s="5"/>
      <c r="M31" s="5"/>
      <c r="N31" s="5"/>
      <c r="O31" s="5"/>
      <c r="P31" s="5"/>
      <c r="Q31" s="5"/>
      <c r="R31" s="5"/>
      <c r="S31" s="5"/>
      <c r="T31" s="5"/>
      <c r="U31" s="5"/>
      <c r="V31" s="5"/>
      <c r="W31" s="5"/>
      <c r="X31" s="5"/>
      <c r="Y31" s="5"/>
      <c r="Z31" s="5"/>
      <c r="AA31" s="5"/>
      <c r="AB31" s="5"/>
      <c r="AC31" s="5"/>
      <c r="AD31" s="5"/>
      <c r="AE31" s="5"/>
      <c r="AF31" s="5"/>
      <c r="AG31" s="5"/>
      <c r="AH31" s="5"/>
      <c r="AI31" s="5"/>
      <c r="AJ31" s="5"/>
      <c r="AK31" s="5"/>
      <c r="AL31" s="5"/>
      <c r="AM31" s="5"/>
      <c r="AN31" s="5"/>
    </row>
    <row r="32" spans="1:40" x14ac:dyDescent="0.3">
      <c r="B32" s="5"/>
      <c r="C32" s="5"/>
      <c r="D32" s="5"/>
      <c r="E32" s="5"/>
      <c r="F32" s="5"/>
      <c r="G32" s="5"/>
      <c r="H32" s="5"/>
      <c r="I32" s="5"/>
      <c r="J32" s="5"/>
      <c r="K32" s="5"/>
      <c r="L32" s="5"/>
      <c r="M32" s="5"/>
      <c r="N32" s="5"/>
      <c r="O32" s="5"/>
      <c r="P32" s="5"/>
      <c r="Q32" s="5"/>
      <c r="R32" s="5"/>
      <c r="S32" s="5"/>
      <c r="T32" s="5"/>
      <c r="U32" s="5"/>
      <c r="V32" s="5"/>
      <c r="W32" s="5"/>
      <c r="X32" s="5"/>
      <c r="Y32" s="5"/>
      <c r="Z32" s="5"/>
      <c r="AA32" s="5"/>
      <c r="AB32" s="5"/>
      <c r="AC32" s="5"/>
      <c r="AD32" s="5"/>
      <c r="AE32" s="5"/>
      <c r="AF32" s="5"/>
      <c r="AG32" s="5"/>
      <c r="AH32" s="5"/>
      <c r="AI32" s="5"/>
      <c r="AJ32" s="5"/>
      <c r="AK32" s="5"/>
      <c r="AL32" s="5"/>
      <c r="AM32" s="5"/>
      <c r="AN32" s="5"/>
    </row>
    <row r="33" spans="2:40" x14ac:dyDescent="0.3">
      <c r="B33" s="5"/>
      <c r="C33" s="5"/>
      <c r="D33" s="5"/>
      <c r="E33" s="5"/>
      <c r="F33" s="5"/>
      <c r="G33" s="5"/>
      <c r="H33" s="5"/>
      <c r="I33" s="5"/>
      <c r="J33" s="5"/>
      <c r="K33" s="5"/>
      <c r="L33" s="5"/>
      <c r="M33" s="5"/>
      <c r="N33" s="5"/>
      <c r="O33" s="5"/>
      <c r="P33" s="5"/>
      <c r="Q33" s="5"/>
      <c r="R33" s="5"/>
      <c r="S33" s="5"/>
      <c r="T33" s="5"/>
      <c r="U33" s="5"/>
      <c r="V33" s="5"/>
      <c r="W33" s="5"/>
      <c r="X33" s="5"/>
      <c r="Y33" s="5"/>
      <c r="Z33" s="5"/>
      <c r="AA33" s="5"/>
      <c r="AB33" s="5"/>
      <c r="AC33" s="5"/>
      <c r="AD33" s="5"/>
      <c r="AE33" s="5"/>
      <c r="AF33" s="5"/>
      <c r="AG33" s="5"/>
      <c r="AH33" s="5"/>
      <c r="AI33" s="5"/>
      <c r="AJ33" s="5"/>
      <c r="AK33" s="5"/>
      <c r="AL33" s="5"/>
      <c r="AM33" s="5"/>
      <c r="AN33" s="5"/>
    </row>
    <row r="34" spans="2:40" x14ac:dyDescent="0.3">
      <c r="B34" s="5"/>
      <c r="C34" s="5"/>
      <c r="D34" s="5"/>
      <c r="E34" s="5"/>
      <c r="F34" s="5"/>
      <c r="G34" s="5"/>
      <c r="H34" s="5"/>
      <c r="I34" s="5"/>
      <c r="J34" s="5"/>
      <c r="K34" s="5"/>
      <c r="L34" s="5"/>
      <c r="M34" s="5"/>
      <c r="N34" s="5"/>
      <c r="O34" s="5"/>
      <c r="P34" s="5"/>
      <c r="Q34" s="5"/>
      <c r="R34" s="5"/>
      <c r="S34" s="5"/>
      <c r="T34" s="5"/>
      <c r="U34" s="5"/>
      <c r="V34" s="5"/>
      <c r="W34" s="5"/>
      <c r="X34" s="5"/>
      <c r="Y34" s="5"/>
      <c r="Z34" s="5"/>
      <c r="AA34" s="5"/>
      <c r="AB34" s="5"/>
      <c r="AC34" s="5"/>
      <c r="AD34" s="5"/>
      <c r="AE34" s="5"/>
      <c r="AF34" s="5"/>
      <c r="AG34" s="5"/>
      <c r="AH34" s="5"/>
      <c r="AI34" s="5"/>
      <c r="AJ34" s="5"/>
      <c r="AK34" s="5"/>
      <c r="AL34" s="5"/>
      <c r="AM34" s="5"/>
      <c r="AN34" s="5"/>
    </row>
    <row r="35" spans="2:40" x14ac:dyDescent="0.3">
      <c r="B35" s="5"/>
      <c r="C35" s="5"/>
      <c r="D35" s="5"/>
      <c r="E35" s="5"/>
      <c r="F35" s="5"/>
      <c r="G35" s="5"/>
      <c r="H35" s="5"/>
      <c r="I35" s="5"/>
      <c r="J35" s="5"/>
      <c r="K35" s="5"/>
      <c r="L35" s="5"/>
      <c r="M35" s="5"/>
      <c r="N35" s="5"/>
      <c r="O35" s="5"/>
      <c r="P35" s="5"/>
      <c r="Q35" s="5"/>
      <c r="R35" s="5"/>
      <c r="S35" s="5"/>
      <c r="T35" s="5"/>
      <c r="U35" s="5"/>
      <c r="V35" s="5"/>
      <c r="W35" s="5"/>
      <c r="X35" s="5"/>
      <c r="Y35" s="5"/>
      <c r="Z35" s="5"/>
      <c r="AA35" s="5"/>
      <c r="AB35" s="5"/>
      <c r="AC35" s="5"/>
      <c r="AD35" s="5"/>
      <c r="AE35" s="5"/>
      <c r="AF35" s="5"/>
      <c r="AG35" s="5"/>
      <c r="AH35" s="5"/>
      <c r="AI35" s="5"/>
      <c r="AJ35" s="5"/>
      <c r="AK35" s="5"/>
      <c r="AL35" s="5"/>
      <c r="AM35" s="5"/>
      <c r="AN35" s="5"/>
    </row>
    <row r="36" spans="2:40" x14ac:dyDescent="0.3">
      <c r="B36" s="5"/>
      <c r="C36" s="5"/>
      <c r="D36" s="5"/>
      <c r="E36" s="5"/>
      <c r="F36" s="5"/>
      <c r="G36" s="5"/>
      <c r="H36" s="5"/>
      <c r="I36" s="5"/>
      <c r="J36" s="5"/>
      <c r="K36" s="5"/>
      <c r="L36" s="5"/>
      <c r="M36" s="5"/>
      <c r="N36" s="5"/>
      <c r="O36" s="5"/>
      <c r="P36" s="5"/>
      <c r="Q36" s="5"/>
      <c r="R36" s="5"/>
      <c r="S36" s="5"/>
      <c r="T36" s="5"/>
      <c r="U36" s="5"/>
      <c r="V36" s="5"/>
      <c r="W36" s="5"/>
      <c r="X36" s="5"/>
      <c r="Y36" s="5"/>
      <c r="Z36" s="5"/>
      <c r="AA36" s="5"/>
      <c r="AB36" s="5"/>
      <c r="AC36" s="5"/>
      <c r="AD36" s="5"/>
      <c r="AE36" s="5"/>
      <c r="AF36" s="5"/>
      <c r="AG36" s="5"/>
      <c r="AH36" s="5"/>
      <c r="AI36" s="5"/>
      <c r="AJ36" s="5"/>
      <c r="AK36" s="5"/>
      <c r="AL36" s="5"/>
      <c r="AM36" s="5"/>
      <c r="AN36" s="5"/>
    </row>
    <row r="37" spans="2:40" x14ac:dyDescent="0.3">
      <c r="B37" s="5"/>
      <c r="C37" s="5"/>
      <c r="D37" s="5"/>
      <c r="E37" s="5"/>
      <c r="F37" s="5"/>
      <c r="G37" s="5"/>
      <c r="H37" s="5"/>
      <c r="I37" s="5"/>
      <c r="J37" s="5"/>
      <c r="K37" s="5"/>
      <c r="L37" s="5"/>
      <c r="M37" s="5"/>
      <c r="N37" s="5"/>
      <c r="O37" s="5"/>
      <c r="P37" s="5"/>
      <c r="Q37" s="5"/>
      <c r="R37" s="5"/>
      <c r="S37" s="5"/>
      <c r="T37" s="5"/>
      <c r="U37" s="5"/>
      <c r="V37" s="5"/>
      <c r="W37" s="5"/>
      <c r="X37" s="5"/>
      <c r="Y37" s="5"/>
      <c r="Z37" s="5"/>
      <c r="AA37" s="5"/>
      <c r="AB37" s="5"/>
      <c r="AC37" s="5"/>
      <c r="AD37" s="5"/>
      <c r="AE37" s="5"/>
      <c r="AF37" s="5"/>
      <c r="AG37" s="5"/>
      <c r="AH37" s="5"/>
      <c r="AI37" s="5"/>
      <c r="AJ37" s="5"/>
      <c r="AK37" s="5"/>
      <c r="AL37" s="5"/>
      <c r="AM37" s="5"/>
      <c r="AN37" s="5"/>
    </row>
    <row r="38" spans="2:40" x14ac:dyDescent="0.3">
      <c r="B38" s="5"/>
      <c r="C38" s="5"/>
      <c r="D38" s="5"/>
      <c r="E38" s="5"/>
      <c r="F38" s="5"/>
      <c r="G38" s="5"/>
      <c r="H38" s="5"/>
      <c r="I38" s="5"/>
      <c r="J38" s="5"/>
      <c r="K38" s="5"/>
      <c r="L38" s="5"/>
      <c r="M38" s="5"/>
      <c r="N38" s="5"/>
      <c r="O38" s="5"/>
      <c r="P38" s="5"/>
      <c r="Q38" s="5"/>
      <c r="R38" s="5"/>
      <c r="S38" s="5"/>
      <c r="T38" s="5"/>
      <c r="U38" s="5"/>
      <c r="V38" s="5"/>
      <c r="W38" s="5"/>
      <c r="X38" s="5"/>
      <c r="Y38" s="5"/>
      <c r="Z38" s="5"/>
      <c r="AA38" s="5"/>
      <c r="AB38" s="5"/>
      <c r="AC38" s="5"/>
      <c r="AD38" s="5"/>
      <c r="AE38" s="5"/>
      <c r="AF38" s="5"/>
      <c r="AG38" s="5"/>
      <c r="AH38" s="5"/>
      <c r="AI38" s="5"/>
      <c r="AJ38" s="5"/>
      <c r="AK38" s="5"/>
      <c r="AL38" s="5"/>
      <c r="AM38" s="5"/>
      <c r="AN38" s="5"/>
    </row>
    <row r="39" spans="2:40" x14ac:dyDescent="0.3">
      <c r="B39" s="5"/>
      <c r="C39" s="5"/>
      <c r="D39" s="5"/>
      <c r="E39" s="5"/>
      <c r="F39" s="5"/>
      <c r="G39" s="5"/>
      <c r="H39" s="5"/>
      <c r="I39" s="5"/>
      <c r="J39" s="5"/>
      <c r="K39" s="5"/>
      <c r="L39" s="5"/>
      <c r="M39" s="5"/>
      <c r="N39" s="5"/>
      <c r="O39" s="5"/>
      <c r="P39" s="5"/>
      <c r="Q39" s="5"/>
      <c r="R39" s="5"/>
      <c r="S39" s="5"/>
      <c r="T39" s="5"/>
      <c r="U39" s="5"/>
      <c r="V39" s="5"/>
      <c r="W39" s="5"/>
      <c r="X39" s="5"/>
      <c r="Y39" s="5"/>
      <c r="Z39" s="5"/>
      <c r="AA39" s="5"/>
      <c r="AB39" s="5"/>
      <c r="AC39" s="5"/>
      <c r="AD39" s="5"/>
      <c r="AE39" s="5"/>
      <c r="AF39" s="5"/>
      <c r="AG39" s="5"/>
      <c r="AH39" s="5"/>
      <c r="AI39" s="5"/>
      <c r="AJ39" s="5"/>
      <c r="AK39" s="5"/>
      <c r="AL39" s="5"/>
      <c r="AM39" s="5"/>
      <c r="AN39" s="5"/>
    </row>
    <row r="40" spans="2:40" x14ac:dyDescent="0.3">
      <c r="B40" s="5"/>
      <c r="C40" s="5"/>
      <c r="D40" s="5"/>
      <c r="E40" s="5"/>
      <c r="F40" s="5"/>
      <c r="G40" s="5"/>
      <c r="H40" s="5"/>
      <c r="I40" s="5"/>
      <c r="J40" s="5"/>
      <c r="K40" s="5"/>
      <c r="L40" s="5"/>
      <c r="M40" s="5"/>
      <c r="N40" s="5"/>
      <c r="O40" s="5"/>
      <c r="P40" s="5"/>
      <c r="Q40" s="5"/>
      <c r="R40" s="5"/>
      <c r="S40" s="5"/>
      <c r="T40" s="5"/>
      <c r="U40" s="5"/>
      <c r="V40" s="5"/>
      <c r="W40" s="5"/>
      <c r="X40" s="5"/>
      <c r="Y40" s="5"/>
      <c r="Z40" s="5"/>
      <c r="AA40" s="5"/>
      <c r="AB40" s="5"/>
      <c r="AC40" s="5"/>
      <c r="AD40" s="5"/>
      <c r="AE40" s="5"/>
      <c r="AF40" s="5"/>
      <c r="AG40" s="5"/>
      <c r="AH40" s="5"/>
      <c r="AI40" s="5"/>
      <c r="AJ40" s="5"/>
      <c r="AK40" s="5"/>
      <c r="AL40" s="5"/>
      <c r="AM40" s="5"/>
      <c r="AN40" s="5"/>
    </row>
    <row r="41" spans="2:40" x14ac:dyDescent="0.3">
      <c r="B41" s="5"/>
      <c r="C41" s="5"/>
      <c r="D41" s="5"/>
      <c r="E41" s="5"/>
      <c r="F41" s="5"/>
      <c r="G41" s="5"/>
      <c r="H41" s="5"/>
      <c r="I41" s="5"/>
      <c r="J41" s="5"/>
      <c r="K41" s="5"/>
      <c r="L41" s="5"/>
      <c r="M41" s="5"/>
      <c r="N41" s="5"/>
      <c r="O41" s="5"/>
      <c r="P41" s="5"/>
      <c r="Q41" s="5"/>
      <c r="R41" s="5"/>
      <c r="S41" s="5"/>
      <c r="T41" s="5"/>
      <c r="U41" s="5"/>
      <c r="V41" s="5"/>
      <c r="W41" s="5"/>
      <c r="X41" s="5"/>
      <c r="Y41" s="5"/>
      <c r="Z41" s="5"/>
      <c r="AA41" s="5"/>
      <c r="AB41" s="5"/>
      <c r="AC41" s="5"/>
      <c r="AD41" s="5"/>
      <c r="AE41" s="5"/>
      <c r="AF41" s="5"/>
      <c r="AG41" s="5"/>
      <c r="AH41" s="5"/>
      <c r="AI41" s="5"/>
      <c r="AJ41" s="5"/>
      <c r="AK41" s="5"/>
      <c r="AL41" s="5"/>
      <c r="AM41" s="5"/>
      <c r="AN41" s="5"/>
    </row>
    <row r="42" spans="2:40" x14ac:dyDescent="0.3">
      <c r="B42" s="5"/>
      <c r="C42" s="5"/>
      <c r="D42" s="5"/>
      <c r="E42" s="5"/>
      <c r="F42" s="5"/>
      <c r="G42" s="5"/>
      <c r="H42" s="5"/>
      <c r="I42" s="5"/>
      <c r="J42" s="5"/>
      <c r="K42" s="5"/>
      <c r="L42" s="5"/>
      <c r="M42" s="5"/>
      <c r="N42" s="5"/>
      <c r="O42" s="5"/>
      <c r="P42" s="5"/>
      <c r="Q42" s="5"/>
      <c r="R42" s="5"/>
      <c r="S42" s="5"/>
      <c r="T42" s="5"/>
      <c r="U42" s="5"/>
      <c r="V42" s="5"/>
      <c r="W42" s="5"/>
      <c r="X42" s="5"/>
      <c r="Y42" s="5"/>
      <c r="Z42" s="5"/>
      <c r="AA42" s="5"/>
      <c r="AB42" s="5"/>
      <c r="AC42" s="5"/>
      <c r="AD42" s="5"/>
      <c r="AE42" s="5"/>
      <c r="AF42" s="5"/>
      <c r="AG42" s="5"/>
      <c r="AH42" s="5"/>
      <c r="AI42" s="5"/>
      <c r="AJ42" s="5"/>
      <c r="AK42" s="5"/>
      <c r="AL42" s="5"/>
      <c r="AM42" s="5"/>
      <c r="AN42" s="5"/>
    </row>
    <row r="43" spans="2:40" x14ac:dyDescent="0.3">
      <c r="B43" s="5"/>
      <c r="C43" s="5"/>
      <c r="D43" s="5"/>
      <c r="E43" s="5"/>
      <c r="F43" s="5"/>
      <c r="G43" s="5"/>
      <c r="H43" s="5"/>
      <c r="I43" s="5"/>
      <c r="J43" s="5"/>
      <c r="K43" s="5"/>
      <c r="L43" s="5"/>
      <c r="M43" s="5"/>
      <c r="N43" s="5"/>
      <c r="O43" s="5"/>
      <c r="P43" s="5"/>
      <c r="Q43" s="5"/>
      <c r="R43" s="5"/>
      <c r="S43" s="5"/>
      <c r="T43" s="5"/>
      <c r="U43" s="5"/>
      <c r="V43" s="5"/>
      <c r="W43" s="5"/>
      <c r="X43" s="5"/>
      <c r="Y43" s="5"/>
      <c r="Z43" s="5"/>
      <c r="AA43" s="5"/>
      <c r="AB43" s="5"/>
      <c r="AC43" s="5"/>
      <c r="AD43" s="5"/>
      <c r="AE43" s="5"/>
      <c r="AF43" s="5"/>
      <c r="AG43" s="5"/>
      <c r="AH43" s="5"/>
      <c r="AI43" s="5"/>
      <c r="AJ43" s="5"/>
      <c r="AK43" s="5"/>
      <c r="AL43" s="5"/>
      <c r="AM43" s="5"/>
      <c r="AN43" s="5"/>
    </row>
    <row r="44" spans="2:40" x14ac:dyDescent="0.3">
      <c r="B44" s="5"/>
      <c r="C44" s="5"/>
      <c r="D44" s="5"/>
      <c r="E44" s="5"/>
      <c r="F44" s="5"/>
      <c r="G44" s="5"/>
      <c r="H44" s="5"/>
      <c r="I44" s="5"/>
      <c r="J44" s="5"/>
      <c r="K44" s="5"/>
      <c r="L44" s="5"/>
      <c r="M44" s="5"/>
      <c r="N44" s="5"/>
      <c r="O44" s="5"/>
      <c r="P44" s="5"/>
      <c r="Q44" s="5"/>
      <c r="R44" s="5"/>
      <c r="S44" s="5"/>
      <c r="T44" s="5"/>
      <c r="U44" s="5"/>
      <c r="V44" s="5"/>
      <c r="W44" s="5"/>
      <c r="X44" s="5"/>
      <c r="Y44" s="5"/>
      <c r="Z44" s="5"/>
      <c r="AA44" s="5"/>
      <c r="AB44" s="5"/>
      <c r="AC44" s="5"/>
      <c r="AD44" s="5"/>
      <c r="AE44" s="5"/>
      <c r="AF44" s="5"/>
      <c r="AG44" s="5"/>
      <c r="AH44" s="5"/>
      <c r="AI44" s="5"/>
      <c r="AJ44" s="5"/>
      <c r="AK44" s="5"/>
      <c r="AL44" s="5"/>
      <c r="AM44" s="5"/>
      <c r="AN44" s="5"/>
    </row>
    <row r="45" spans="2:40" x14ac:dyDescent="0.3">
      <c r="B45" s="5"/>
      <c r="C45" s="5"/>
      <c r="D45" s="5"/>
      <c r="E45" s="5"/>
      <c r="F45" s="5"/>
      <c r="G45" s="5"/>
      <c r="H45" s="5"/>
      <c r="I45" s="5"/>
      <c r="J45" s="5"/>
      <c r="K45" s="5"/>
      <c r="L45" s="5"/>
      <c r="M45" s="5"/>
      <c r="N45" s="5"/>
      <c r="O45" s="5"/>
      <c r="P45" s="5"/>
      <c r="Q45" s="5"/>
      <c r="R45" s="5"/>
      <c r="S45" s="5"/>
      <c r="T45" s="5"/>
      <c r="U45" s="5"/>
      <c r="V45" s="5"/>
      <c r="W45" s="5"/>
      <c r="X45" s="5"/>
      <c r="Y45" s="5"/>
      <c r="Z45" s="5"/>
      <c r="AA45" s="5"/>
      <c r="AB45" s="5"/>
      <c r="AC45" s="5"/>
      <c r="AD45" s="5"/>
      <c r="AE45" s="5"/>
      <c r="AF45" s="5"/>
      <c r="AG45" s="5"/>
      <c r="AH45" s="5"/>
      <c r="AI45" s="5"/>
      <c r="AJ45" s="5"/>
      <c r="AK45" s="5"/>
      <c r="AL45" s="5"/>
      <c r="AM45" s="5"/>
      <c r="AN45" s="5"/>
    </row>
    <row r="46" spans="2:40" x14ac:dyDescent="0.3">
      <c r="B46" s="5"/>
      <c r="C46" s="5"/>
      <c r="D46" s="5"/>
      <c r="E46" s="5"/>
      <c r="F46" s="5"/>
      <c r="G46" s="5"/>
      <c r="H46" s="5"/>
      <c r="I46" s="5"/>
      <c r="J46" s="5"/>
      <c r="K46" s="5"/>
      <c r="L46" s="5"/>
      <c r="M46" s="5"/>
      <c r="N46" s="5"/>
      <c r="O46" s="5"/>
      <c r="P46" s="5"/>
      <c r="Q46" s="5"/>
      <c r="R46" s="5"/>
      <c r="S46" s="5"/>
      <c r="T46" s="5"/>
      <c r="U46" s="5"/>
      <c r="V46" s="5"/>
      <c r="W46" s="5"/>
      <c r="X46" s="5"/>
      <c r="Y46" s="5"/>
      <c r="Z46" s="5"/>
      <c r="AA46" s="5"/>
      <c r="AB46" s="5"/>
      <c r="AC46" s="5"/>
      <c r="AD46" s="5"/>
      <c r="AE46" s="5"/>
      <c r="AF46" s="5"/>
      <c r="AG46" s="5"/>
      <c r="AH46" s="5"/>
      <c r="AI46" s="5"/>
      <c r="AJ46" s="5"/>
      <c r="AK46" s="5"/>
      <c r="AL46" s="5"/>
      <c r="AM46" s="5"/>
      <c r="AN46" s="5"/>
    </row>
    <row r="47" spans="2:40" x14ac:dyDescent="0.3">
      <c r="B47" s="5"/>
      <c r="C47" s="5"/>
      <c r="D47" s="5"/>
      <c r="E47" s="5"/>
      <c r="F47" s="5"/>
      <c r="G47" s="5"/>
      <c r="H47" s="5"/>
      <c r="I47" s="5"/>
      <c r="J47" s="5"/>
      <c r="K47" s="5"/>
      <c r="L47" s="5"/>
      <c r="M47" s="5"/>
      <c r="N47" s="5"/>
      <c r="O47" s="5"/>
      <c r="P47" s="5"/>
      <c r="Q47" s="5"/>
      <c r="R47" s="5"/>
      <c r="S47" s="5"/>
      <c r="T47" s="5"/>
      <c r="U47" s="5"/>
      <c r="V47" s="5"/>
      <c r="W47" s="5"/>
      <c r="X47" s="5"/>
      <c r="Y47" s="5"/>
      <c r="Z47" s="5"/>
      <c r="AA47" s="5"/>
      <c r="AB47" s="5"/>
      <c r="AC47" s="5"/>
      <c r="AD47" s="5"/>
      <c r="AE47" s="5"/>
      <c r="AF47" s="5"/>
      <c r="AG47" s="5"/>
      <c r="AH47" s="5"/>
      <c r="AI47" s="5"/>
      <c r="AJ47" s="5"/>
      <c r="AK47" s="5"/>
      <c r="AL47" s="5"/>
      <c r="AM47" s="5"/>
      <c r="AN47" s="5"/>
    </row>
    <row r="48" spans="2:40" x14ac:dyDescent="0.3">
      <c r="B48" s="5"/>
      <c r="C48" s="5"/>
      <c r="D48" s="5"/>
      <c r="E48" s="5"/>
      <c r="F48" s="5"/>
      <c r="G48" s="5"/>
      <c r="H48" s="5"/>
      <c r="I48" s="5"/>
      <c r="J48" s="5"/>
      <c r="K48" s="5"/>
      <c r="L48" s="5"/>
      <c r="M48" s="5"/>
      <c r="N48" s="5"/>
      <c r="O48" s="5"/>
      <c r="P48" s="5"/>
      <c r="Q48" s="5"/>
      <c r="R48" s="5"/>
      <c r="S48" s="5"/>
      <c r="T48" s="5"/>
      <c r="U48" s="5"/>
      <c r="V48" s="5"/>
      <c r="W48" s="5"/>
      <c r="X48" s="5"/>
      <c r="Y48" s="5"/>
      <c r="Z48" s="5"/>
      <c r="AA48" s="5"/>
      <c r="AB48" s="5"/>
      <c r="AC48" s="5"/>
      <c r="AD48" s="5"/>
      <c r="AE48" s="5"/>
      <c r="AF48" s="5"/>
      <c r="AG48" s="5"/>
      <c r="AH48" s="5"/>
      <c r="AI48" s="5"/>
      <c r="AJ48" s="5"/>
      <c r="AK48" s="5"/>
      <c r="AL48" s="5"/>
      <c r="AM48" s="5"/>
      <c r="AN48" s="5"/>
    </row>
    <row r="49" spans="2:40" x14ac:dyDescent="0.3">
      <c r="B49" s="5"/>
      <c r="C49" s="5"/>
      <c r="D49" s="5"/>
      <c r="E49" s="5"/>
      <c r="F49" s="5"/>
      <c r="G49" s="5"/>
      <c r="H49" s="5"/>
      <c r="I49" s="5"/>
      <c r="J49" s="5"/>
      <c r="K49" s="5"/>
      <c r="L49" s="5"/>
      <c r="M49" s="5"/>
      <c r="N49" s="5"/>
      <c r="O49" s="5"/>
      <c r="P49" s="5"/>
      <c r="Q49" s="5"/>
      <c r="R49" s="5"/>
      <c r="S49" s="5"/>
      <c r="T49" s="5"/>
      <c r="U49" s="5"/>
      <c r="V49" s="5"/>
      <c r="W49" s="5"/>
      <c r="X49" s="5"/>
      <c r="Y49" s="5"/>
      <c r="Z49" s="5"/>
      <c r="AA49" s="5"/>
      <c r="AB49" s="5"/>
      <c r="AC49" s="5"/>
      <c r="AD49" s="5"/>
      <c r="AE49" s="5"/>
      <c r="AF49" s="5"/>
      <c r="AG49" s="5"/>
      <c r="AH49" s="5"/>
      <c r="AI49" s="5"/>
      <c r="AJ49" s="5"/>
      <c r="AK49" s="5"/>
      <c r="AL49" s="5"/>
      <c r="AM49" s="5"/>
      <c r="AN49" s="5"/>
    </row>
    <row r="50" spans="2:40" x14ac:dyDescent="0.3">
      <c r="B50" s="5"/>
      <c r="C50" s="5"/>
      <c r="D50" s="5"/>
      <c r="E50" s="5"/>
      <c r="F50" s="5"/>
      <c r="G50" s="5"/>
      <c r="H50" s="5"/>
      <c r="I50" s="5"/>
      <c r="J50" s="5"/>
      <c r="K50" s="5"/>
      <c r="L50" s="5"/>
      <c r="M50" s="5"/>
      <c r="N50" s="5"/>
      <c r="O50" s="5"/>
      <c r="P50" s="5"/>
      <c r="Q50" s="5"/>
      <c r="R50" s="5"/>
      <c r="S50" s="5"/>
      <c r="T50" s="5"/>
      <c r="U50" s="5"/>
      <c r="V50" s="5"/>
      <c r="W50" s="5"/>
      <c r="X50" s="5"/>
      <c r="Y50" s="5"/>
      <c r="Z50" s="5"/>
      <c r="AA50" s="5"/>
      <c r="AB50" s="5"/>
      <c r="AC50" s="5"/>
      <c r="AD50" s="5"/>
      <c r="AE50" s="5"/>
      <c r="AF50" s="5"/>
      <c r="AG50" s="5"/>
      <c r="AH50" s="5"/>
      <c r="AI50" s="5"/>
      <c r="AJ50" s="5"/>
      <c r="AK50" s="5"/>
      <c r="AL50" s="5"/>
      <c r="AM50" s="5"/>
      <c r="AN50" s="5"/>
    </row>
    <row r="51" spans="2:40" x14ac:dyDescent="0.3">
      <c r="B51" s="5"/>
      <c r="C51" s="5"/>
      <c r="D51" s="5"/>
      <c r="E51" s="5"/>
      <c r="F51" s="5"/>
      <c r="G51" s="5"/>
      <c r="H51" s="5"/>
      <c r="I51" s="5"/>
      <c r="J51" s="5"/>
      <c r="K51" s="5"/>
      <c r="L51" s="5"/>
      <c r="M51" s="5"/>
      <c r="N51" s="5"/>
      <c r="O51" s="5"/>
      <c r="P51" s="5"/>
      <c r="Q51" s="5"/>
      <c r="R51" s="5"/>
      <c r="S51" s="5"/>
      <c r="T51" s="5"/>
      <c r="U51" s="5"/>
      <c r="V51" s="5"/>
      <c r="W51" s="5"/>
      <c r="X51" s="5"/>
      <c r="Y51" s="5"/>
      <c r="Z51" s="5"/>
      <c r="AA51" s="5"/>
      <c r="AB51" s="5"/>
      <c r="AC51" s="5"/>
      <c r="AD51" s="5"/>
      <c r="AE51" s="5"/>
      <c r="AF51" s="5"/>
      <c r="AG51" s="5"/>
      <c r="AH51" s="5"/>
      <c r="AI51" s="5"/>
      <c r="AJ51" s="5"/>
      <c r="AK51" s="5"/>
      <c r="AL51" s="5"/>
      <c r="AM51" s="5"/>
      <c r="AN51" s="5"/>
    </row>
    <row r="52" spans="2:40" x14ac:dyDescent="0.3">
      <c r="B52" s="5"/>
      <c r="C52" s="5"/>
      <c r="D52" s="5"/>
      <c r="E52" s="5"/>
      <c r="F52" s="5"/>
      <c r="G52" s="5"/>
      <c r="H52" s="5"/>
      <c r="I52" s="5"/>
      <c r="J52" s="5"/>
      <c r="K52" s="5"/>
      <c r="L52" s="5"/>
      <c r="M52" s="5"/>
      <c r="N52" s="5"/>
      <c r="O52" s="5"/>
      <c r="P52" s="5"/>
      <c r="Q52" s="5"/>
      <c r="R52" s="5"/>
      <c r="S52" s="5"/>
      <c r="T52" s="5"/>
      <c r="U52" s="5"/>
      <c r="V52" s="5"/>
      <c r="W52" s="5"/>
      <c r="X52" s="5"/>
      <c r="Y52" s="5"/>
      <c r="Z52" s="5"/>
      <c r="AA52" s="5"/>
      <c r="AB52" s="5"/>
      <c r="AC52" s="5"/>
      <c r="AD52" s="5"/>
      <c r="AE52" s="5"/>
      <c r="AF52" s="5"/>
      <c r="AG52" s="5"/>
      <c r="AH52" s="5"/>
      <c r="AI52" s="5"/>
      <c r="AJ52" s="5"/>
      <c r="AK52" s="5"/>
      <c r="AL52" s="5"/>
      <c r="AM52" s="5"/>
      <c r="AN52" s="5"/>
    </row>
    <row r="53" spans="2:40" x14ac:dyDescent="0.3">
      <c r="B53" s="5"/>
      <c r="C53" s="5"/>
      <c r="D53" s="5"/>
      <c r="E53" s="5"/>
      <c r="F53" s="5"/>
      <c r="G53" s="5"/>
      <c r="H53" s="5"/>
      <c r="I53" s="5"/>
      <c r="J53" s="5"/>
      <c r="K53" s="5"/>
      <c r="L53" s="5"/>
      <c r="M53" s="5"/>
      <c r="N53" s="5"/>
      <c r="O53" s="5"/>
      <c r="P53" s="5"/>
      <c r="Q53" s="5"/>
      <c r="R53" s="5"/>
      <c r="S53" s="5"/>
      <c r="T53" s="5"/>
      <c r="U53" s="5"/>
      <c r="V53" s="5"/>
      <c r="W53" s="5"/>
      <c r="X53" s="5"/>
      <c r="Y53" s="5"/>
      <c r="Z53" s="5"/>
      <c r="AA53" s="5"/>
      <c r="AB53" s="5"/>
      <c r="AC53" s="5"/>
      <c r="AD53" s="5"/>
      <c r="AE53" s="5"/>
      <c r="AF53" s="5"/>
      <c r="AG53" s="5"/>
      <c r="AH53" s="5"/>
      <c r="AI53" s="5"/>
      <c r="AJ53" s="5"/>
      <c r="AK53" s="5"/>
      <c r="AL53" s="5"/>
      <c r="AM53" s="5"/>
      <c r="AN53" s="5"/>
    </row>
    <row r="54" spans="2:40" x14ac:dyDescent="0.3">
      <c r="B54" s="5"/>
      <c r="C54" s="5"/>
      <c r="D54" s="5"/>
      <c r="E54" s="5"/>
      <c r="F54" s="5"/>
      <c r="G54" s="5"/>
      <c r="H54" s="5"/>
      <c r="I54" s="5"/>
      <c r="J54" s="5"/>
      <c r="K54" s="5"/>
      <c r="L54" s="5"/>
      <c r="M54" s="5"/>
      <c r="N54" s="5"/>
      <c r="O54" s="5"/>
      <c r="P54" s="5"/>
      <c r="Q54" s="5"/>
      <c r="R54" s="5"/>
      <c r="S54" s="5"/>
      <c r="T54" s="5"/>
      <c r="U54" s="5"/>
      <c r="V54" s="5"/>
      <c r="W54" s="5"/>
      <c r="X54" s="5"/>
      <c r="Y54" s="5"/>
      <c r="Z54" s="5"/>
      <c r="AA54" s="5"/>
      <c r="AB54" s="5"/>
      <c r="AC54" s="5"/>
      <c r="AD54" s="5"/>
      <c r="AE54" s="5"/>
      <c r="AF54" s="5"/>
      <c r="AG54" s="5"/>
      <c r="AH54" s="5"/>
      <c r="AI54" s="5"/>
      <c r="AJ54" s="5"/>
      <c r="AK54" s="5"/>
      <c r="AL54" s="5"/>
      <c r="AM54" s="5"/>
      <c r="AN54" s="5"/>
    </row>
    <row r="55" spans="2:40" x14ac:dyDescent="0.3">
      <c r="B55" s="5"/>
      <c r="C55" s="5"/>
      <c r="D55" s="5"/>
      <c r="E55" s="5"/>
      <c r="F55" s="5"/>
      <c r="G55" s="5"/>
      <c r="H55" s="5"/>
      <c r="I55" s="5"/>
      <c r="J55" s="5"/>
      <c r="K55" s="5"/>
      <c r="L55" s="5"/>
      <c r="M55" s="5"/>
      <c r="N55" s="5"/>
      <c r="O55" s="5"/>
      <c r="P55" s="5"/>
      <c r="Q55" s="5"/>
      <c r="R55" s="5"/>
      <c r="S55" s="5"/>
      <c r="T55" s="5"/>
      <c r="U55" s="5"/>
      <c r="V55" s="5"/>
      <c r="W55" s="5"/>
      <c r="X55" s="5"/>
      <c r="Y55" s="5"/>
      <c r="Z55" s="5"/>
      <c r="AA55" s="5"/>
      <c r="AB55" s="5"/>
      <c r="AC55" s="5"/>
      <c r="AD55" s="5"/>
      <c r="AE55" s="5"/>
      <c r="AF55" s="5"/>
      <c r="AG55" s="5"/>
      <c r="AH55" s="5"/>
      <c r="AI55" s="5"/>
      <c r="AJ55" s="5"/>
      <c r="AK55" s="5"/>
      <c r="AL55" s="5"/>
      <c r="AM55" s="5"/>
      <c r="AN55" s="5"/>
    </row>
    <row r="56" spans="2:40" x14ac:dyDescent="0.3">
      <c r="B56" s="5"/>
      <c r="C56" s="5"/>
      <c r="D56" s="5"/>
      <c r="E56" s="5"/>
      <c r="F56" s="5"/>
      <c r="G56" s="5"/>
      <c r="H56" s="5"/>
      <c r="I56" s="5"/>
      <c r="J56" s="5"/>
      <c r="K56" s="5"/>
      <c r="L56" s="5"/>
      <c r="M56" s="5"/>
      <c r="N56" s="5"/>
      <c r="O56" s="5"/>
      <c r="P56" s="5"/>
      <c r="Q56" s="5"/>
      <c r="R56" s="5"/>
      <c r="S56" s="5"/>
      <c r="T56" s="5"/>
      <c r="U56" s="5"/>
      <c r="V56" s="5"/>
      <c r="W56" s="5"/>
      <c r="X56" s="5"/>
      <c r="Y56" s="5"/>
      <c r="Z56" s="5"/>
      <c r="AA56" s="5"/>
      <c r="AB56" s="5"/>
      <c r="AC56" s="5"/>
      <c r="AD56" s="5"/>
      <c r="AE56" s="5"/>
      <c r="AF56" s="5"/>
      <c r="AG56" s="5"/>
      <c r="AH56" s="5"/>
      <c r="AI56" s="5"/>
      <c r="AJ56" s="5"/>
      <c r="AK56" s="5"/>
      <c r="AL56" s="5"/>
      <c r="AM56" s="5"/>
      <c r="AN56" s="5"/>
    </row>
    <row r="57" spans="2:40" x14ac:dyDescent="0.3">
      <c r="B57" s="5"/>
      <c r="C57" s="5"/>
      <c r="D57" s="5"/>
      <c r="E57" s="5"/>
      <c r="F57" s="5"/>
      <c r="G57" s="5"/>
      <c r="H57" s="5"/>
      <c r="I57" s="5"/>
      <c r="J57" s="5"/>
      <c r="K57" s="5"/>
      <c r="L57" s="5"/>
      <c r="M57" s="5"/>
      <c r="N57" s="5"/>
      <c r="O57" s="5"/>
      <c r="P57" s="5"/>
      <c r="Q57" s="5"/>
      <c r="R57" s="5"/>
      <c r="S57" s="5"/>
      <c r="T57" s="5"/>
      <c r="U57" s="5"/>
      <c r="V57" s="5"/>
      <c r="W57" s="5"/>
      <c r="X57" s="5"/>
      <c r="Y57" s="5"/>
      <c r="Z57" s="5"/>
      <c r="AA57" s="5"/>
      <c r="AB57" s="5"/>
      <c r="AC57" s="5"/>
      <c r="AD57" s="5"/>
      <c r="AE57" s="5"/>
      <c r="AF57" s="5"/>
      <c r="AG57" s="5"/>
      <c r="AH57" s="5"/>
      <c r="AI57" s="5"/>
      <c r="AJ57" s="5"/>
      <c r="AK57" s="5"/>
      <c r="AL57" s="5"/>
      <c r="AM57" s="5"/>
      <c r="AN57" s="5"/>
    </row>
    <row r="58" spans="2:40" x14ac:dyDescent="0.3">
      <c r="B58" s="5"/>
      <c r="C58" s="5"/>
      <c r="D58" s="5"/>
      <c r="E58" s="5"/>
      <c r="F58" s="5"/>
      <c r="G58" s="5"/>
      <c r="H58" s="5"/>
      <c r="I58" s="5"/>
      <c r="J58" s="5"/>
      <c r="K58" s="5"/>
      <c r="L58" s="5"/>
      <c r="M58" s="5"/>
      <c r="N58" s="5"/>
      <c r="O58" s="5"/>
      <c r="P58" s="5"/>
      <c r="Q58" s="5"/>
      <c r="R58" s="5"/>
      <c r="S58" s="5"/>
      <c r="T58" s="5"/>
      <c r="U58" s="5"/>
      <c r="V58" s="5"/>
      <c r="W58" s="5"/>
      <c r="X58" s="5"/>
      <c r="Y58" s="5"/>
      <c r="Z58" s="5"/>
      <c r="AA58" s="5"/>
      <c r="AB58" s="5"/>
      <c r="AC58" s="5"/>
      <c r="AD58" s="5"/>
      <c r="AE58" s="5"/>
      <c r="AF58" s="5"/>
      <c r="AG58" s="5"/>
      <c r="AH58" s="5"/>
      <c r="AI58" s="5"/>
      <c r="AJ58" s="5"/>
      <c r="AK58" s="5"/>
      <c r="AL58" s="5"/>
      <c r="AM58" s="5"/>
      <c r="AN58" s="5"/>
    </row>
    <row r="59" spans="2:40" x14ac:dyDescent="0.3">
      <c r="B59" s="5"/>
      <c r="C59" s="5"/>
      <c r="D59" s="5"/>
      <c r="E59" s="5"/>
      <c r="F59" s="5"/>
      <c r="G59" s="5"/>
      <c r="H59" s="5"/>
      <c r="I59" s="5"/>
      <c r="J59" s="5"/>
      <c r="K59" s="5"/>
      <c r="L59" s="5"/>
      <c r="M59" s="5"/>
      <c r="N59" s="5"/>
      <c r="O59" s="5"/>
      <c r="P59" s="5"/>
      <c r="Q59" s="5"/>
      <c r="R59" s="5"/>
      <c r="S59" s="5"/>
      <c r="T59" s="5"/>
      <c r="U59" s="5"/>
      <c r="V59" s="5"/>
      <c r="W59" s="5"/>
      <c r="X59" s="5"/>
      <c r="Y59" s="5"/>
      <c r="Z59" s="5"/>
      <c r="AA59" s="5"/>
      <c r="AB59" s="5"/>
      <c r="AC59" s="5"/>
      <c r="AD59" s="5"/>
      <c r="AE59" s="5"/>
      <c r="AF59" s="5"/>
      <c r="AG59" s="5"/>
      <c r="AH59" s="5"/>
      <c r="AI59" s="5"/>
      <c r="AJ59" s="5"/>
      <c r="AK59" s="5"/>
      <c r="AL59" s="5"/>
      <c r="AM59" s="5"/>
      <c r="AN59" s="5"/>
    </row>
    <row r="60" spans="2:40" x14ac:dyDescent="0.3">
      <c r="B60" s="5"/>
      <c r="C60" s="5"/>
      <c r="D60" s="5"/>
      <c r="E60" s="5"/>
      <c r="F60" s="5"/>
      <c r="G60" s="5"/>
      <c r="H60" s="5"/>
      <c r="I60" s="5"/>
      <c r="J60" s="5"/>
      <c r="K60" s="5"/>
      <c r="L60" s="5"/>
      <c r="M60" s="5"/>
      <c r="N60" s="5"/>
      <c r="O60" s="5"/>
      <c r="P60" s="5"/>
      <c r="Q60" s="5"/>
      <c r="R60" s="5"/>
      <c r="S60" s="5"/>
      <c r="T60" s="5"/>
      <c r="U60" s="5"/>
      <c r="V60" s="5"/>
      <c r="W60" s="5"/>
      <c r="X60" s="5"/>
      <c r="Y60" s="5"/>
      <c r="Z60" s="5"/>
      <c r="AA60" s="5"/>
      <c r="AB60" s="5"/>
      <c r="AC60" s="5"/>
      <c r="AD60" s="5"/>
      <c r="AE60" s="5"/>
      <c r="AF60" s="5"/>
      <c r="AG60" s="5"/>
      <c r="AH60" s="5"/>
      <c r="AI60" s="5"/>
      <c r="AJ60" s="5"/>
      <c r="AK60" s="5"/>
      <c r="AL60" s="5"/>
      <c r="AM60" s="5"/>
      <c r="AN60" s="5"/>
    </row>
    <row r="61" spans="2:40" x14ac:dyDescent="0.3">
      <c r="B61" s="5"/>
      <c r="C61" s="5"/>
      <c r="D61" s="5"/>
      <c r="E61" s="5"/>
      <c r="F61" s="5"/>
      <c r="G61" s="5"/>
      <c r="H61" s="5"/>
      <c r="I61" s="5"/>
      <c r="J61" s="5"/>
      <c r="K61" s="5"/>
      <c r="L61" s="5"/>
      <c r="M61" s="5"/>
      <c r="N61" s="5"/>
      <c r="O61" s="5"/>
      <c r="P61" s="5"/>
      <c r="Q61" s="5"/>
      <c r="R61" s="5"/>
      <c r="S61" s="5"/>
      <c r="T61" s="5"/>
      <c r="U61" s="5"/>
      <c r="V61" s="5"/>
      <c r="W61" s="5"/>
      <c r="X61" s="5"/>
      <c r="Y61" s="5"/>
      <c r="Z61" s="5"/>
      <c r="AA61" s="5"/>
      <c r="AB61" s="5"/>
      <c r="AC61" s="5"/>
      <c r="AD61" s="5"/>
      <c r="AE61" s="5"/>
      <c r="AF61" s="5"/>
      <c r="AG61" s="5"/>
      <c r="AH61" s="5"/>
      <c r="AI61" s="5"/>
      <c r="AJ61" s="5"/>
      <c r="AK61" s="5"/>
      <c r="AL61" s="5"/>
      <c r="AM61" s="5"/>
      <c r="AN61" s="5"/>
    </row>
    <row r="62" spans="2:40" x14ac:dyDescent="0.3">
      <c r="B62" s="5"/>
      <c r="C62" s="5"/>
      <c r="D62" s="5"/>
      <c r="E62" s="5"/>
      <c r="F62" s="5"/>
      <c r="G62" s="5"/>
      <c r="H62" s="5"/>
      <c r="I62" s="5"/>
      <c r="J62" s="5"/>
      <c r="K62" s="5"/>
      <c r="L62" s="5"/>
      <c r="M62" s="5"/>
      <c r="N62" s="5"/>
      <c r="O62" s="5"/>
      <c r="P62" s="5"/>
      <c r="Q62" s="5"/>
      <c r="R62" s="5"/>
      <c r="S62" s="5"/>
      <c r="T62" s="5"/>
      <c r="U62" s="5"/>
      <c r="V62" s="5"/>
      <c r="W62" s="5"/>
      <c r="X62" s="5"/>
      <c r="Y62" s="5"/>
      <c r="Z62" s="5"/>
      <c r="AA62" s="5"/>
      <c r="AB62" s="5"/>
      <c r="AC62" s="5"/>
      <c r="AD62" s="5"/>
      <c r="AE62" s="5"/>
      <c r="AF62" s="5"/>
      <c r="AG62" s="5"/>
      <c r="AH62" s="5"/>
      <c r="AI62" s="5"/>
      <c r="AJ62" s="5"/>
      <c r="AK62" s="5"/>
      <c r="AL62" s="5"/>
      <c r="AM62" s="5"/>
      <c r="AN62" s="5"/>
    </row>
    <row r="63" spans="2:40" x14ac:dyDescent="0.3">
      <c r="B63" s="5"/>
      <c r="C63" s="5"/>
      <c r="D63" s="5"/>
      <c r="E63" s="5"/>
      <c r="F63" s="5"/>
      <c r="G63" s="5"/>
      <c r="H63" s="5"/>
      <c r="I63" s="5"/>
      <c r="J63" s="5"/>
      <c r="K63" s="5"/>
      <c r="L63" s="5"/>
      <c r="M63" s="5"/>
      <c r="N63" s="5"/>
      <c r="O63" s="5"/>
      <c r="P63" s="5"/>
      <c r="Q63" s="5"/>
      <c r="R63" s="5"/>
      <c r="S63" s="5"/>
      <c r="T63" s="5"/>
      <c r="U63" s="5"/>
      <c r="V63" s="5"/>
      <c r="W63" s="5"/>
      <c r="X63" s="5"/>
      <c r="Y63" s="5"/>
      <c r="Z63" s="5"/>
      <c r="AA63" s="5"/>
      <c r="AB63" s="5"/>
      <c r="AC63" s="5"/>
      <c r="AD63" s="5"/>
      <c r="AE63" s="5"/>
      <c r="AF63" s="5"/>
      <c r="AG63" s="5"/>
      <c r="AH63" s="5"/>
      <c r="AI63" s="5"/>
      <c r="AJ63" s="5"/>
      <c r="AK63" s="5"/>
      <c r="AL63" s="5"/>
      <c r="AM63" s="5"/>
      <c r="AN63" s="5"/>
    </row>
    <row r="64" spans="2:40" x14ac:dyDescent="0.3">
      <c r="B64" s="5"/>
      <c r="C64" s="5"/>
      <c r="D64" s="5"/>
      <c r="E64" s="5"/>
      <c r="F64" s="5"/>
      <c r="G64" s="5"/>
      <c r="H64" s="5"/>
      <c r="I64" s="5"/>
      <c r="J64" s="5"/>
      <c r="K64" s="5"/>
      <c r="L64" s="5"/>
      <c r="M64" s="5"/>
      <c r="N64" s="5"/>
      <c r="O64" s="5"/>
      <c r="P64" s="5"/>
      <c r="Q64" s="5"/>
      <c r="R64" s="5"/>
      <c r="S64" s="5"/>
      <c r="T64" s="5"/>
      <c r="U64" s="5"/>
      <c r="V64" s="5"/>
      <c r="W64" s="5"/>
      <c r="X64" s="5"/>
      <c r="Y64" s="5"/>
      <c r="Z64" s="5"/>
      <c r="AA64" s="5"/>
      <c r="AB64" s="5"/>
      <c r="AC64" s="5"/>
      <c r="AD64" s="5"/>
      <c r="AE64" s="5"/>
      <c r="AF64" s="5"/>
      <c r="AG64" s="5"/>
      <c r="AH64" s="5"/>
      <c r="AI64" s="5"/>
      <c r="AJ64" s="5"/>
      <c r="AK64" s="5"/>
      <c r="AL64" s="5"/>
      <c r="AM64" s="5"/>
      <c r="AN64" s="5"/>
    </row>
    <row r="65" spans="2:40" x14ac:dyDescent="0.3">
      <c r="B65" s="5"/>
      <c r="C65" s="5"/>
      <c r="D65" s="5"/>
      <c r="E65" s="5"/>
      <c r="F65" s="5"/>
      <c r="G65" s="5"/>
      <c r="H65" s="5"/>
      <c r="I65" s="5"/>
      <c r="J65" s="5"/>
      <c r="K65" s="5"/>
      <c r="L65" s="5"/>
      <c r="M65" s="5"/>
      <c r="N65" s="5"/>
      <c r="O65" s="5"/>
      <c r="P65" s="5"/>
      <c r="Q65" s="5"/>
      <c r="R65" s="5"/>
      <c r="S65" s="5"/>
      <c r="T65" s="5"/>
      <c r="U65" s="5"/>
      <c r="V65" s="5"/>
      <c r="W65" s="5"/>
      <c r="X65" s="5"/>
      <c r="Y65" s="5"/>
      <c r="Z65" s="5"/>
      <c r="AA65" s="5"/>
      <c r="AB65" s="5"/>
      <c r="AC65" s="5"/>
      <c r="AD65" s="5"/>
      <c r="AE65" s="5"/>
      <c r="AF65" s="5"/>
      <c r="AG65" s="5"/>
      <c r="AH65" s="5"/>
      <c r="AI65" s="5"/>
      <c r="AJ65" s="5"/>
      <c r="AK65" s="5"/>
      <c r="AL65" s="5"/>
      <c r="AM65" s="5"/>
      <c r="AN65" s="5"/>
    </row>
    <row r="66" spans="2:40" x14ac:dyDescent="0.3">
      <c r="B66" s="5"/>
      <c r="C66" s="5"/>
      <c r="D66" s="5"/>
      <c r="E66" s="5"/>
      <c r="F66" s="5"/>
      <c r="G66" s="5"/>
      <c r="H66" s="5"/>
      <c r="I66" s="5"/>
      <c r="J66" s="5"/>
      <c r="K66" s="5"/>
      <c r="L66" s="5"/>
      <c r="M66" s="5"/>
      <c r="N66" s="5"/>
      <c r="O66" s="5"/>
      <c r="P66" s="5"/>
      <c r="Q66" s="5"/>
      <c r="R66" s="5"/>
      <c r="S66" s="5"/>
      <c r="T66" s="5"/>
      <c r="U66" s="5"/>
      <c r="V66" s="5"/>
      <c r="W66" s="5"/>
      <c r="X66" s="5"/>
      <c r="Y66" s="5"/>
      <c r="Z66" s="5"/>
      <c r="AA66" s="5"/>
      <c r="AB66" s="5"/>
      <c r="AC66" s="5"/>
      <c r="AD66" s="5"/>
      <c r="AE66" s="5"/>
      <c r="AF66" s="5"/>
      <c r="AG66" s="5"/>
      <c r="AH66" s="5"/>
      <c r="AI66" s="5"/>
      <c r="AJ66" s="5"/>
      <c r="AK66" s="5"/>
      <c r="AL66" s="5"/>
      <c r="AM66" s="5"/>
      <c r="AN66" s="5"/>
    </row>
    <row r="67" spans="2:40" x14ac:dyDescent="0.3">
      <c r="B67" s="5"/>
      <c r="C67" s="5"/>
      <c r="D67" s="5"/>
      <c r="E67" s="5"/>
      <c r="F67" s="5"/>
      <c r="G67" s="5"/>
      <c r="H67" s="5"/>
      <c r="I67" s="5"/>
      <c r="J67" s="5"/>
      <c r="K67" s="5"/>
      <c r="L67" s="5"/>
      <c r="M67" s="5"/>
      <c r="N67" s="5"/>
      <c r="O67" s="5"/>
      <c r="P67" s="5"/>
      <c r="Q67" s="5"/>
      <c r="R67" s="5"/>
      <c r="S67" s="5"/>
      <c r="T67" s="5"/>
      <c r="U67" s="5"/>
      <c r="V67" s="5"/>
      <c r="W67" s="5"/>
      <c r="X67" s="5"/>
      <c r="Y67" s="5"/>
      <c r="Z67" s="5"/>
      <c r="AA67" s="5"/>
      <c r="AB67" s="5"/>
      <c r="AC67" s="5"/>
      <c r="AD67" s="5"/>
      <c r="AE67" s="5"/>
      <c r="AF67" s="5"/>
      <c r="AG67" s="5"/>
      <c r="AH67" s="5"/>
      <c r="AI67" s="5"/>
      <c r="AJ67" s="5"/>
      <c r="AK67" s="5"/>
      <c r="AL67" s="5"/>
      <c r="AM67" s="5"/>
      <c r="AN67" s="5"/>
    </row>
    <row r="68" spans="2:40" x14ac:dyDescent="0.3">
      <c r="B68" s="5"/>
      <c r="C68" s="5"/>
      <c r="D68" s="5"/>
      <c r="E68" s="5"/>
      <c r="F68" s="5"/>
      <c r="G68" s="5"/>
      <c r="H68" s="5"/>
      <c r="I68" s="5"/>
      <c r="J68" s="5"/>
      <c r="K68" s="5"/>
      <c r="L68" s="5"/>
      <c r="M68" s="5"/>
      <c r="N68" s="5"/>
      <c r="O68" s="5"/>
      <c r="P68" s="5"/>
      <c r="Q68" s="5"/>
      <c r="R68" s="5"/>
      <c r="S68" s="5"/>
      <c r="T68" s="5"/>
      <c r="U68" s="5"/>
      <c r="V68" s="5"/>
      <c r="W68" s="5"/>
      <c r="X68" s="5"/>
      <c r="Y68" s="5"/>
      <c r="Z68" s="5"/>
      <c r="AA68" s="5"/>
      <c r="AB68" s="5"/>
      <c r="AC68" s="5"/>
      <c r="AD68" s="5"/>
      <c r="AE68" s="5"/>
      <c r="AF68" s="5"/>
      <c r="AG68" s="5"/>
      <c r="AH68" s="5"/>
      <c r="AI68" s="5"/>
      <c r="AJ68" s="5"/>
      <c r="AK68" s="5"/>
      <c r="AL68" s="5"/>
      <c r="AM68" s="5"/>
      <c r="AN68" s="5"/>
    </row>
    <row r="69" spans="2:40" x14ac:dyDescent="0.3">
      <c r="B69" s="5"/>
      <c r="C69" s="5"/>
      <c r="D69" s="5"/>
      <c r="E69" s="5"/>
      <c r="F69" s="5"/>
      <c r="G69" s="5"/>
      <c r="H69" s="5"/>
      <c r="I69" s="5"/>
      <c r="J69" s="5"/>
      <c r="K69" s="5"/>
      <c r="L69" s="5"/>
      <c r="M69" s="5"/>
      <c r="N69" s="5"/>
      <c r="O69" s="5"/>
      <c r="P69" s="5"/>
      <c r="Q69" s="5"/>
      <c r="R69" s="5"/>
      <c r="S69" s="5"/>
      <c r="T69" s="5"/>
      <c r="U69" s="5"/>
      <c r="V69" s="5"/>
      <c r="W69" s="5"/>
      <c r="X69" s="5"/>
      <c r="Y69" s="5"/>
      <c r="Z69" s="5"/>
      <c r="AA69" s="5"/>
      <c r="AB69" s="5"/>
      <c r="AC69" s="5"/>
      <c r="AD69" s="5"/>
      <c r="AE69" s="5"/>
      <c r="AF69" s="5"/>
      <c r="AG69" s="5"/>
      <c r="AH69" s="5"/>
      <c r="AI69" s="5"/>
      <c r="AJ69" s="5"/>
      <c r="AK69" s="5"/>
      <c r="AL69" s="5"/>
      <c r="AM69" s="5"/>
      <c r="AN69" s="5"/>
    </row>
    <row r="70" spans="2:40" x14ac:dyDescent="0.3">
      <c r="B70" s="5"/>
      <c r="C70" s="5"/>
      <c r="D70" s="5"/>
      <c r="E70" s="5"/>
      <c r="F70" s="5"/>
      <c r="G70" s="5"/>
      <c r="H70" s="5"/>
      <c r="I70" s="5"/>
      <c r="J70" s="5"/>
      <c r="K70" s="5"/>
      <c r="L70" s="5"/>
      <c r="M70" s="5"/>
      <c r="N70" s="5"/>
      <c r="O70" s="5"/>
      <c r="P70" s="5"/>
      <c r="Q70" s="5"/>
      <c r="R70" s="5"/>
      <c r="S70" s="5"/>
      <c r="T70" s="5"/>
      <c r="U70" s="5"/>
      <c r="V70" s="5"/>
      <c r="W70" s="5"/>
      <c r="X70" s="5"/>
      <c r="Y70" s="5"/>
      <c r="Z70" s="5"/>
      <c r="AA70" s="5"/>
      <c r="AB70" s="5"/>
      <c r="AC70" s="5"/>
      <c r="AD70" s="5"/>
      <c r="AE70" s="5"/>
      <c r="AF70" s="5"/>
      <c r="AG70" s="5"/>
      <c r="AH70" s="5"/>
      <c r="AI70" s="5"/>
      <c r="AJ70" s="5"/>
      <c r="AK70" s="5"/>
      <c r="AL70" s="5"/>
      <c r="AM70" s="5"/>
      <c r="AN70" s="5"/>
    </row>
    <row r="71" spans="2:40" x14ac:dyDescent="0.3">
      <c r="B71" s="5"/>
      <c r="C71" s="5"/>
      <c r="D71" s="5"/>
      <c r="E71" s="5"/>
      <c r="F71" s="5"/>
      <c r="G71" s="5"/>
      <c r="H71" s="5"/>
      <c r="I71" s="5"/>
      <c r="J71" s="5"/>
      <c r="K71" s="5"/>
      <c r="L71" s="5"/>
      <c r="M71" s="5"/>
      <c r="N71" s="5"/>
      <c r="O71" s="5"/>
      <c r="P71" s="5"/>
      <c r="Q71" s="5"/>
      <c r="R71" s="5"/>
      <c r="S71" s="5"/>
      <c r="T71" s="5"/>
      <c r="U71" s="5"/>
      <c r="V71" s="5"/>
      <c r="W71" s="5"/>
      <c r="X71" s="5"/>
      <c r="Y71" s="5"/>
      <c r="Z71" s="5"/>
      <c r="AA71" s="5"/>
      <c r="AB71" s="5"/>
      <c r="AC71" s="5"/>
      <c r="AD71" s="5"/>
      <c r="AE71" s="5"/>
      <c r="AF71" s="5"/>
      <c r="AG71" s="5"/>
      <c r="AH71" s="5"/>
      <c r="AI71" s="5"/>
      <c r="AJ71" s="5"/>
      <c r="AK71" s="5"/>
      <c r="AL71" s="5"/>
      <c r="AM71" s="5"/>
      <c r="AN71" s="5"/>
    </row>
    <row r="72" spans="2:40" x14ac:dyDescent="0.3">
      <c r="B72" s="5"/>
      <c r="C72" s="5"/>
      <c r="D72" s="5"/>
      <c r="E72" s="5"/>
      <c r="F72" s="5"/>
      <c r="G72" s="5"/>
      <c r="H72" s="5"/>
      <c r="I72" s="5"/>
      <c r="J72" s="5"/>
      <c r="K72" s="5"/>
      <c r="L72" s="5"/>
      <c r="M72" s="5"/>
      <c r="N72" s="5"/>
      <c r="O72" s="5"/>
      <c r="P72" s="5"/>
      <c r="Q72" s="5"/>
      <c r="R72" s="5"/>
      <c r="S72" s="5"/>
      <c r="T72" s="5"/>
      <c r="U72" s="5"/>
      <c r="V72" s="5"/>
      <c r="W72" s="5"/>
      <c r="X72" s="5"/>
      <c r="Y72" s="5"/>
      <c r="Z72" s="5"/>
      <c r="AA72" s="5"/>
      <c r="AB72" s="5"/>
      <c r="AC72" s="5"/>
      <c r="AD72" s="5"/>
      <c r="AE72" s="5"/>
      <c r="AF72" s="5"/>
      <c r="AG72" s="5"/>
      <c r="AH72" s="5"/>
      <c r="AI72" s="5"/>
      <c r="AJ72" s="5"/>
      <c r="AK72" s="5"/>
      <c r="AL72" s="5"/>
      <c r="AM72" s="5"/>
      <c r="AN72" s="5"/>
    </row>
    <row r="73" spans="2:40" x14ac:dyDescent="0.3">
      <c r="B73" s="5"/>
      <c r="C73" s="5"/>
      <c r="D73" s="5"/>
      <c r="E73" s="5"/>
      <c r="F73" s="5"/>
      <c r="G73" s="5"/>
      <c r="H73" s="5"/>
      <c r="I73" s="5"/>
      <c r="J73" s="5"/>
      <c r="K73" s="5"/>
      <c r="L73" s="5"/>
      <c r="M73" s="5"/>
      <c r="N73" s="5"/>
      <c r="O73" s="5"/>
      <c r="P73" s="5"/>
      <c r="Q73" s="5"/>
      <c r="R73" s="5"/>
      <c r="S73" s="5"/>
      <c r="T73" s="5"/>
      <c r="U73" s="5"/>
      <c r="V73" s="5"/>
      <c r="W73" s="5"/>
      <c r="X73" s="5"/>
      <c r="Y73" s="5"/>
      <c r="Z73" s="5"/>
      <c r="AA73" s="5"/>
      <c r="AB73" s="5"/>
      <c r="AC73" s="5"/>
      <c r="AD73" s="5"/>
      <c r="AE73" s="5"/>
      <c r="AF73" s="5"/>
      <c r="AG73" s="5"/>
      <c r="AH73" s="5"/>
      <c r="AI73" s="5"/>
      <c r="AJ73" s="5"/>
      <c r="AK73" s="5"/>
      <c r="AL73" s="5"/>
      <c r="AM73" s="5"/>
      <c r="AN73" s="5"/>
    </row>
    <row r="74" spans="2:40" x14ac:dyDescent="0.3">
      <c r="B74" s="5"/>
      <c r="C74" s="5"/>
      <c r="D74" s="5"/>
      <c r="E74" s="5"/>
      <c r="F74" s="5"/>
      <c r="G74" s="5"/>
      <c r="H74" s="5"/>
      <c r="I74" s="5"/>
      <c r="J74" s="5"/>
      <c r="K74" s="5"/>
      <c r="L74" s="5"/>
      <c r="M74" s="5"/>
      <c r="N74" s="5"/>
      <c r="O74" s="5"/>
      <c r="P74" s="5"/>
      <c r="Q74" s="5"/>
      <c r="R74" s="5"/>
      <c r="S74" s="5"/>
      <c r="T74" s="5"/>
      <c r="U74" s="5"/>
      <c r="V74" s="5"/>
      <c r="W74" s="5"/>
      <c r="X74" s="5"/>
      <c r="Y74" s="5"/>
      <c r="Z74" s="5"/>
      <c r="AA74" s="5"/>
      <c r="AB74" s="5"/>
      <c r="AC74" s="5"/>
      <c r="AD74" s="5"/>
      <c r="AE74" s="5"/>
      <c r="AF74" s="5"/>
      <c r="AG74" s="5"/>
      <c r="AH74" s="5"/>
      <c r="AI74" s="5"/>
      <c r="AJ74" s="5"/>
      <c r="AK74" s="5"/>
      <c r="AL74" s="5"/>
      <c r="AM74" s="5"/>
      <c r="AN74" s="5"/>
    </row>
    <row r="75" spans="2:40" x14ac:dyDescent="0.3">
      <c r="B75" s="5"/>
      <c r="C75" s="5"/>
      <c r="D75" s="5"/>
      <c r="E75" s="5"/>
      <c r="F75" s="5"/>
      <c r="G75" s="5"/>
      <c r="H75" s="5"/>
      <c r="I75" s="5"/>
      <c r="J75" s="5"/>
      <c r="K75" s="5"/>
      <c r="L75" s="5"/>
      <c r="M75" s="5"/>
      <c r="N75" s="5"/>
      <c r="O75" s="5"/>
      <c r="P75" s="5"/>
      <c r="Q75" s="5"/>
      <c r="R75" s="5"/>
      <c r="S75" s="5"/>
      <c r="T75" s="5"/>
      <c r="U75" s="5"/>
      <c r="V75" s="5"/>
      <c r="W75" s="5"/>
      <c r="X75" s="5"/>
      <c r="Y75" s="5"/>
      <c r="Z75" s="5"/>
      <c r="AA75" s="5"/>
      <c r="AB75" s="5"/>
      <c r="AC75" s="5"/>
      <c r="AD75" s="5"/>
      <c r="AE75" s="5"/>
      <c r="AF75" s="5"/>
      <c r="AG75" s="5"/>
      <c r="AH75" s="5"/>
      <c r="AI75" s="5"/>
      <c r="AJ75" s="5"/>
      <c r="AK75" s="5"/>
      <c r="AL75" s="5"/>
      <c r="AM75" s="5"/>
      <c r="AN75" s="5"/>
    </row>
    <row r="76" spans="2:40" x14ac:dyDescent="0.3">
      <c r="B76" s="5"/>
      <c r="C76" s="5"/>
      <c r="D76" s="5"/>
      <c r="E76" s="5"/>
      <c r="F76" s="5"/>
      <c r="G76" s="5"/>
      <c r="H76" s="5"/>
      <c r="I76" s="5"/>
      <c r="J76" s="5"/>
      <c r="K76" s="5"/>
      <c r="L76" s="5"/>
      <c r="M76" s="5"/>
      <c r="N76" s="5"/>
      <c r="O76" s="5"/>
      <c r="P76" s="5"/>
      <c r="Q76" s="5"/>
      <c r="R76" s="5"/>
      <c r="S76" s="5"/>
      <c r="T76" s="5"/>
      <c r="U76" s="5"/>
      <c r="V76" s="5"/>
      <c r="W76" s="5"/>
      <c r="X76" s="5"/>
      <c r="Y76" s="5"/>
      <c r="Z76" s="5"/>
      <c r="AA76" s="5"/>
      <c r="AB76" s="5"/>
      <c r="AC76" s="5"/>
      <c r="AD76" s="5"/>
      <c r="AE76" s="5"/>
      <c r="AF76" s="5"/>
      <c r="AG76" s="5"/>
      <c r="AH76" s="5"/>
      <c r="AI76" s="5"/>
      <c r="AJ76" s="5"/>
      <c r="AK76" s="5"/>
      <c r="AL76" s="5"/>
      <c r="AM76" s="5"/>
      <c r="AN76" s="5"/>
    </row>
    <row r="77" spans="2:40" x14ac:dyDescent="0.3">
      <c r="B77" s="5"/>
      <c r="C77" s="5"/>
      <c r="D77" s="5"/>
      <c r="E77" s="5"/>
      <c r="F77" s="5"/>
      <c r="G77" s="5"/>
      <c r="H77" s="5"/>
      <c r="I77" s="5"/>
      <c r="J77" s="5"/>
      <c r="K77" s="5"/>
      <c r="L77" s="5"/>
      <c r="M77" s="5"/>
      <c r="N77" s="5"/>
      <c r="O77" s="5"/>
      <c r="P77" s="5"/>
      <c r="Q77" s="5"/>
      <c r="R77" s="5"/>
      <c r="S77" s="5"/>
      <c r="T77" s="5"/>
      <c r="U77" s="5"/>
      <c r="V77" s="5"/>
      <c r="W77" s="5"/>
      <c r="X77" s="5"/>
      <c r="Y77" s="5"/>
      <c r="Z77" s="5"/>
      <c r="AA77" s="5"/>
      <c r="AB77" s="5"/>
      <c r="AC77" s="5"/>
      <c r="AD77" s="5"/>
      <c r="AE77" s="5"/>
      <c r="AF77" s="5"/>
      <c r="AG77" s="5"/>
      <c r="AH77" s="5"/>
      <c r="AI77" s="5"/>
      <c r="AJ77" s="5"/>
      <c r="AK77" s="5"/>
      <c r="AL77" s="5"/>
      <c r="AM77" s="5"/>
      <c r="AN77" s="5"/>
    </row>
    <row r="78" spans="2:40" x14ac:dyDescent="0.3">
      <c r="B78" s="5"/>
      <c r="C78" s="5"/>
      <c r="D78" s="5"/>
      <c r="E78" s="5"/>
      <c r="F78" s="5"/>
      <c r="G78" s="5"/>
      <c r="H78" s="5"/>
      <c r="I78" s="5"/>
      <c r="J78" s="5"/>
      <c r="K78" s="5"/>
      <c r="L78" s="5"/>
      <c r="M78" s="5"/>
      <c r="N78" s="5"/>
      <c r="O78" s="5"/>
      <c r="P78" s="5"/>
      <c r="Q78" s="5"/>
      <c r="R78" s="5"/>
      <c r="S78" s="5"/>
      <c r="T78" s="5"/>
      <c r="U78" s="5"/>
      <c r="V78" s="5"/>
      <c r="W78" s="5"/>
      <c r="X78" s="5"/>
      <c r="Y78" s="5"/>
      <c r="Z78" s="5"/>
      <c r="AA78" s="5"/>
      <c r="AB78" s="5"/>
      <c r="AC78" s="5"/>
      <c r="AD78" s="5"/>
      <c r="AE78" s="5"/>
      <c r="AF78" s="5"/>
      <c r="AG78" s="5"/>
      <c r="AH78" s="5"/>
      <c r="AI78" s="5"/>
      <c r="AJ78" s="5"/>
      <c r="AK78" s="5"/>
      <c r="AL78" s="5"/>
      <c r="AM78" s="5"/>
      <c r="AN78" s="5"/>
    </row>
    <row r="79" spans="2:40" x14ac:dyDescent="0.3">
      <c r="B79" s="5"/>
      <c r="C79" s="5"/>
      <c r="D79" s="5"/>
      <c r="E79" s="5"/>
      <c r="F79" s="5"/>
      <c r="G79" s="5"/>
      <c r="H79" s="5"/>
      <c r="I79" s="5"/>
      <c r="J79" s="5"/>
      <c r="K79" s="5"/>
      <c r="L79" s="5"/>
      <c r="M79" s="5"/>
      <c r="N79" s="5"/>
      <c r="O79" s="5"/>
      <c r="P79" s="5"/>
      <c r="Q79" s="5"/>
      <c r="R79" s="5"/>
      <c r="S79" s="5"/>
      <c r="T79" s="5"/>
      <c r="U79" s="5"/>
      <c r="V79" s="5"/>
      <c r="W79" s="5"/>
      <c r="X79" s="5"/>
      <c r="Y79" s="5"/>
      <c r="Z79" s="5"/>
      <c r="AA79" s="5"/>
      <c r="AB79" s="5"/>
      <c r="AC79" s="5"/>
      <c r="AD79" s="5"/>
      <c r="AE79" s="5"/>
      <c r="AF79" s="5"/>
      <c r="AG79" s="5"/>
      <c r="AH79" s="5"/>
      <c r="AI79" s="5"/>
      <c r="AJ79" s="5"/>
      <c r="AK79" s="5"/>
      <c r="AL79" s="5"/>
      <c r="AM79" s="5"/>
      <c r="AN79" s="5"/>
    </row>
    <row r="80" spans="2:40" x14ac:dyDescent="0.3">
      <c r="B80" s="5"/>
      <c r="C80" s="5"/>
      <c r="D80" s="5"/>
      <c r="E80" s="5"/>
      <c r="F80" s="5"/>
      <c r="G80" s="5"/>
      <c r="H80" s="5"/>
      <c r="I80" s="5"/>
      <c r="J80" s="5"/>
      <c r="K80" s="5"/>
      <c r="L80" s="5"/>
      <c r="M80" s="5"/>
      <c r="N80" s="5"/>
      <c r="O80" s="5"/>
      <c r="P80" s="5"/>
      <c r="Q80" s="5"/>
      <c r="R80" s="5"/>
      <c r="S80" s="5"/>
      <c r="T80" s="5"/>
      <c r="U80" s="5"/>
      <c r="V80" s="5"/>
      <c r="W80" s="5"/>
      <c r="X80" s="5"/>
      <c r="Y80" s="5"/>
      <c r="Z80" s="5"/>
      <c r="AA80" s="5"/>
      <c r="AB80" s="5"/>
      <c r="AC80" s="5"/>
      <c r="AD80" s="5"/>
      <c r="AE80" s="5"/>
      <c r="AF80" s="5"/>
      <c r="AG80" s="5"/>
      <c r="AH80" s="5"/>
      <c r="AI80" s="5"/>
      <c r="AJ80" s="5"/>
      <c r="AK80" s="5"/>
      <c r="AL80" s="5"/>
      <c r="AM80" s="5"/>
      <c r="AN80" s="5"/>
    </row>
    <row r="81" spans="2:40" x14ac:dyDescent="0.3">
      <c r="B81" s="5"/>
      <c r="C81" s="5"/>
      <c r="D81" s="5"/>
      <c r="E81" s="5"/>
      <c r="F81" s="5"/>
      <c r="G81" s="5"/>
      <c r="H81" s="5"/>
      <c r="I81" s="5"/>
      <c r="J81" s="5"/>
      <c r="K81" s="5"/>
      <c r="L81" s="5"/>
      <c r="M81" s="5"/>
      <c r="N81" s="5"/>
      <c r="O81" s="5"/>
      <c r="P81" s="5"/>
      <c r="Q81" s="5"/>
      <c r="R81" s="5"/>
      <c r="S81" s="5"/>
      <c r="T81" s="5"/>
      <c r="U81" s="5"/>
      <c r="V81" s="5"/>
      <c r="W81" s="5"/>
      <c r="X81" s="5"/>
      <c r="Y81" s="5"/>
      <c r="Z81" s="5"/>
      <c r="AA81" s="5"/>
      <c r="AB81" s="5"/>
      <c r="AC81" s="5"/>
      <c r="AD81" s="5"/>
      <c r="AE81" s="5"/>
      <c r="AF81" s="5"/>
      <c r="AG81" s="5"/>
      <c r="AH81" s="5"/>
      <c r="AI81" s="5"/>
      <c r="AJ81" s="5"/>
      <c r="AK81" s="5"/>
      <c r="AL81" s="5"/>
      <c r="AM81" s="5"/>
      <c r="AN81" s="5"/>
    </row>
    <row r="82" spans="2:40" x14ac:dyDescent="0.3">
      <c r="B82" s="5"/>
      <c r="C82" s="5"/>
      <c r="D82" s="5"/>
      <c r="E82" s="5"/>
      <c r="F82" s="5"/>
      <c r="G82" s="5"/>
      <c r="H82" s="5"/>
      <c r="I82" s="5"/>
      <c r="J82" s="5"/>
      <c r="K82" s="5"/>
      <c r="L82" s="5"/>
      <c r="M82" s="5"/>
      <c r="N82" s="5"/>
      <c r="O82" s="5"/>
      <c r="P82" s="5"/>
      <c r="Q82" s="5"/>
      <c r="R82" s="5"/>
      <c r="S82" s="5"/>
      <c r="T82" s="5"/>
      <c r="U82" s="5"/>
      <c r="V82" s="5"/>
      <c r="W82" s="5"/>
      <c r="X82" s="5"/>
      <c r="Y82" s="5"/>
      <c r="Z82" s="5"/>
      <c r="AA82" s="5"/>
      <c r="AB82" s="5"/>
      <c r="AC82" s="5"/>
      <c r="AD82" s="5"/>
      <c r="AE82" s="5"/>
      <c r="AF82" s="5"/>
      <c r="AG82" s="5"/>
      <c r="AH82" s="5"/>
      <c r="AI82" s="5"/>
      <c r="AJ82" s="5"/>
      <c r="AK82" s="5"/>
      <c r="AL82" s="5"/>
      <c r="AM82" s="5"/>
      <c r="AN82" s="5"/>
    </row>
    <row r="83" spans="2:40" x14ac:dyDescent="0.3">
      <c r="B83" s="5"/>
      <c r="C83" s="5"/>
      <c r="D83" s="5"/>
      <c r="E83" s="5"/>
      <c r="F83" s="5"/>
      <c r="G83" s="5"/>
      <c r="H83" s="5"/>
      <c r="I83" s="5"/>
      <c r="J83" s="5"/>
      <c r="K83" s="5"/>
      <c r="L83" s="5"/>
      <c r="M83" s="5"/>
      <c r="N83" s="5"/>
      <c r="O83" s="5"/>
      <c r="P83" s="5"/>
      <c r="Q83" s="5"/>
      <c r="R83" s="5"/>
      <c r="S83" s="5"/>
      <c r="T83" s="5"/>
      <c r="U83" s="5"/>
      <c r="V83" s="5"/>
      <c r="W83" s="5"/>
      <c r="X83" s="5"/>
      <c r="Y83" s="5"/>
      <c r="Z83" s="5"/>
      <c r="AA83" s="5"/>
      <c r="AB83" s="5"/>
      <c r="AC83" s="5"/>
      <c r="AD83" s="5"/>
      <c r="AE83" s="5"/>
      <c r="AF83" s="5"/>
      <c r="AG83" s="5"/>
      <c r="AH83" s="5"/>
      <c r="AI83" s="5"/>
      <c r="AJ83" s="5"/>
      <c r="AK83" s="5"/>
      <c r="AL83" s="5"/>
      <c r="AM83" s="5"/>
      <c r="AN83" s="5"/>
    </row>
    <row r="84" spans="2:40" x14ac:dyDescent="0.3">
      <c r="B84" s="5"/>
      <c r="C84" s="5"/>
      <c r="D84" s="5"/>
      <c r="E84" s="5"/>
      <c r="F84" s="5"/>
      <c r="G84" s="5"/>
      <c r="H84" s="5"/>
      <c r="I84" s="5"/>
      <c r="J84" s="5"/>
      <c r="K84" s="5"/>
      <c r="L84" s="5"/>
      <c r="M84" s="5"/>
      <c r="N84" s="5"/>
      <c r="O84" s="5"/>
      <c r="P84" s="5"/>
      <c r="Q84" s="5"/>
      <c r="R84" s="5"/>
      <c r="S84" s="5"/>
      <c r="T84" s="5"/>
      <c r="U84" s="5"/>
      <c r="V84" s="5"/>
      <c r="W84" s="5"/>
      <c r="X84" s="5"/>
      <c r="Y84" s="5"/>
      <c r="Z84" s="5"/>
      <c r="AA84" s="5"/>
      <c r="AB84" s="5"/>
      <c r="AC84" s="5"/>
      <c r="AD84" s="5"/>
      <c r="AE84" s="5"/>
      <c r="AF84" s="5"/>
      <c r="AG84" s="5"/>
      <c r="AH84" s="5"/>
      <c r="AI84" s="5"/>
      <c r="AJ84" s="5"/>
      <c r="AK84" s="5"/>
      <c r="AL84" s="5"/>
      <c r="AM84" s="5"/>
      <c r="AN84" s="5"/>
    </row>
    <row r="85" spans="2:40" x14ac:dyDescent="0.3">
      <c r="B85" s="5"/>
      <c r="C85" s="5"/>
      <c r="D85" s="5"/>
      <c r="E85" s="5"/>
      <c r="F85" s="5"/>
      <c r="G85" s="5"/>
      <c r="H85" s="5"/>
      <c r="I85" s="5"/>
      <c r="J85" s="5"/>
      <c r="K85" s="5"/>
      <c r="L85" s="5"/>
      <c r="M85" s="5"/>
      <c r="N85" s="5"/>
      <c r="O85" s="5"/>
      <c r="P85" s="5"/>
      <c r="Q85" s="5"/>
      <c r="R85" s="5"/>
      <c r="S85" s="5"/>
      <c r="T85" s="5"/>
      <c r="U85" s="5"/>
      <c r="V85" s="5"/>
      <c r="W85" s="5"/>
      <c r="X85" s="5"/>
      <c r="Y85" s="5"/>
      <c r="Z85" s="5"/>
      <c r="AA85" s="5"/>
      <c r="AB85" s="5"/>
      <c r="AC85" s="5"/>
      <c r="AD85" s="5"/>
      <c r="AE85" s="5"/>
      <c r="AF85" s="5"/>
      <c r="AG85" s="5"/>
      <c r="AH85" s="5"/>
      <c r="AI85" s="5"/>
      <c r="AJ85" s="5"/>
      <c r="AK85" s="5"/>
      <c r="AL85" s="5"/>
      <c r="AM85" s="5"/>
      <c r="AN85" s="5"/>
    </row>
    <row r="86" spans="2:40" x14ac:dyDescent="0.3">
      <c r="B86" s="5"/>
      <c r="C86" s="5"/>
      <c r="D86" s="5"/>
      <c r="E86" s="5"/>
      <c r="F86" s="5"/>
      <c r="G86" s="5"/>
      <c r="H86" s="5"/>
      <c r="I86" s="5"/>
      <c r="J86" s="5"/>
      <c r="K86" s="5"/>
      <c r="L86" s="5"/>
      <c r="M86" s="5"/>
      <c r="N86" s="5"/>
      <c r="O86" s="5"/>
      <c r="P86" s="5"/>
      <c r="Q86" s="5"/>
      <c r="R86" s="5"/>
      <c r="S86" s="5"/>
      <c r="T86" s="5"/>
      <c r="U86" s="5"/>
      <c r="V86" s="5"/>
      <c r="W86" s="5"/>
      <c r="X86" s="5"/>
      <c r="Y86" s="5"/>
      <c r="Z86" s="5"/>
      <c r="AA86" s="5"/>
      <c r="AB86" s="5"/>
      <c r="AC86" s="5"/>
      <c r="AD86" s="5"/>
      <c r="AE86" s="5"/>
      <c r="AF86" s="5"/>
      <c r="AG86" s="5"/>
      <c r="AH86" s="5"/>
      <c r="AI86" s="5"/>
      <c r="AJ86" s="5"/>
      <c r="AK86" s="5"/>
      <c r="AL86" s="5"/>
      <c r="AM86" s="5"/>
      <c r="AN86" s="5"/>
    </row>
    <row r="87" spans="2:40" x14ac:dyDescent="0.3">
      <c r="B87" s="5"/>
      <c r="C87" s="5"/>
      <c r="D87" s="5"/>
      <c r="E87" s="5"/>
      <c r="F87" s="5"/>
      <c r="G87" s="5"/>
      <c r="H87" s="5"/>
      <c r="I87" s="5"/>
      <c r="J87" s="5"/>
      <c r="K87" s="5"/>
      <c r="L87" s="5"/>
      <c r="M87" s="5"/>
      <c r="N87" s="5"/>
      <c r="O87" s="5"/>
      <c r="P87" s="5"/>
      <c r="Q87" s="5"/>
      <c r="R87" s="5"/>
      <c r="S87" s="5"/>
      <c r="T87" s="5"/>
      <c r="U87" s="5"/>
      <c r="V87" s="5"/>
      <c r="W87" s="5"/>
      <c r="X87" s="5"/>
      <c r="Y87" s="5"/>
      <c r="Z87" s="5"/>
      <c r="AA87" s="5"/>
      <c r="AB87" s="5"/>
      <c r="AC87" s="5"/>
      <c r="AD87" s="5"/>
      <c r="AE87" s="5"/>
      <c r="AF87" s="5"/>
      <c r="AG87" s="5"/>
      <c r="AH87" s="5"/>
      <c r="AI87" s="5"/>
      <c r="AJ87" s="5"/>
      <c r="AK87" s="5"/>
      <c r="AL87" s="5"/>
      <c r="AM87" s="5"/>
      <c r="AN87" s="5"/>
    </row>
    <row r="88" spans="2:40" x14ac:dyDescent="0.3">
      <c r="B88" s="5"/>
      <c r="C88" s="5"/>
      <c r="D88" s="5"/>
      <c r="E88" s="5"/>
      <c r="F88" s="5"/>
      <c r="G88" s="5"/>
      <c r="H88" s="5"/>
      <c r="I88" s="5"/>
      <c r="J88" s="5"/>
      <c r="K88" s="5"/>
      <c r="L88" s="5"/>
      <c r="M88" s="5"/>
      <c r="N88" s="5"/>
      <c r="O88" s="5"/>
      <c r="P88" s="5"/>
      <c r="Q88" s="5"/>
      <c r="R88" s="5"/>
      <c r="S88" s="5"/>
      <c r="T88" s="5"/>
      <c r="U88" s="5"/>
      <c r="V88" s="5"/>
      <c r="W88" s="5"/>
      <c r="X88" s="5"/>
      <c r="Y88" s="5"/>
      <c r="Z88" s="5"/>
      <c r="AA88" s="5"/>
      <c r="AB88" s="5"/>
      <c r="AC88" s="5"/>
      <c r="AD88" s="5"/>
      <c r="AE88" s="5"/>
      <c r="AF88" s="5"/>
      <c r="AG88" s="5"/>
      <c r="AH88" s="5"/>
      <c r="AI88" s="5"/>
      <c r="AJ88" s="5"/>
      <c r="AK88" s="5"/>
      <c r="AL88" s="5"/>
      <c r="AM88" s="5"/>
      <c r="AN88" s="5"/>
    </row>
    <row r="89" spans="2:40" x14ac:dyDescent="0.3">
      <c r="B89" s="5"/>
      <c r="C89" s="5"/>
      <c r="D89" s="5"/>
      <c r="E89" s="5"/>
      <c r="F89" s="5"/>
      <c r="G89" s="5"/>
      <c r="H89" s="5"/>
      <c r="I89" s="5"/>
      <c r="J89" s="5"/>
      <c r="K89" s="5"/>
      <c r="L89" s="5"/>
      <c r="M89" s="5"/>
      <c r="N89" s="5"/>
      <c r="O89" s="5"/>
      <c r="P89" s="5"/>
      <c r="Q89" s="5"/>
      <c r="R89" s="5"/>
      <c r="S89" s="5"/>
      <c r="T89" s="5"/>
      <c r="U89" s="5"/>
      <c r="V89" s="5"/>
      <c r="W89" s="5"/>
      <c r="X89" s="5"/>
      <c r="Y89" s="5"/>
      <c r="Z89" s="5"/>
      <c r="AA89" s="5"/>
      <c r="AB89" s="5"/>
      <c r="AC89" s="5"/>
      <c r="AD89" s="5"/>
      <c r="AE89" s="5"/>
      <c r="AF89" s="5"/>
      <c r="AG89" s="5"/>
      <c r="AH89" s="5"/>
      <c r="AI89" s="5"/>
      <c r="AJ89" s="5"/>
      <c r="AK89" s="5"/>
      <c r="AL89" s="5"/>
      <c r="AM89" s="5"/>
      <c r="AN89" s="5"/>
    </row>
    <row r="90" spans="2:40" x14ac:dyDescent="0.3">
      <c r="B90" s="5"/>
      <c r="C90" s="5"/>
      <c r="D90" s="5"/>
      <c r="E90" s="5"/>
      <c r="F90" s="5"/>
      <c r="G90" s="5"/>
      <c r="H90" s="5"/>
      <c r="I90" s="5"/>
      <c r="J90" s="5"/>
      <c r="K90" s="5"/>
      <c r="L90" s="5"/>
      <c r="M90" s="5"/>
      <c r="N90" s="5"/>
      <c r="O90" s="5"/>
      <c r="P90" s="5"/>
      <c r="Q90" s="5"/>
      <c r="R90" s="5"/>
      <c r="S90" s="5"/>
      <c r="T90" s="5"/>
      <c r="U90" s="5"/>
      <c r="V90" s="5"/>
      <c r="W90" s="5"/>
      <c r="X90" s="5"/>
      <c r="Y90" s="5"/>
      <c r="Z90" s="5"/>
      <c r="AA90" s="5"/>
      <c r="AB90" s="5"/>
      <c r="AC90" s="5"/>
      <c r="AD90" s="5"/>
      <c r="AE90" s="5"/>
      <c r="AF90" s="5"/>
      <c r="AG90" s="5"/>
      <c r="AH90" s="5"/>
      <c r="AI90" s="5"/>
      <c r="AJ90" s="5"/>
      <c r="AK90" s="5"/>
      <c r="AL90" s="5"/>
      <c r="AM90" s="5"/>
      <c r="AN90" s="5"/>
    </row>
    <row r="91" spans="2:40" x14ac:dyDescent="0.3">
      <c r="B91" s="5"/>
      <c r="C91" s="5"/>
      <c r="D91" s="5"/>
      <c r="E91" s="5"/>
      <c r="F91" s="5"/>
      <c r="G91" s="5"/>
      <c r="H91" s="5"/>
      <c r="I91" s="5"/>
      <c r="J91" s="5"/>
      <c r="K91" s="5"/>
      <c r="L91" s="5"/>
      <c r="M91" s="5"/>
      <c r="N91" s="5"/>
      <c r="O91" s="5"/>
      <c r="P91" s="5"/>
      <c r="Q91" s="5"/>
      <c r="R91" s="5"/>
      <c r="S91" s="5"/>
      <c r="T91" s="5"/>
      <c r="U91" s="5"/>
      <c r="V91" s="5"/>
      <c r="W91" s="5"/>
      <c r="X91" s="5"/>
      <c r="Y91" s="5"/>
      <c r="Z91" s="5"/>
      <c r="AA91" s="5"/>
      <c r="AB91" s="5"/>
      <c r="AC91" s="5"/>
      <c r="AD91" s="5"/>
      <c r="AE91" s="5"/>
      <c r="AF91" s="5"/>
      <c r="AG91" s="5"/>
      <c r="AH91" s="5"/>
      <c r="AI91" s="5"/>
      <c r="AJ91" s="5"/>
      <c r="AK91" s="5"/>
      <c r="AL91" s="5"/>
      <c r="AM91" s="5"/>
      <c r="AN91" s="5"/>
    </row>
    <row r="92" spans="2:40" x14ac:dyDescent="0.3">
      <c r="B92" s="5"/>
      <c r="C92" s="5"/>
      <c r="D92" s="5"/>
      <c r="E92" s="5"/>
      <c r="F92" s="5"/>
      <c r="G92" s="5"/>
      <c r="H92" s="5"/>
      <c r="I92" s="5"/>
      <c r="J92" s="5"/>
      <c r="K92" s="5"/>
      <c r="L92" s="5"/>
      <c r="M92" s="5"/>
      <c r="N92" s="5"/>
      <c r="O92" s="5"/>
      <c r="P92" s="5"/>
      <c r="Q92" s="5"/>
      <c r="R92" s="5"/>
      <c r="S92" s="5"/>
      <c r="T92" s="5"/>
      <c r="U92" s="5"/>
      <c r="V92" s="5"/>
      <c r="W92" s="5"/>
      <c r="X92" s="5"/>
      <c r="Y92" s="5"/>
      <c r="Z92" s="5"/>
      <c r="AA92" s="5"/>
      <c r="AB92" s="5"/>
      <c r="AC92" s="5"/>
      <c r="AD92" s="5"/>
      <c r="AE92" s="5"/>
      <c r="AF92" s="5"/>
      <c r="AG92" s="5"/>
      <c r="AH92" s="5"/>
      <c r="AI92" s="5"/>
      <c r="AJ92" s="5"/>
      <c r="AK92" s="5"/>
      <c r="AL92" s="5"/>
      <c r="AM92" s="5"/>
      <c r="AN92" s="5"/>
    </row>
    <row r="93" spans="2:40" x14ac:dyDescent="0.3">
      <c r="B93" s="5"/>
      <c r="C93" s="5"/>
      <c r="D93" s="5"/>
      <c r="E93" s="5"/>
      <c r="F93" s="5"/>
      <c r="G93" s="5"/>
      <c r="H93" s="5"/>
      <c r="I93" s="5"/>
      <c r="J93" s="5"/>
      <c r="K93" s="5"/>
      <c r="L93" s="5"/>
      <c r="M93" s="5"/>
      <c r="N93" s="5"/>
      <c r="O93" s="5"/>
      <c r="P93" s="5"/>
      <c r="Q93" s="5"/>
      <c r="R93" s="5"/>
      <c r="S93" s="5"/>
      <c r="T93" s="5"/>
      <c r="U93" s="5"/>
      <c r="V93" s="5"/>
      <c r="W93" s="5"/>
      <c r="X93" s="5"/>
      <c r="Y93" s="5"/>
      <c r="Z93" s="5"/>
      <c r="AA93" s="5"/>
      <c r="AB93" s="5"/>
      <c r="AC93" s="5"/>
      <c r="AD93" s="5"/>
      <c r="AE93" s="5"/>
      <c r="AF93" s="5"/>
      <c r="AG93" s="5"/>
      <c r="AH93" s="5"/>
      <c r="AI93" s="5"/>
      <c r="AJ93" s="5"/>
      <c r="AK93" s="5"/>
      <c r="AL93" s="5"/>
      <c r="AM93" s="5"/>
      <c r="AN93" s="5"/>
    </row>
    <row r="94" spans="2:40" x14ac:dyDescent="0.3">
      <c r="B94" s="5"/>
      <c r="C94" s="5"/>
      <c r="D94" s="5"/>
      <c r="E94" s="5"/>
      <c r="F94" s="5"/>
      <c r="G94" s="5"/>
      <c r="H94" s="5"/>
      <c r="I94" s="5"/>
      <c r="J94" s="5"/>
      <c r="K94" s="5"/>
      <c r="L94" s="5"/>
      <c r="M94" s="5"/>
      <c r="N94" s="5"/>
      <c r="O94" s="5"/>
      <c r="P94" s="5"/>
      <c r="Q94" s="5"/>
      <c r="R94" s="5"/>
      <c r="S94" s="5"/>
      <c r="T94" s="5"/>
      <c r="U94" s="5"/>
      <c r="V94" s="5"/>
      <c r="W94" s="5"/>
      <c r="X94" s="5"/>
      <c r="Y94" s="5"/>
      <c r="Z94" s="5"/>
      <c r="AA94" s="5"/>
      <c r="AB94" s="5"/>
      <c r="AC94" s="5"/>
      <c r="AD94" s="5"/>
      <c r="AE94" s="5"/>
      <c r="AF94" s="5"/>
      <c r="AG94" s="5"/>
      <c r="AH94" s="5"/>
      <c r="AI94" s="5"/>
      <c r="AJ94" s="5"/>
      <c r="AK94" s="5"/>
      <c r="AL94" s="5"/>
      <c r="AM94" s="5"/>
      <c r="AN94" s="5"/>
    </row>
    <row r="95" spans="2:40" x14ac:dyDescent="0.3">
      <c r="B95" s="5"/>
      <c r="C95" s="5"/>
      <c r="D95" s="5"/>
      <c r="E95" s="5"/>
      <c r="F95" s="5"/>
      <c r="G95" s="5"/>
      <c r="H95" s="5"/>
      <c r="I95" s="5"/>
      <c r="J95" s="5"/>
      <c r="K95" s="5"/>
      <c r="L95" s="5"/>
      <c r="M95" s="5"/>
      <c r="N95" s="5"/>
      <c r="O95" s="5"/>
      <c r="P95" s="5"/>
      <c r="Q95" s="5"/>
      <c r="R95" s="5"/>
      <c r="S95" s="5"/>
      <c r="T95" s="5"/>
      <c r="U95" s="5"/>
      <c r="V95" s="5"/>
      <c r="W95" s="5"/>
      <c r="X95" s="5"/>
      <c r="Y95" s="5"/>
      <c r="Z95" s="5"/>
      <c r="AA95" s="5"/>
      <c r="AB95" s="5"/>
      <c r="AC95" s="5"/>
      <c r="AD95" s="5"/>
      <c r="AE95" s="5"/>
      <c r="AF95" s="5"/>
      <c r="AG95" s="5"/>
      <c r="AH95" s="5"/>
      <c r="AI95" s="5"/>
      <c r="AJ95" s="5"/>
      <c r="AK95" s="5"/>
      <c r="AL95" s="5"/>
      <c r="AM95" s="5"/>
      <c r="AN95" s="5"/>
    </row>
    <row r="96" spans="2:40" x14ac:dyDescent="0.3">
      <c r="B96" s="5"/>
      <c r="C96" s="5"/>
      <c r="D96" s="5"/>
      <c r="E96" s="5"/>
      <c r="F96" s="5"/>
      <c r="G96" s="5"/>
      <c r="H96" s="5"/>
      <c r="I96" s="5"/>
      <c r="J96" s="5"/>
      <c r="K96" s="5"/>
      <c r="L96" s="5"/>
      <c r="M96" s="5"/>
      <c r="N96" s="5"/>
      <c r="O96" s="5"/>
      <c r="P96" s="5"/>
      <c r="Q96" s="5"/>
      <c r="R96" s="5"/>
      <c r="S96" s="5"/>
      <c r="T96" s="5"/>
      <c r="U96" s="5"/>
      <c r="V96" s="5"/>
      <c r="W96" s="5"/>
      <c r="X96" s="5"/>
      <c r="Y96" s="5"/>
      <c r="Z96" s="5"/>
      <c r="AA96" s="5"/>
      <c r="AB96" s="5"/>
      <c r="AC96" s="5"/>
      <c r="AD96" s="5"/>
      <c r="AE96" s="5"/>
      <c r="AF96" s="5"/>
      <c r="AG96" s="5"/>
      <c r="AH96" s="5"/>
      <c r="AI96" s="5"/>
      <c r="AJ96" s="5"/>
      <c r="AK96" s="5"/>
      <c r="AL96" s="5"/>
      <c r="AM96" s="5"/>
      <c r="AN96" s="5"/>
    </row>
    <row r="97" spans="2:40" x14ac:dyDescent="0.3">
      <c r="B97" s="5"/>
      <c r="C97" s="5"/>
      <c r="D97" s="5"/>
      <c r="E97" s="5"/>
      <c r="F97" s="5"/>
      <c r="G97" s="5"/>
      <c r="H97" s="5"/>
      <c r="I97" s="5"/>
      <c r="J97" s="5"/>
      <c r="K97" s="5"/>
      <c r="L97" s="5"/>
      <c r="M97" s="5"/>
      <c r="N97" s="5"/>
      <c r="O97" s="5"/>
      <c r="P97" s="5"/>
      <c r="Q97" s="5"/>
      <c r="R97" s="5"/>
      <c r="S97" s="5"/>
      <c r="T97" s="5"/>
      <c r="U97" s="5"/>
      <c r="V97" s="5"/>
      <c r="W97" s="5"/>
      <c r="X97" s="5"/>
      <c r="Y97" s="5"/>
      <c r="Z97" s="5"/>
      <c r="AA97" s="5"/>
      <c r="AB97" s="5"/>
      <c r="AC97" s="5"/>
      <c r="AD97" s="5"/>
      <c r="AE97" s="5"/>
      <c r="AF97" s="5"/>
      <c r="AG97" s="5"/>
      <c r="AH97" s="5"/>
      <c r="AI97" s="5"/>
      <c r="AJ97" s="5"/>
      <c r="AK97" s="5"/>
      <c r="AL97" s="5"/>
      <c r="AM97" s="5"/>
      <c r="AN97" s="5"/>
    </row>
    <row r="98" spans="2:40" x14ac:dyDescent="0.3">
      <c r="B98" s="5"/>
      <c r="C98" s="5"/>
      <c r="D98" s="5"/>
      <c r="E98" s="5"/>
      <c r="F98" s="5"/>
      <c r="G98" s="5"/>
      <c r="H98" s="5"/>
      <c r="I98" s="5"/>
      <c r="J98" s="5"/>
      <c r="K98" s="5"/>
      <c r="L98" s="5"/>
      <c r="M98" s="5"/>
      <c r="N98" s="5"/>
      <c r="O98" s="5"/>
      <c r="P98" s="5"/>
      <c r="Q98" s="5"/>
      <c r="R98" s="5"/>
      <c r="S98" s="5"/>
      <c r="T98" s="5"/>
      <c r="U98" s="5"/>
      <c r="V98" s="5"/>
      <c r="W98" s="5"/>
      <c r="X98" s="5"/>
      <c r="Y98" s="5"/>
      <c r="Z98" s="5"/>
      <c r="AA98" s="5"/>
      <c r="AB98" s="5"/>
      <c r="AC98" s="5"/>
      <c r="AD98" s="5"/>
      <c r="AE98" s="5"/>
      <c r="AF98" s="5"/>
      <c r="AG98" s="5"/>
      <c r="AH98" s="5"/>
      <c r="AI98" s="5"/>
      <c r="AJ98" s="5"/>
      <c r="AK98" s="5"/>
      <c r="AL98" s="5"/>
      <c r="AM98" s="5"/>
      <c r="AN98" s="5"/>
    </row>
    <row r="99" spans="2:40" x14ac:dyDescent="0.3">
      <c r="B99" s="5"/>
      <c r="C99" s="5"/>
      <c r="D99" s="5"/>
      <c r="E99" s="5"/>
      <c r="F99" s="5"/>
      <c r="G99" s="5"/>
      <c r="H99" s="5"/>
      <c r="I99" s="5"/>
      <c r="J99" s="5"/>
      <c r="K99" s="5"/>
      <c r="L99" s="5"/>
      <c r="M99" s="5"/>
      <c r="N99" s="5"/>
      <c r="O99" s="5"/>
      <c r="P99" s="5"/>
      <c r="Q99" s="5"/>
      <c r="R99" s="5"/>
      <c r="S99" s="5"/>
      <c r="T99" s="5"/>
      <c r="U99" s="5"/>
      <c r="V99" s="5"/>
      <c r="W99" s="5"/>
      <c r="X99" s="5"/>
      <c r="Y99" s="5"/>
      <c r="Z99" s="5"/>
      <c r="AA99" s="5"/>
      <c r="AB99" s="5"/>
      <c r="AC99" s="5"/>
      <c r="AD99" s="5"/>
      <c r="AE99" s="5"/>
      <c r="AF99" s="5"/>
      <c r="AG99" s="5"/>
      <c r="AH99" s="5"/>
      <c r="AI99" s="5"/>
      <c r="AJ99" s="5"/>
      <c r="AK99" s="5"/>
      <c r="AL99" s="5"/>
      <c r="AM99" s="5"/>
      <c r="AN99" s="5"/>
    </row>
    <row r="100" spans="2:40" x14ac:dyDescent="0.3">
      <c r="B100" s="5"/>
      <c r="C100" s="5"/>
      <c r="D100" s="5"/>
      <c r="E100" s="5"/>
      <c r="F100" s="5"/>
      <c r="G100" s="5"/>
      <c r="H100" s="5"/>
      <c r="I100" s="5"/>
      <c r="J100" s="5"/>
      <c r="K100" s="5"/>
      <c r="L100" s="5"/>
      <c r="M100" s="5"/>
      <c r="N100" s="5"/>
      <c r="O100" s="5"/>
      <c r="P100" s="5"/>
      <c r="Q100" s="5"/>
      <c r="R100" s="5"/>
      <c r="S100" s="5"/>
      <c r="T100" s="5"/>
      <c r="U100" s="5"/>
      <c r="V100" s="5"/>
      <c r="W100" s="5"/>
      <c r="X100" s="5"/>
      <c r="Y100" s="5"/>
      <c r="Z100" s="5"/>
      <c r="AA100" s="5"/>
      <c r="AB100" s="5"/>
      <c r="AC100" s="5"/>
      <c r="AD100" s="5"/>
      <c r="AE100" s="5"/>
      <c r="AF100" s="5"/>
      <c r="AG100" s="5"/>
      <c r="AH100" s="5"/>
      <c r="AI100" s="5"/>
      <c r="AJ100" s="5"/>
      <c r="AK100" s="5"/>
      <c r="AL100" s="5"/>
      <c r="AM100" s="5"/>
      <c r="AN100" s="5"/>
    </row>
    <row r="101" spans="2:40" x14ac:dyDescent="0.3">
      <c r="B101" s="5"/>
      <c r="C101" s="5"/>
      <c r="D101" s="5"/>
      <c r="E101" s="5"/>
      <c r="F101" s="5"/>
      <c r="G101" s="5"/>
      <c r="H101" s="5"/>
      <c r="I101" s="5"/>
      <c r="J101" s="5"/>
      <c r="K101" s="5"/>
      <c r="L101" s="5"/>
      <c r="M101" s="5"/>
      <c r="N101" s="5"/>
      <c r="O101" s="5"/>
      <c r="P101" s="5"/>
      <c r="Q101" s="5"/>
      <c r="R101" s="5"/>
      <c r="S101" s="5"/>
      <c r="T101" s="5"/>
      <c r="U101" s="5"/>
      <c r="V101" s="5"/>
      <c r="W101" s="5"/>
      <c r="X101" s="5"/>
      <c r="Y101" s="5"/>
      <c r="Z101" s="5"/>
      <c r="AA101" s="5"/>
      <c r="AB101" s="5"/>
      <c r="AC101" s="5"/>
      <c r="AD101" s="5"/>
      <c r="AE101" s="5"/>
      <c r="AF101" s="5"/>
      <c r="AG101" s="5"/>
      <c r="AH101" s="5"/>
      <c r="AI101" s="5"/>
      <c r="AJ101" s="5"/>
      <c r="AK101" s="5"/>
      <c r="AL101" s="5"/>
      <c r="AM101" s="5"/>
      <c r="AN101" s="5"/>
    </row>
  </sheetData>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71C542-D6B0-4D77-AFA3-9AF248669F13}">
  <sheetPr>
    <tabColor rgb="FF1F3864"/>
  </sheetPr>
  <dimension ref="A1:T57"/>
  <sheetViews>
    <sheetView showGridLines="0" topLeftCell="A15" zoomScaleNormal="100" workbookViewId="0">
      <selection activeCell="A20" sqref="A20"/>
    </sheetView>
  </sheetViews>
  <sheetFormatPr defaultRowHeight="14.4" x14ac:dyDescent="0.3"/>
  <cols>
    <col min="1" max="1" width="34.109375" customWidth="1"/>
    <col min="2" max="2" width="13.109375" bestFit="1" customWidth="1"/>
    <col min="3" max="4" width="13.21875" bestFit="1" customWidth="1"/>
    <col min="5" max="5" width="23.88671875" bestFit="1" customWidth="1"/>
    <col min="6" max="7" width="12" bestFit="1" customWidth="1"/>
    <col min="8" max="8" width="6.44140625" bestFit="1" customWidth="1"/>
    <col min="9" max="14" width="5.6640625" bestFit="1" customWidth="1"/>
    <col min="15" max="15" width="6.77734375" bestFit="1" customWidth="1"/>
  </cols>
  <sheetData>
    <row r="1" spans="1:2" ht="24" customHeight="1" x14ac:dyDescent="0.35">
      <c r="A1" s="479" t="s">
        <v>766</v>
      </c>
    </row>
    <row r="2" spans="1:2" x14ac:dyDescent="0.3">
      <c r="A2" s="452" t="s">
        <v>767</v>
      </c>
    </row>
    <row r="4" spans="1:2" x14ac:dyDescent="0.3">
      <c r="A4" s="480" t="s">
        <v>768</v>
      </c>
      <c r="B4" s="481"/>
    </row>
    <row r="5" spans="1:2" x14ac:dyDescent="0.3">
      <c r="A5" s="297" t="s">
        <v>769</v>
      </c>
      <c r="B5" s="482">
        <f>'36_Inputs_Funding'!B13</f>
        <v>12</v>
      </c>
    </row>
    <row r="6" spans="1:2" x14ac:dyDescent="0.3">
      <c r="A6" s="297" t="s">
        <v>770</v>
      </c>
      <c r="B6" s="483">
        <f>'36_Inputs_Funding'!C13</f>
        <v>10000000</v>
      </c>
    </row>
    <row r="7" spans="1:2" x14ac:dyDescent="0.3">
      <c r="A7" s="297" t="s">
        <v>771</v>
      </c>
      <c r="B7" s="483" cm="1">
        <f t="array" ref="B7">INDEX('03_KPIs'!$B$5:$AK$5,$B$5)</f>
        <v>1965872.4563499847</v>
      </c>
    </row>
    <row r="8" spans="1:2" x14ac:dyDescent="0.3">
      <c r="A8" s="297" t="s">
        <v>772</v>
      </c>
      <c r="B8" s="483" cm="1">
        <f t="array" ref="B8">INDEX('12_Balance Sheet'!$B$4:$AK$4,$B$5)-INDEX('45_Funding_Interest_Equity'!$B$7:$AK$7,$B$5)</f>
        <v>2874133.9305651728</v>
      </c>
    </row>
    <row r="9" spans="1:2" x14ac:dyDescent="0.3">
      <c r="A9" s="297" t="s">
        <v>776</v>
      </c>
      <c r="B9" s="483">
        <f>'02_Valuation'!B29</f>
        <v>38362220.775814943</v>
      </c>
    </row>
    <row r="10" spans="1:2" x14ac:dyDescent="0.3">
      <c r="A10" s="297" t="s">
        <v>774</v>
      </c>
      <c r="B10" s="379">
        <f>'02_Valuation'!C48</f>
        <v>0.17134371973973886</v>
      </c>
    </row>
    <row r="11" spans="1:2" ht="15" thickBot="1" x14ac:dyDescent="0.35">
      <c r="A11" s="484" t="s">
        <v>775</v>
      </c>
      <c r="B11" s="380">
        <f>'02_Valuation'!C49</f>
        <v>0.17134371973973886</v>
      </c>
    </row>
    <row r="12" spans="1:2" ht="15" thickBot="1" x14ac:dyDescent="0.35">
      <c r="A12" s="485" t="s">
        <v>777</v>
      </c>
      <c r="B12" s="381">
        <f>'02_Valuation'!C47</f>
        <v>0.65731256052052234</v>
      </c>
    </row>
    <row r="14" spans="1:2" x14ac:dyDescent="0.3">
      <c r="A14" s="486" t="str">
        <f>"Current model: Series A Month "&amp;$B$5&amp;", "&amp;TEXT($B$6,"$#,##0")&amp;". Combined dilution at M"&amp;$B$5&amp;" (Series A "&amp;TEXT($B$10,"0.0%")&amp;" + Mudarabah conversion "&amp;TEXT($B$11,"0.0%")&amp;") = "&amp;TEXT($B$10+$B$11,"0.0%")&amp;". Founder post-M"&amp;$B$5&amp;": "&amp;TEXT($B$12,"0.0%")&amp;"."</f>
        <v>Current model: Series A Month 12, $10,000,000. Combined dilution at M12 (Series A 17.1% + Mudarabah conversion 17.1%) = 34.3%. Founder post-M12: 65.7%.</v>
      </c>
    </row>
    <row r="16" spans="1:2" x14ac:dyDescent="0.3">
      <c r="A16" s="78" t="s">
        <v>778</v>
      </c>
    </row>
    <row r="17" spans="1:7" x14ac:dyDescent="0.3">
      <c r="A17" s="487" t="s">
        <v>433</v>
      </c>
      <c r="B17" s="488" t="s">
        <v>779</v>
      </c>
      <c r="C17" s="488" t="s">
        <v>780</v>
      </c>
      <c r="D17" s="488" t="s">
        <v>781</v>
      </c>
      <c r="E17" s="488" t="s">
        <v>773</v>
      </c>
    </row>
    <row r="18" spans="1:7" x14ac:dyDescent="0.3">
      <c r="A18" s="489" t="s">
        <v>12</v>
      </c>
      <c r="B18" s="490">
        <v>9</v>
      </c>
      <c r="C18" s="491" cm="1">
        <f t="array" ref="C18">INDEX('03_KPIs'!$B$5:$AK$5,$B18)</f>
        <v>1420591.1179366733</v>
      </c>
      <c r="D18" s="491" cm="1">
        <f t="array" ref="D18">INDEX('12_Balance Sheet'!$B$4:$AK$4,$B18)-INDEX('45_Funding_Interest_Equity'!$B$7:$AK$7,$B18)</f>
        <v>7646976.6038842723</v>
      </c>
      <c r="E18" s="491">
        <f>C18*'38_Inputs_Valuation'!$B$4+D18</f>
        <v>28955843.372934371</v>
      </c>
    </row>
    <row r="19" spans="1:7" x14ac:dyDescent="0.3">
      <c r="A19" s="489" t="s">
        <v>15</v>
      </c>
      <c r="B19" s="490">
        <v>12</v>
      </c>
      <c r="C19" s="491" cm="1">
        <f t="array" ref="C19">INDEX('03_KPIs'!$B$5:$AK$5,$B19)</f>
        <v>1965872.4563499847</v>
      </c>
      <c r="D19" s="491" cm="1">
        <f t="array" ref="D19">INDEX('12_Balance Sheet'!$B$4:$AK$4,$B19)-INDEX('45_Funding_Interest_Equity'!$B$7:$AK$7,$B19)</f>
        <v>2874133.9305651728</v>
      </c>
      <c r="E19" s="491">
        <f>C19*'38_Inputs_Valuation'!$B$4+D19</f>
        <v>32362220.775814943</v>
      </c>
    </row>
    <row r="20" spans="1:7" x14ac:dyDescent="0.3">
      <c r="A20" s="489" t="s">
        <v>18</v>
      </c>
      <c r="B20" s="490">
        <v>15</v>
      </c>
      <c r="C20" s="491" cm="1">
        <f t="array" ref="C20">INDEX('03_KPIs'!$B$5:$AK$5,$B20)</f>
        <v>3956421.7899321327</v>
      </c>
      <c r="D20" s="491" cm="1">
        <f t="array" ref="D20">INDEX('12_Balance Sheet'!$B$4:$AK$4,$B20)-INDEX('45_Funding_Interest_Equity'!$B$7:$AK$7,$B20)</f>
        <v>7178264.7888214635</v>
      </c>
      <c r="E20" s="491">
        <f>C20*'38_Inputs_Valuation'!$B$4+D20</f>
        <v>66524591.637803458</v>
      </c>
    </row>
    <row r="21" spans="1:7" x14ac:dyDescent="0.3">
      <c r="A21" s="489" t="s">
        <v>21</v>
      </c>
      <c r="B21" s="490">
        <v>18</v>
      </c>
      <c r="C21" s="491" cm="1">
        <f t="array" ref="C21">INDEX('03_KPIs'!$B$5:$AK$5,$B21)</f>
        <v>5972332.6870059902</v>
      </c>
      <c r="D21" s="491" cm="1">
        <f t="array" ref="D21">INDEX('12_Balance Sheet'!$B$4:$AK$4,$B21)-INDEX('45_Funding_Interest_Equity'!$B$7:$AK$7,$B21)</f>
        <v>1493716.7909960379</v>
      </c>
      <c r="E21" s="491">
        <f>C21*'38_Inputs_Valuation'!$B$4+D21</f>
        <v>91078707.096085891</v>
      </c>
    </row>
    <row r="24" spans="1:7" ht="15.6" x14ac:dyDescent="0.3">
      <c r="A24" s="492" t="s">
        <v>782</v>
      </c>
    </row>
    <row r="25" spans="1:7" x14ac:dyDescent="0.3">
      <c r="A25" s="493" t="s">
        <v>783</v>
      </c>
    </row>
    <row r="26" spans="1:7" ht="46.8" customHeight="1" x14ac:dyDescent="0.3">
      <c r="A26" s="488" t="s">
        <v>784</v>
      </c>
      <c r="B26" s="494" t="s">
        <v>508</v>
      </c>
      <c r="C26" s="495">
        <v>5000000</v>
      </c>
      <c r="D26" s="495">
        <v>8000000</v>
      </c>
      <c r="E26" s="495">
        <v>10000000</v>
      </c>
      <c r="F26" s="495">
        <v>12000000</v>
      </c>
      <c r="G26" s="495">
        <v>15000000</v>
      </c>
    </row>
    <row r="27" spans="1:7" x14ac:dyDescent="0.3">
      <c r="A27" s="496" t="str">
        <f>$A$18</f>
        <v>M9</v>
      </c>
      <c r="B27" s="497">
        <f>E18</f>
        <v>28955843.372934371</v>
      </c>
      <c r="C27" s="382">
        <f>C$26/($B27+C$26)</f>
        <v>0.14725006076525302</v>
      </c>
      <c r="D27" s="382">
        <f t="shared" ref="D27:G30" si="0">D$26/($B27+D$26)</f>
        <v>0.21647456179714789</v>
      </c>
      <c r="E27" s="382">
        <f t="shared" si="0"/>
        <v>0.25670089861147177</v>
      </c>
      <c r="F27" s="382">
        <f t="shared" si="0"/>
        <v>0.29299848353092856</v>
      </c>
      <c r="G27" s="382">
        <f t="shared" si="0"/>
        <v>0.34125155722154082</v>
      </c>
    </row>
    <row r="28" spans="1:7" x14ac:dyDescent="0.3">
      <c r="A28" s="496" t="str">
        <f>$A$19</f>
        <v>M12</v>
      </c>
      <c r="B28" s="497">
        <f>E19</f>
        <v>32362220.775814943</v>
      </c>
      <c r="C28" s="382">
        <f t="shared" ref="C28:C30" si="1">C$26/($B28+C$26)</f>
        <v>0.13382502153717174</v>
      </c>
      <c r="D28" s="382">
        <f t="shared" si="0"/>
        <v>0.19820514942511794</v>
      </c>
      <c r="E28" s="382">
        <f t="shared" si="0"/>
        <v>0.23605939010896024</v>
      </c>
      <c r="F28" s="382">
        <f t="shared" si="0"/>
        <v>0.27050043460723383</v>
      </c>
      <c r="G28" s="382">
        <f t="shared" si="0"/>
        <v>0.31670812209168209</v>
      </c>
    </row>
    <row r="29" spans="1:7" x14ac:dyDescent="0.3">
      <c r="A29" s="496" t="str">
        <f>$A$20</f>
        <v>M15</v>
      </c>
      <c r="B29" s="497">
        <f>E20</f>
        <v>66524591.637803458</v>
      </c>
      <c r="C29" s="382">
        <f t="shared" si="1"/>
        <v>6.9906026521895023E-2</v>
      </c>
      <c r="D29" s="382">
        <f t="shared" si="0"/>
        <v>0.10734711622280003</v>
      </c>
      <c r="E29" s="382">
        <f t="shared" si="0"/>
        <v>0.13067694692616902</v>
      </c>
      <c r="F29" s="382">
        <f t="shared" si="0"/>
        <v>0.15281836873918789</v>
      </c>
      <c r="G29" s="382">
        <f t="shared" si="0"/>
        <v>0.1839935619259748</v>
      </c>
    </row>
    <row r="30" spans="1:7" x14ac:dyDescent="0.3">
      <c r="A30" s="496" t="str">
        <f>$A$21</f>
        <v>M18</v>
      </c>
      <c r="B30" s="497">
        <f>E21</f>
        <v>91078707.096085891</v>
      </c>
      <c r="C30" s="382">
        <f t="shared" si="1"/>
        <v>5.2040666981494933E-2</v>
      </c>
      <c r="D30" s="382">
        <f t="shared" si="0"/>
        <v>8.0743887707796308E-2</v>
      </c>
      <c r="E30" s="382">
        <f t="shared" si="0"/>
        <v>9.8932804814113359E-2</v>
      </c>
      <c r="F30" s="382">
        <f t="shared" si="0"/>
        <v>0.11641589556234999</v>
      </c>
      <c r="G30" s="382">
        <f t="shared" si="0"/>
        <v>0.14140443837058675</v>
      </c>
    </row>
    <row r="31" spans="1:7" x14ac:dyDescent="0.3">
      <c r="A31" s="373" t="s">
        <v>789</v>
      </c>
    </row>
    <row r="33" spans="1:7" ht="15.6" x14ac:dyDescent="0.3">
      <c r="A33" s="492" t="s">
        <v>785</v>
      </c>
    </row>
    <row r="34" spans="1:7" x14ac:dyDescent="0.3">
      <c r="A34" s="493" t="s">
        <v>786</v>
      </c>
    </row>
    <row r="35" spans="1:7" x14ac:dyDescent="0.3">
      <c r="A35" s="488" t="s">
        <v>784</v>
      </c>
      <c r="B35" s="498"/>
      <c r="C35" s="495">
        <f>C$26</f>
        <v>5000000</v>
      </c>
      <c r="D35" s="495">
        <f>D$26</f>
        <v>8000000</v>
      </c>
      <c r="E35" s="495">
        <f>E$26</f>
        <v>10000000</v>
      </c>
      <c r="F35" s="495">
        <f>F$26</f>
        <v>12000000</v>
      </c>
      <c r="G35" s="495">
        <f>G$26</f>
        <v>15000000</v>
      </c>
    </row>
    <row r="36" spans="1:7" x14ac:dyDescent="0.3">
      <c r="A36" s="496" t="str">
        <f>$A$18</f>
        <v>M9</v>
      </c>
      <c r="B36" s="498"/>
      <c r="C36" s="382">
        <f>1-C27</f>
        <v>0.85274993923474696</v>
      </c>
      <c r="D36" s="382">
        <f t="shared" ref="D36:G36" si="2">1-D27</f>
        <v>0.78352543820285214</v>
      </c>
      <c r="E36" s="382">
        <f t="shared" si="2"/>
        <v>0.74329910138852817</v>
      </c>
      <c r="F36" s="382">
        <f t="shared" si="2"/>
        <v>0.7070015164690715</v>
      </c>
      <c r="G36" s="382">
        <f t="shared" si="2"/>
        <v>0.65874844277845912</v>
      </c>
    </row>
    <row r="37" spans="1:7" x14ac:dyDescent="0.3">
      <c r="A37" s="496" t="str">
        <f>$A$19</f>
        <v>M12</v>
      </c>
      <c r="B37" s="498"/>
      <c r="C37" s="382">
        <f t="shared" ref="C37:G37" si="3">1-C28</f>
        <v>0.86617497846282832</v>
      </c>
      <c r="D37" s="382">
        <f t="shared" si="3"/>
        <v>0.80179485057488209</v>
      </c>
      <c r="E37" s="382">
        <f t="shared" si="3"/>
        <v>0.76394060989103973</v>
      </c>
      <c r="F37" s="382">
        <f t="shared" si="3"/>
        <v>0.72949956539276617</v>
      </c>
      <c r="G37" s="382">
        <f t="shared" si="3"/>
        <v>0.68329187790831791</v>
      </c>
    </row>
    <row r="38" spans="1:7" x14ac:dyDescent="0.3">
      <c r="A38" s="496" t="str">
        <f>$A$20</f>
        <v>M15</v>
      </c>
      <c r="B38" s="498"/>
      <c r="C38" s="382">
        <f t="shared" ref="C38:G38" si="4">1-C29</f>
        <v>0.93009397347810496</v>
      </c>
      <c r="D38" s="382">
        <f t="shared" si="4"/>
        <v>0.89265288377719998</v>
      </c>
      <c r="E38" s="382">
        <f t="shared" si="4"/>
        <v>0.86932305307383095</v>
      </c>
      <c r="F38" s="382">
        <f t="shared" si="4"/>
        <v>0.84718163126081214</v>
      </c>
      <c r="G38" s="382">
        <f t="shared" si="4"/>
        <v>0.81600643807402518</v>
      </c>
    </row>
    <row r="39" spans="1:7" x14ac:dyDescent="0.3">
      <c r="A39" s="496" t="str">
        <f>$A$21</f>
        <v>M18</v>
      </c>
      <c r="B39" s="498"/>
      <c r="C39" s="382">
        <f t="shared" ref="C39:G39" si="5">1-C30</f>
        <v>0.9479593330185051</v>
      </c>
      <c r="D39" s="382">
        <f t="shared" si="5"/>
        <v>0.91925611229220372</v>
      </c>
      <c r="E39" s="382">
        <f t="shared" si="5"/>
        <v>0.90106719518588663</v>
      </c>
      <c r="F39" s="382">
        <f t="shared" si="5"/>
        <v>0.88358410443765001</v>
      </c>
      <c r="G39" s="382">
        <f t="shared" si="5"/>
        <v>0.8585955616294132</v>
      </c>
    </row>
    <row r="41" spans="1:7" x14ac:dyDescent="0.3">
      <c r="A41" s="373" t="s">
        <v>787</v>
      </c>
    </row>
    <row r="44" spans="1:7" ht="15.6" x14ac:dyDescent="0.3">
      <c r="A44" s="492" t="s">
        <v>791</v>
      </c>
    </row>
    <row r="45" spans="1:7" x14ac:dyDescent="0.3">
      <c r="A45" s="493" t="s">
        <v>792</v>
      </c>
    </row>
    <row r="46" spans="1:7" x14ac:dyDescent="0.3">
      <c r="A46" s="488" t="s">
        <v>784</v>
      </c>
      <c r="B46" s="498"/>
      <c r="C46" s="495">
        <f>C$26</f>
        <v>5000000</v>
      </c>
      <c r="D46" s="495">
        <f>D$26</f>
        <v>8000000</v>
      </c>
      <c r="E46" s="495">
        <f>E$26</f>
        <v>10000000</v>
      </c>
      <c r="F46" s="495">
        <f>F$26</f>
        <v>12000000</v>
      </c>
      <c r="G46" s="495">
        <f>G$26</f>
        <v>15000000</v>
      </c>
    </row>
    <row r="47" spans="1:7" x14ac:dyDescent="0.3">
      <c r="A47" s="496" t="str">
        <f>$A$18</f>
        <v>M9</v>
      </c>
      <c r="B47" s="498"/>
      <c r="C47" s="499">
        <f t="shared" ref="C47:G50" ca="1" si="6">MIN(OFFSET($B$57,0,$B18-1,1,18-$B18+1))+C$46</f>
        <v>-3506283.2090039626</v>
      </c>
      <c r="D47" s="499">
        <f t="shared" ca="1" si="6"/>
        <v>-506283.20900396258</v>
      </c>
      <c r="E47" s="499">
        <f t="shared" ca="1" si="6"/>
        <v>1493716.7909960374</v>
      </c>
      <c r="F47" s="499">
        <f t="shared" ca="1" si="6"/>
        <v>3493716.7909960374</v>
      </c>
      <c r="G47" s="499">
        <f t="shared" ca="1" si="6"/>
        <v>6493716.7909960374</v>
      </c>
    </row>
    <row r="48" spans="1:7" x14ac:dyDescent="0.3">
      <c r="A48" s="496" t="str">
        <f>$A$19</f>
        <v>M12</v>
      </c>
      <c r="B48" s="498"/>
      <c r="C48" s="499">
        <f t="shared" ca="1" si="6"/>
        <v>-3506283.2090039626</v>
      </c>
      <c r="D48" s="499">
        <f t="shared" ca="1" si="6"/>
        <v>-506283.20900396258</v>
      </c>
      <c r="E48" s="499">
        <f t="shared" ca="1" si="6"/>
        <v>1493716.7909960374</v>
      </c>
      <c r="F48" s="499">
        <f t="shared" ca="1" si="6"/>
        <v>3493716.7909960374</v>
      </c>
      <c r="G48" s="499">
        <f t="shared" ca="1" si="6"/>
        <v>6493716.7909960374</v>
      </c>
    </row>
    <row r="49" spans="1:20" x14ac:dyDescent="0.3">
      <c r="A49" s="496" t="str">
        <f>$A$20</f>
        <v>M15</v>
      </c>
      <c r="B49" s="498"/>
      <c r="C49" s="499">
        <f t="shared" ca="1" si="6"/>
        <v>-3506283.2090039626</v>
      </c>
      <c r="D49" s="499">
        <f t="shared" ca="1" si="6"/>
        <v>-506283.20900396258</v>
      </c>
      <c r="E49" s="499">
        <f t="shared" ca="1" si="6"/>
        <v>1493716.7909960374</v>
      </c>
      <c r="F49" s="499">
        <f t="shared" ca="1" si="6"/>
        <v>3493716.7909960374</v>
      </c>
      <c r="G49" s="499">
        <f t="shared" ca="1" si="6"/>
        <v>6493716.7909960374</v>
      </c>
    </row>
    <row r="50" spans="1:20" x14ac:dyDescent="0.3">
      <c r="A50" s="496" t="str">
        <f>$A$21</f>
        <v>M18</v>
      </c>
      <c r="B50" s="498"/>
      <c r="C50" s="499">
        <f t="shared" ca="1" si="6"/>
        <v>-3506283.2090039626</v>
      </c>
      <c r="D50" s="499">
        <f t="shared" ca="1" si="6"/>
        <v>-506283.20900396258</v>
      </c>
      <c r="E50" s="499">
        <f t="shared" ca="1" si="6"/>
        <v>1493716.7909960374</v>
      </c>
      <c r="F50" s="499">
        <f t="shared" ca="1" si="6"/>
        <v>3493716.7909960374</v>
      </c>
      <c r="G50" s="499">
        <f t="shared" ca="1" si="6"/>
        <v>6493716.7909960374</v>
      </c>
    </row>
    <row r="52" spans="1:20" ht="27.6" customHeight="1" x14ac:dyDescent="0.3">
      <c r="A52" s="733" t="s">
        <v>793</v>
      </c>
      <c r="B52" s="733"/>
      <c r="C52" s="733"/>
      <c r="D52" s="733"/>
      <c r="E52" s="733"/>
      <c r="F52" s="733"/>
      <c r="G52" s="733"/>
    </row>
    <row r="55" spans="1:20" x14ac:dyDescent="0.3">
      <c r="A55" s="500" t="s">
        <v>790</v>
      </c>
    </row>
    <row r="56" spans="1:20" x14ac:dyDescent="0.3">
      <c r="A56" s="501" t="s">
        <v>779</v>
      </c>
      <c r="B56" s="502">
        <f>COLUMN()-1</f>
        <v>1</v>
      </c>
      <c r="C56" s="502">
        <f t="shared" ref="C56:T56" si="7">COLUMN()-1</f>
        <v>2</v>
      </c>
      <c r="D56" s="502">
        <f t="shared" si="7"/>
        <v>3</v>
      </c>
      <c r="E56" s="502">
        <f t="shared" si="7"/>
        <v>4</v>
      </c>
      <c r="F56" s="502">
        <f t="shared" si="7"/>
        <v>5</v>
      </c>
      <c r="G56" s="502">
        <f t="shared" si="7"/>
        <v>6</v>
      </c>
      <c r="H56" s="502">
        <f t="shared" si="7"/>
        <v>7</v>
      </c>
      <c r="I56" s="502">
        <f t="shared" si="7"/>
        <v>8</v>
      </c>
      <c r="J56" s="502">
        <f t="shared" si="7"/>
        <v>9</v>
      </c>
      <c r="K56" s="502">
        <f t="shared" si="7"/>
        <v>10</v>
      </c>
      <c r="L56" s="502">
        <f t="shared" si="7"/>
        <v>11</v>
      </c>
      <c r="M56" s="502">
        <f t="shared" si="7"/>
        <v>12</v>
      </c>
      <c r="N56" s="502">
        <f t="shared" si="7"/>
        <v>13</v>
      </c>
      <c r="O56" s="502">
        <f t="shared" si="7"/>
        <v>14</v>
      </c>
      <c r="P56" s="502">
        <f t="shared" si="7"/>
        <v>15</v>
      </c>
      <c r="Q56" s="502">
        <f t="shared" si="7"/>
        <v>16</v>
      </c>
      <c r="R56" s="502">
        <f t="shared" si="7"/>
        <v>17</v>
      </c>
      <c r="S56" s="502">
        <f t="shared" si="7"/>
        <v>18</v>
      </c>
      <c r="T56" s="502">
        <f t="shared" si="7"/>
        <v>19</v>
      </c>
    </row>
    <row r="57" spans="1:20" x14ac:dyDescent="0.3">
      <c r="A57" s="501" t="s">
        <v>781</v>
      </c>
      <c r="B57" s="503">
        <f>'12_Balance Sheet'!B4-SUM('45_Funding_Interest_Equity'!$B$7:B7)</f>
        <v>6017852.4848484844</v>
      </c>
      <c r="C57" s="503">
        <f>'12_Balance Sheet'!C4-SUM('45_Funding_Interest_Equity'!$B$7:C7)</f>
        <v>4743304.9879247444</v>
      </c>
      <c r="D57" s="503">
        <f>'12_Balance Sheet'!D4-SUM('45_Funding_Interest_Equity'!$B$7:D7)</f>
        <v>3481708.2396822153</v>
      </c>
      <c r="E57" s="503">
        <f>'12_Balance Sheet'!E4-SUM('45_Funding_Interest_Equity'!$B$7:E7)</f>
        <v>3228978.2630430111</v>
      </c>
      <c r="F57" s="503">
        <f>'12_Balance Sheet'!F4-SUM('45_Funding_Interest_Equity'!$B$7:F7)</f>
        <v>3976878.0358263496</v>
      </c>
      <c r="G57" s="503">
        <f>'12_Balance Sheet'!G4-SUM('45_Funding_Interest_Equity'!$B$7:G7)</f>
        <v>2729684.1334284358</v>
      </c>
      <c r="H57" s="503">
        <f>'12_Balance Sheet'!H4-SUM('45_Funding_Interest_Equity'!$B$7:H7)</f>
        <v>10459670.717619456</v>
      </c>
      <c r="I57" s="503">
        <f>'12_Balance Sheet'!I4-SUM('45_Funding_Interest_Equity'!$B$7:I7)</f>
        <v>9125298.8713232689</v>
      </c>
      <c r="J57" s="503">
        <f>'12_Balance Sheet'!J4-SUM('45_Funding_Interest_Equity'!$B$7:J7)</f>
        <v>7646976.6038842723</v>
      </c>
      <c r="K57" s="503">
        <f>'12_Balance Sheet'!K4-SUM('45_Funding_Interest_Equity'!$B$7:K7)</f>
        <v>6118560.0262367139</v>
      </c>
      <c r="L57" s="503">
        <f>'12_Balance Sheet'!L4-SUM('45_Funding_Interest_Equity'!$B$7:L7)</f>
        <v>4526835.4290680364</v>
      </c>
      <c r="M57" s="503">
        <f>'12_Balance Sheet'!M4-SUM('45_Funding_Interest_Equity'!$B$7:M7)</f>
        <v>2874133.9305651728</v>
      </c>
      <c r="N57" s="503">
        <f>'12_Balance Sheet'!N4-SUM('45_Funding_Interest_Equity'!$B$7:N7)</f>
        <v>1153889.422529377</v>
      </c>
      <c r="O57" s="503">
        <f>'12_Balance Sheet'!O4-SUM('45_Funding_Interest_Equity'!$B$7:O7)</f>
        <v>-849788.22256468982</v>
      </c>
      <c r="P57" s="503">
        <f>'12_Balance Sheet'!P4-SUM('45_Funding_Interest_Equity'!$B$7:P7)</f>
        <v>-2821735.2111785365</v>
      </c>
      <c r="Q57" s="503">
        <f>'12_Balance Sheet'!Q4-SUM('45_Funding_Interest_Equity'!$B$7:Q7)</f>
        <v>-4752944.6329261586</v>
      </c>
      <c r="R57" s="503">
        <f>'12_Balance Sheet'!R4-SUM('45_Funding_Interest_Equity'!$B$7:R7)</f>
        <v>-6648385.5748873958</v>
      </c>
      <c r="S57" s="503">
        <f>'12_Balance Sheet'!S4-SUM('45_Funding_Interest_Equity'!$B$7:S7)</f>
        <v>-8506283.2090039626</v>
      </c>
      <c r="T57" s="503">
        <f>'12_Balance Sheet'!T4-SUM('45_Funding_Interest_Equity'!$B$7:T7)</f>
        <v>-10318100.581488639</v>
      </c>
    </row>
  </sheetData>
  <mergeCells count="1">
    <mergeCell ref="A52:G52"/>
  </mergeCells>
  <conditionalFormatting sqref="C27:G30">
    <cfRule type="colorScale" priority="1">
      <colorScale>
        <cfvo type="num" val="0.1"/>
        <cfvo type="num" val="0.25"/>
        <cfvo type="num" val="0.4"/>
        <color rgb="FF63BE7B"/>
        <color rgb="FFFFEB84"/>
        <color rgb="FFF8696B"/>
      </colorScale>
    </cfRule>
  </conditionalFormatting>
  <conditionalFormatting sqref="C36:G39">
    <cfRule type="colorScale" priority="2">
      <colorScale>
        <cfvo type="num" val="0.6"/>
        <cfvo type="num" val="0.7"/>
        <cfvo type="num" val="0.85"/>
        <color rgb="FFF8696B"/>
        <color rgb="FFFFEB84"/>
        <color rgb="FF63BE7B"/>
      </colorScale>
    </cfRule>
  </conditionalFormatting>
  <conditionalFormatting sqref="C47:G50">
    <cfRule type="cellIs" dxfId="1" priority="3" operator="lessThanOrEqual">
      <formula>0</formula>
    </cfRule>
    <cfRule type="cellIs" dxfId="0" priority="4" operator="greaterThan">
      <formula>0</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85455F-8A3A-456F-BB13-B07A8254129A}">
  <sheetPr>
    <tabColor rgb="FF2E8B8B"/>
  </sheetPr>
  <dimension ref="A1:AK94"/>
  <sheetViews>
    <sheetView workbookViewId="0">
      <selection activeCell="G7" sqref="G7"/>
    </sheetView>
  </sheetViews>
  <sheetFormatPr defaultRowHeight="14.4" x14ac:dyDescent="0.3"/>
  <cols>
    <col min="1" max="1" width="44.21875" customWidth="1"/>
    <col min="2" max="2" width="14.33203125" bestFit="1" customWidth="1"/>
    <col min="3" max="3" width="9.21875" bestFit="1" customWidth="1"/>
    <col min="4" max="9" width="7.5546875" bestFit="1" customWidth="1"/>
    <col min="10" max="12" width="8.5546875" bestFit="1" customWidth="1"/>
    <col min="13" max="13" width="10.5546875" customWidth="1"/>
    <col min="14" max="21" width="8.5546875" bestFit="1" customWidth="1"/>
    <col min="22" max="24" width="8.6640625" bestFit="1" customWidth="1"/>
    <col min="25" max="37" width="10" bestFit="1" customWidth="1"/>
  </cols>
  <sheetData>
    <row r="1" spans="1:13" ht="24" customHeight="1" thickBot="1" x14ac:dyDescent="0.35">
      <c r="A1" s="504" t="s">
        <v>52</v>
      </c>
      <c r="B1" s="504" t="s">
        <v>53</v>
      </c>
      <c r="C1" s="504" t="s">
        <v>54</v>
      </c>
      <c r="D1" s="504" t="s">
        <v>55</v>
      </c>
    </row>
    <row r="2" spans="1:13" x14ac:dyDescent="0.3">
      <c r="A2" s="505" t="s">
        <v>276</v>
      </c>
      <c r="B2" s="305">
        <v>1</v>
      </c>
      <c r="C2" s="305">
        <v>0.6</v>
      </c>
      <c r="D2" s="305">
        <v>1.25</v>
      </c>
    </row>
    <row r="3" spans="1:13" x14ac:dyDescent="0.3">
      <c r="A3" s="506" t="s">
        <v>128</v>
      </c>
      <c r="B3" s="306">
        <v>1</v>
      </c>
      <c r="C3" s="306">
        <v>1.35</v>
      </c>
      <c r="D3" s="306">
        <v>0.8</v>
      </c>
    </row>
    <row r="4" spans="1:13" x14ac:dyDescent="0.3">
      <c r="A4" s="506" t="s">
        <v>129</v>
      </c>
      <c r="B4" s="306">
        <v>1</v>
      </c>
      <c r="C4" s="306">
        <v>1.2</v>
      </c>
      <c r="D4" s="306">
        <v>0.9</v>
      </c>
    </row>
    <row r="5" spans="1:13" x14ac:dyDescent="0.3">
      <c r="A5" s="506" t="s">
        <v>130</v>
      </c>
      <c r="B5" s="306">
        <v>1</v>
      </c>
      <c r="C5" s="306">
        <v>0.9</v>
      </c>
      <c r="D5" s="306">
        <v>1.05</v>
      </c>
    </row>
    <row r="6" spans="1:13" x14ac:dyDescent="0.3">
      <c r="A6" s="506" t="s">
        <v>286</v>
      </c>
      <c r="B6" s="306">
        <v>1</v>
      </c>
      <c r="C6" s="306">
        <v>1.5</v>
      </c>
      <c r="D6" s="306">
        <v>0.8</v>
      </c>
    </row>
    <row r="7" spans="1:13" ht="15" thickBot="1" x14ac:dyDescent="0.35">
      <c r="A7" s="506" t="s">
        <v>287</v>
      </c>
      <c r="B7" s="306">
        <v>1</v>
      </c>
      <c r="C7" s="306">
        <v>0.7</v>
      </c>
      <c r="D7" s="306">
        <v>1.2</v>
      </c>
    </row>
    <row r="8" spans="1:13" ht="15" thickBot="1" x14ac:dyDescent="0.35">
      <c r="A8" s="507"/>
      <c r="B8" s="307"/>
      <c r="C8" s="307"/>
      <c r="D8" s="308"/>
    </row>
    <row r="9" spans="1:13" x14ac:dyDescent="0.3">
      <c r="A9" s="508" t="s">
        <v>290</v>
      </c>
      <c r="B9" s="309">
        <v>1</v>
      </c>
      <c r="C9" s="309">
        <v>0.85</v>
      </c>
      <c r="D9" s="309">
        <v>1.1000000000000001</v>
      </c>
    </row>
    <row r="10" spans="1:13" x14ac:dyDescent="0.3">
      <c r="A10" s="509" t="s">
        <v>291</v>
      </c>
      <c r="B10" s="310">
        <v>1</v>
      </c>
      <c r="C10" s="310">
        <v>1.4</v>
      </c>
      <c r="D10" s="310">
        <v>0.9</v>
      </c>
    </row>
    <row r="11" spans="1:13" x14ac:dyDescent="0.3">
      <c r="A11" s="510" t="s">
        <v>292</v>
      </c>
      <c r="B11" s="310">
        <v>1</v>
      </c>
      <c r="C11" s="310">
        <v>0.7</v>
      </c>
      <c r="D11" s="310">
        <v>1.2</v>
      </c>
    </row>
    <row r="12" spans="1:13" ht="15" thickBot="1" x14ac:dyDescent="0.35">
      <c r="A12" s="511" t="s">
        <v>293</v>
      </c>
      <c r="B12" s="311">
        <v>1</v>
      </c>
      <c r="C12" s="311">
        <v>0.9</v>
      </c>
      <c r="D12" s="311">
        <v>1.1000000000000001</v>
      </c>
    </row>
    <row r="13" spans="1:13" x14ac:dyDescent="0.3">
      <c r="A13" s="735" t="s">
        <v>267</v>
      </c>
      <c r="B13" s="735"/>
      <c r="C13" s="735"/>
      <c r="D13" s="735"/>
      <c r="E13" s="735"/>
      <c r="F13" s="735"/>
      <c r="G13" s="735"/>
      <c r="H13" s="735"/>
      <c r="I13" s="735"/>
      <c r="J13" s="735"/>
      <c r="K13" s="735"/>
      <c r="L13" s="735"/>
      <c r="M13" s="735"/>
    </row>
    <row r="16" spans="1:13" x14ac:dyDescent="0.3">
      <c r="A16" s="512" t="s">
        <v>665</v>
      </c>
    </row>
    <row r="17" spans="1:37" ht="27" customHeight="1" x14ac:dyDescent="0.3">
      <c r="A17" s="734" t="s">
        <v>666</v>
      </c>
      <c r="B17" s="734"/>
      <c r="C17" s="734"/>
      <c r="D17" s="734"/>
      <c r="E17" s="734"/>
      <c r="F17" s="734"/>
      <c r="G17" s="734"/>
      <c r="H17" s="734"/>
      <c r="I17" s="734"/>
      <c r="J17" s="734"/>
      <c r="K17" s="734"/>
      <c r="L17" s="734"/>
      <c r="M17" s="734"/>
    </row>
    <row r="19" spans="1:37" x14ac:dyDescent="0.3">
      <c r="A19" s="513" t="s">
        <v>647</v>
      </c>
      <c r="B19" s="514" t="s">
        <v>606</v>
      </c>
    </row>
    <row r="20" spans="1:37" x14ac:dyDescent="0.3">
      <c r="A20" s="515" t="s">
        <v>667</v>
      </c>
      <c r="B20" s="383">
        <v>1.2E-2</v>
      </c>
    </row>
    <row r="21" spans="1:37" x14ac:dyDescent="0.3">
      <c r="A21" s="515" t="s">
        <v>668</v>
      </c>
      <c r="B21" s="383">
        <v>0.01</v>
      </c>
    </row>
    <row r="22" spans="1:37" x14ac:dyDescent="0.3">
      <c r="A22" s="516" t="s">
        <v>648</v>
      </c>
      <c r="B22" s="384">
        <v>18</v>
      </c>
    </row>
    <row r="24" spans="1:37" x14ac:dyDescent="0.3">
      <c r="A24" s="517" t="s">
        <v>649</v>
      </c>
    </row>
    <row r="25" spans="1:37" x14ac:dyDescent="0.3">
      <c r="A25" s="518" t="s">
        <v>650</v>
      </c>
      <c r="B25" s="519" t="str">
        <f>'41_Revenue_COGS'!B2</f>
        <v>M1</v>
      </c>
      <c r="C25" s="519" t="str">
        <f>'41_Revenue_COGS'!C2</f>
        <v>M2</v>
      </c>
      <c r="D25" s="519" t="str">
        <f>'41_Revenue_COGS'!D2</f>
        <v>M3</v>
      </c>
      <c r="E25" s="519" t="str">
        <f>'41_Revenue_COGS'!E2</f>
        <v>M4</v>
      </c>
      <c r="F25" s="519" t="str">
        <f>'41_Revenue_COGS'!F2</f>
        <v>M5</v>
      </c>
      <c r="G25" s="519" t="str">
        <f>'41_Revenue_COGS'!G2</f>
        <v>M6</v>
      </c>
      <c r="H25" s="519" t="str">
        <f>'41_Revenue_COGS'!H2</f>
        <v>M7</v>
      </c>
      <c r="I25" s="519" t="str">
        <f>'41_Revenue_COGS'!I2</f>
        <v>M8</v>
      </c>
      <c r="J25" s="519" t="str">
        <f>'41_Revenue_COGS'!J2</f>
        <v>M9</v>
      </c>
      <c r="K25" s="519" t="str">
        <f>'41_Revenue_COGS'!K2</f>
        <v>M10</v>
      </c>
      <c r="L25" s="519" t="str">
        <f>'41_Revenue_COGS'!L2</f>
        <v>M11</v>
      </c>
      <c r="M25" s="519" t="str">
        <f>'41_Revenue_COGS'!M2</f>
        <v>M12</v>
      </c>
      <c r="N25" s="519" t="str">
        <f>'41_Revenue_COGS'!N2</f>
        <v>M13</v>
      </c>
      <c r="O25" s="519" t="str">
        <f>'41_Revenue_COGS'!O2</f>
        <v>M14</v>
      </c>
      <c r="P25" s="519" t="str">
        <f>'41_Revenue_COGS'!P2</f>
        <v>M15</v>
      </c>
      <c r="Q25" s="519" t="str">
        <f>'41_Revenue_COGS'!Q2</f>
        <v>M16</v>
      </c>
      <c r="R25" s="519" t="str">
        <f>'41_Revenue_COGS'!R2</f>
        <v>M17</v>
      </c>
      <c r="S25" s="519" t="str">
        <f>'41_Revenue_COGS'!S2</f>
        <v>M18</v>
      </c>
      <c r="T25" s="519" t="str">
        <f>'41_Revenue_COGS'!T2</f>
        <v>M19</v>
      </c>
      <c r="U25" s="519" t="str">
        <f>'41_Revenue_COGS'!U2</f>
        <v>M20</v>
      </c>
      <c r="V25" s="519" t="str">
        <f>'41_Revenue_COGS'!V2</f>
        <v>M21</v>
      </c>
      <c r="W25" s="519" t="str">
        <f>'41_Revenue_COGS'!W2</f>
        <v>M22</v>
      </c>
      <c r="X25" s="519" t="str">
        <f>'41_Revenue_COGS'!X2</f>
        <v>M23</v>
      </c>
      <c r="Y25" s="519" t="str">
        <f>'41_Revenue_COGS'!Y2</f>
        <v>M24</v>
      </c>
      <c r="Z25" s="519" t="str">
        <f>'41_Revenue_COGS'!Z2</f>
        <v>M25</v>
      </c>
      <c r="AA25" s="519" t="str">
        <f>'41_Revenue_COGS'!AA2</f>
        <v>M26</v>
      </c>
      <c r="AB25" s="519" t="str">
        <f>'41_Revenue_COGS'!AB2</f>
        <v>M27</v>
      </c>
      <c r="AC25" s="519" t="str">
        <f>'41_Revenue_COGS'!AC2</f>
        <v>M28</v>
      </c>
      <c r="AD25" s="519" t="str">
        <f>'41_Revenue_COGS'!AD2</f>
        <v>M29</v>
      </c>
      <c r="AE25" s="519" t="str">
        <f>'41_Revenue_COGS'!AE2</f>
        <v>M30</v>
      </c>
      <c r="AF25" s="519" t="str">
        <f>'41_Revenue_COGS'!AF2</f>
        <v>M31</v>
      </c>
      <c r="AG25" s="519" t="str">
        <f>'41_Revenue_COGS'!AG2</f>
        <v>M32</v>
      </c>
      <c r="AH25" s="519" t="str">
        <f>'41_Revenue_COGS'!AH2</f>
        <v>M33</v>
      </c>
      <c r="AI25" s="519" t="str">
        <f>'41_Revenue_COGS'!AI2</f>
        <v>M34</v>
      </c>
      <c r="AJ25" s="519" t="str">
        <f>'41_Revenue_COGS'!AJ2</f>
        <v>M35</v>
      </c>
      <c r="AK25" s="519" t="str">
        <f>'41_Revenue_COGS'!AK2</f>
        <v>M36</v>
      </c>
    </row>
    <row r="26" spans="1:37" x14ac:dyDescent="0.3">
      <c r="A26" s="518" t="s">
        <v>651</v>
      </c>
      <c r="B26" s="385">
        <f>IF('41_Revenue_COGS'!B1&lt;$B$22,$B$20,$B$21)</f>
        <v>1.2E-2</v>
      </c>
      <c r="C26" s="385">
        <f>IF('41_Revenue_COGS'!C1&lt;$B$22,$B$20,$B$21)</f>
        <v>1.2E-2</v>
      </c>
      <c r="D26" s="385">
        <f>IF('41_Revenue_COGS'!D1&lt;$B$22,$B$20,$B$21)</f>
        <v>1.2E-2</v>
      </c>
      <c r="E26" s="385">
        <f>IF('41_Revenue_COGS'!E1&lt;$B$22,$B$20,$B$21)</f>
        <v>1.2E-2</v>
      </c>
      <c r="F26" s="385">
        <f>IF('41_Revenue_COGS'!F1&lt;$B$22,$B$20,$B$21)</f>
        <v>1.2E-2</v>
      </c>
      <c r="G26" s="385">
        <f>IF('41_Revenue_COGS'!G1&lt;$B$22,$B$20,$B$21)</f>
        <v>1.2E-2</v>
      </c>
      <c r="H26" s="385">
        <f>IF('41_Revenue_COGS'!H1&lt;$B$22,$B$20,$B$21)</f>
        <v>1.2E-2</v>
      </c>
      <c r="I26" s="385">
        <f>IF('41_Revenue_COGS'!I1&lt;$B$22,$B$20,$B$21)</f>
        <v>1.2E-2</v>
      </c>
      <c r="J26" s="385">
        <f>IF('41_Revenue_COGS'!J1&lt;$B$22,$B$20,$B$21)</f>
        <v>1.2E-2</v>
      </c>
      <c r="K26" s="385">
        <f>IF('41_Revenue_COGS'!K1&lt;$B$22,$B$20,$B$21)</f>
        <v>1.2E-2</v>
      </c>
      <c r="L26" s="385">
        <f>IF('41_Revenue_COGS'!L1&lt;$B$22,$B$20,$B$21)</f>
        <v>1.2E-2</v>
      </c>
      <c r="M26" s="385">
        <f>IF('41_Revenue_COGS'!M1&lt;$B$22,$B$20,$B$21)</f>
        <v>1.2E-2</v>
      </c>
      <c r="N26" s="385">
        <f>IF('41_Revenue_COGS'!N1&lt;$B$22,$B$20,$B$21)</f>
        <v>1.2E-2</v>
      </c>
      <c r="O26" s="385">
        <f>IF('41_Revenue_COGS'!O1&lt;$B$22,$B$20,$B$21)</f>
        <v>1.2E-2</v>
      </c>
      <c r="P26" s="385">
        <f>IF('41_Revenue_COGS'!P1&lt;$B$22,$B$20,$B$21)</f>
        <v>1.2E-2</v>
      </c>
      <c r="Q26" s="385">
        <f>IF('41_Revenue_COGS'!Q1&lt;$B$22,$B$20,$B$21)</f>
        <v>1.2E-2</v>
      </c>
      <c r="R26" s="385">
        <f>IF('41_Revenue_COGS'!R1&lt;$B$22,$B$20,$B$21)</f>
        <v>1.2E-2</v>
      </c>
      <c r="S26" s="385">
        <f>IF('41_Revenue_COGS'!S1&lt;$B$22,$B$20,$B$21)</f>
        <v>0.01</v>
      </c>
      <c r="T26" s="385">
        <f>IF('41_Revenue_COGS'!T1&lt;$B$22,$B$20,$B$21)</f>
        <v>0.01</v>
      </c>
      <c r="U26" s="385">
        <f>IF('41_Revenue_COGS'!U1&lt;$B$22,$B$20,$B$21)</f>
        <v>0.01</v>
      </c>
      <c r="V26" s="385">
        <f>IF('41_Revenue_COGS'!V1&lt;$B$22,$B$20,$B$21)</f>
        <v>0.01</v>
      </c>
      <c r="W26" s="385">
        <f>IF('41_Revenue_COGS'!W1&lt;$B$22,$B$20,$B$21)</f>
        <v>0.01</v>
      </c>
      <c r="X26" s="385">
        <f>IF('41_Revenue_COGS'!X1&lt;$B$22,$B$20,$B$21)</f>
        <v>0.01</v>
      </c>
      <c r="Y26" s="385">
        <f>IF('41_Revenue_COGS'!Y1&lt;$B$22,$B$20,$B$21)</f>
        <v>0.01</v>
      </c>
      <c r="Z26" s="385">
        <f>IF('41_Revenue_COGS'!Z1&lt;$B$22,$B$20,$B$21)</f>
        <v>0.01</v>
      </c>
      <c r="AA26" s="385">
        <f>IF('41_Revenue_COGS'!AA1&lt;$B$22,$B$20,$B$21)</f>
        <v>0.01</v>
      </c>
      <c r="AB26" s="385">
        <f>IF('41_Revenue_COGS'!AB1&lt;$B$22,$B$20,$B$21)</f>
        <v>0.01</v>
      </c>
      <c r="AC26" s="385">
        <f>IF('41_Revenue_COGS'!AC1&lt;$B$22,$B$20,$B$21)</f>
        <v>0.01</v>
      </c>
      <c r="AD26" s="385">
        <f>IF('41_Revenue_COGS'!AD1&lt;$B$22,$B$20,$B$21)</f>
        <v>0.01</v>
      </c>
      <c r="AE26" s="385">
        <f>IF('41_Revenue_COGS'!AE1&lt;$B$22,$B$20,$B$21)</f>
        <v>0.01</v>
      </c>
      <c r="AF26" s="385">
        <f>IF('41_Revenue_COGS'!AF1&lt;$B$22,$B$20,$B$21)</f>
        <v>0.01</v>
      </c>
      <c r="AG26" s="385">
        <f>IF('41_Revenue_COGS'!AG1&lt;$B$22,$B$20,$B$21)</f>
        <v>0.01</v>
      </c>
      <c r="AH26" s="385">
        <f>IF('41_Revenue_COGS'!AH1&lt;$B$22,$B$20,$B$21)</f>
        <v>0.01</v>
      </c>
      <c r="AI26" s="385">
        <f>IF('41_Revenue_COGS'!AI1&lt;$B$22,$B$20,$B$21)</f>
        <v>0.01</v>
      </c>
      <c r="AJ26" s="385">
        <f>IF('41_Revenue_COGS'!AJ1&lt;$B$22,$B$20,$B$21)</f>
        <v>0.01</v>
      </c>
      <c r="AK26" s="385">
        <f>IF('41_Revenue_COGS'!AK1&lt;$B$22,$B$20,$B$21)</f>
        <v>0.01</v>
      </c>
    </row>
    <row r="27" spans="1:37" x14ac:dyDescent="0.3">
      <c r="A27" s="520" t="s">
        <v>652</v>
      </c>
      <c r="B27" s="386">
        <f>'41_Revenue_COGS'!B4</f>
        <v>10849.090909090908</v>
      </c>
      <c r="C27" s="386">
        <f>'41_Revenue_COGS'!C4</f>
        <v>21793.490410826857</v>
      </c>
      <c r="D27" s="386">
        <f>'41_Revenue_COGS'!D4</f>
        <v>32842.790980689919</v>
      </c>
      <c r="E27" s="386">
        <f>'41_Revenue_COGS'!E4</f>
        <v>44006.580027488075</v>
      </c>
      <c r="F27" s="386">
        <f>'41_Revenue_COGS'!F4</f>
        <v>55294.448378684094</v>
      </c>
      <c r="G27" s="386">
        <f>'41_Revenue_COGS'!G4</f>
        <v>66715.99867851421</v>
      </c>
      <c r="H27" s="386">
        <f>'41_Revenue_COGS'!H4</f>
        <v>78280.853707188726</v>
      </c>
      <c r="I27" s="386">
        <f>'41_Revenue_COGS'!I4</f>
        <v>89998.664629309395</v>
      </c>
      <c r="J27" s="386">
        <f>'41_Revenue_COGS'!J4</f>
        <v>101879.1191794897</v>
      </c>
      <c r="K27" s="386">
        <f>'41_Revenue_COGS'!K4</f>
        <v>113931.9497930239</v>
      </c>
      <c r="L27" s="386">
        <f>'41_Revenue_COGS'!L4</f>
        <v>126166.94168931922</v>
      </c>
      <c r="M27" s="386">
        <f>'41_Revenue_COGS'!M4</f>
        <v>138593.94091568221</v>
      </c>
      <c r="N27" s="386">
        <f>'41_Revenue_COGS'!N4</f>
        <v>185162.19131379147</v>
      </c>
      <c r="O27" s="386">
        <f>'41_Revenue_COGS'!O4</f>
        <v>231610.78971672183</v>
      </c>
      <c r="P27" s="386">
        <f>'41_Revenue_COGS'!P4</f>
        <v>277982.80842916487</v>
      </c>
      <c r="Q27" s="386">
        <f>'41_Revenue_COGS'!Q4</f>
        <v>324320.79945878714</v>
      </c>
      <c r="R27" s="386">
        <f>'41_Revenue_COGS'!R4</f>
        <v>370666.83739035414</v>
      </c>
      <c r="S27" s="386">
        <f>'41_Revenue_COGS'!S4</f>
        <v>417062.56138496258</v>
      </c>
      <c r="T27" s="386">
        <f>'41_Revenue_COGS'!T4</f>
        <v>463549.21635051881</v>
      </c>
      <c r="U27" s="386">
        <f>'41_Revenue_COGS'!U4</f>
        <v>574048.56007405056</v>
      </c>
      <c r="V27" s="386">
        <f>'41_Revenue_COGS'!V4</f>
        <v>684096.22668933799</v>
      </c>
      <c r="W27" s="386">
        <f>'41_Revenue_COGS'!W4</f>
        <v>793794.62268854026</v>
      </c>
      <c r="X27" s="386">
        <f>'41_Revenue_COGS'!X4</f>
        <v>903244.76369588799</v>
      </c>
      <c r="Y27" s="386">
        <f>'41_Revenue_COGS'!Y4</f>
        <v>1012546.3778694777</v>
      </c>
      <c r="Z27" s="386">
        <f>'41_Revenue_COGS'!Z4</f>
        <v>1121798.0070735817</v>
      </c>
      <c r="AA27" s="386">
        <f>'41_Revenue_COGS'!AA4</f>
        <v>1231097.1059339114</v>
      </c>
      <c r="AB27" s="386">
        <f>'41_Revenue_COGS'!AB4</f>
        <v>1340540.1388852221</v>
      </c>
      <c r="AC27" s="386">
        <f>'41_Revenue_COGS'!AC4</f>
        <v>1450222.6753177235</v>
      </c>
      <c r="AD27" s="386">
        <f>'41_Revenue_COGS'!AD4</f>
        <v>1560239.4829259503</v>
      </c>
      <c r="AE27" s="386">
        <f>'41_Revenue_COGS'!AE4</f>
        <v>1670684.6193610851</v>
      </c>
      <c r="AF27" s="386">
        <f>'41_Revenue_COGS'!AF4</f>
        <v>1781651.5222851408</v>
      </c>
      <c r="AG27" s="386">
        <f>'41_Revenue_COGS'!AG4</f>
        <v>1893233.0979229882</v>
      </c>
      <c r="AH27" s="386">
        <f>'41_Revenue_COGS'!AH4</f>
        <v>2005521.8082058423</v>
      </c>
      <c r="AI27" s="386">
        <f>'41_Revenue_COGS'!AI4</f>
        <v>2118609.7565976256</v>
      </c>
      <c r="AJ27" s="386">
        <f>'41_Revenue_COGS'!AJ4</f>
        <v>2232588.7726934655</v>
      </c>
      <c r="AK27" s="386">
        <f>'41_Revenue_COGS'!AK4</f>
        <v>2347550.4956775829</v>
      </c>
    </row>
    <row r="28" spans="1:37" x14ac:dyDescent="0.3">
      <c r="A28" s="518" t="s">
        <v>653</v>
      </c>
      <c r="B28" s="387">
        <f>'41_Revenue_COGS'!B3*B26</f>
        <v>10849.090909090908</v>
      </c>
      <c r="C28" s="387">
        <f>'41_Revenue_COGS'!C3*C26</f>
        <v>21793.490410826857</v>
      </c>
      <c r="D28" s="387">
        <f>'41_Revenue_COGS'!D3*D26</f>
        <v>32842.790980689919</v>
      </c>
      <c r="E28" s="387">
        <f>'41_Revenue_COGS'!E3*E26</f>
        <v>44006.580027488075</v>
      </c>
      <c r="F28" s="387">
        <f>'41_Revenue_COGS'!F3*F26</f>
        <v>55294.448378684094</v>
      </c>
      <c r="G28" s="387">
        <f>'41_Revenue_COGS'!G3*G26</f>
        <v>66715.99867851421</v>
      </c>
      <c r="H28" s="387">
        <f>'41_Revenue_COGS'!H3*H26</f>
        <v>78280.853707188726</v>
      </c>
      <c r="I28" s="387">
        <f>'41_Revenue_COGS'!I3*I26</f>
        <v>89998.664629309395</v>
      </c>
      <c r="J28" s="387">
        <f>'41_Revenue_COGS'!J3*J26</f>
        <v>101879.1191794897</v>
      </c>
      <c r="K28" s="387">
        <f>'41_Revenue_COGS'!K3*K26</f>
        <v>113931.9497930239</v>
      </c>
      <c r="L28" s="387">
        <f>'41_Revenue_COGS'!L3*L26</f>
        <v>126166.94168931922</v>
      </c>
      <c r="M28" s="387">
        <f>'41_Revenue_COGS'!M3*M26</f>
        <v>138593.94091568221</v>
      </c>
      <c r="N28" s="387">
        <f>'41_Revenue_COGS'!N3*N26</f>
        <v>185162.19131379147</v>
      </c>
      <c r="O28" s="387">
        <f>'41_Revenue_COGS'!O3*O26</f>
        <v>231610.78971672183</v>
      </c>
      <c r="P28" s="387">
        <f>'41_Revenue_COGS'!P3*P26</f>
        <v>277982.80842916487</v>
      </c>
      <c r="Q28" s="387">
        <f>'41_Revenue_COGS'!Q3*Q26</f>
        <v>324320.79945878714</v>
      </c>
      <c r="R28" s="387">
        <f>'41_Revenue_COGS'!R3*R26</f>
        <v>370666.83739035414</v>
      </c>
      <c r="S28" s="387">
        <f>'41_Revenue_COGS'!S3*S26</f>
        <v>347552.13448746881</v>
      </c>
      <c r="T28" s="387">
        <f>'41_Revenue_COGS'!T3*T26</f>
        <v>386291.01362543233</v>
      </c>
      <c r="U28" s="387">
        <f>'41_Revenue_COGS'!U3*U26</f>
        <v>478373.80006170878</v>
      </c>
      <c r="V28" s="387">
        <f>'41_Revenue_COGS'!V3*V26</f>
        <v>570080.18890778173</v>
      </c>
      <c r="W28" s="387">
        <f>'41_Revenue_COGS'!W3*W26</f>
        <v>661495.51890711684</v>
      </c>
      <c r="X28" s="387">
        <f>'41_Revenue_COGS'!X3*X26</f>
        <v>752703.96974657325</v>
      </c>
      <c r="Y28" s="387">
        <f>'41_Revenue_COGS'!Y3*Y26</f>
        <v>843788.64822456485</v>
      </c>
      <c r="Z28" s="387">
        <f>'41_Revenue_COGS'!Z3*Z26</f>
        <v>934831.67256131803</v>
      </c>
      <c r="AA28" s="387">
        <f>'41_Revenue_COGS'!AA3*AA26</f>
        <v>1025914.2549449261</v>
      </c>
      <c r="AB28" s="387">
        <f>'41_Revenue_COGS'!AB3*AB26</f>
        <v>1117116.7824043517</v>
      </c>
      <c r="AC28" s="387">
        <f>'41_Revenue_COGS'!AC3*AC26</f>
        <v>1208518.8960981029</v>
      </c>
      <c r="AD28" s="387">
        <f>'41_Revenue_COGS'!AD3*AD26</f>
        <v>1300199.5691049586</v>
      </c>
      <c r="AE28" s="387">
        <f>'41_Revenue_COGS'!AE3*AE26</f>
        <v>1392237.1828009041</v>
      </c>
      <c r="AF28" s="387">
        <f>'41_Revenue_COGS'!AF3*AF26</f>
        <v>1484709.601904284</v>
      </c>
      <c r="AG28" s="387">
        <f>'41_Revenue_COGS'!AG3*AG26</f>
        <v>1577694.2482691568</v>
      </c>
      <c r="AH28" s="387">
        <f>'41_Revenue_COGS'!AH3*AH26</f>
        <v>1671268.1735048685</v>
      </c>
      <c r="AI28" s="387">
        <f>'41_Revenue_COGS'!AI3*AI26</f>
        <v>1765508.1304980214</v>
      </c>
      <c r="AJ28" s="387">
        <f>'41_Revenue_COGS'!AJ3*AJ26</f>
        <v>1860490.6439112213</v>
      </c>
      <c r="AK28" s="387">
        <f>'41_Revenue_COGS'!AK3*AK26</f>
        <v>1956292.0797313193</v>
      </c>
    </row>
    <row r="29" spans="1:37" x14ac:dyDescent="0.3">
      <c r="A29" s="521" t="s">
        <v>654</v>
      </c>
      <c r="B29" s="388">
        <f>B28-B27</f>
        <v>0</v>
      </c>
      <c r="C29" s="388">
        <f t="shared" ref="C29:AK29" si="0">C28-C27</f>
        <v>0</v>
      </c>
      <c r="D29" s="388">
        <f t="shared" si="0"/>
        <v>0</v>
      </c>
      <c r="E29" s="388">
        <f t="shared" si="0"/>
        <v>0</v>
      </c>
      <c r="F29" s="388">
        <f t="shared" si="0"/>
        <v>0</v>
      </c>
      <c r="G29" s="388">
        <f t="shared" si="0"/>
        <v>0</v>
      </c>
      <c r="H29" s="388">
        <f t="shared" si="0"/>
        <v>0</v>
      </c>
      <c r="I29" s="388">
        <f t="shared" si="0"/>
        <v>0</v>
      </c>
      <c r="J29" s="388">
        <f t="shared" si="0"/>
        <v>0</v>
      </c>
      <c r="K29" s="388">
        <f t="shared" si="0"/>
        <v>0</v>
      </c>
      <c r="L29" s="388">
        <f t="shared" si="0"/>
        <v>0</v>
      </c>
      <c r="M29" s="388">
        <f t="shared" si="0"/>
        <v>0</v>
      </c>
      <c r="N29" s="388">
        <f t="shared" si="0"/>
        <v>0</v>
      </c>
      <c r="O29" s="388">
        <f t="shared" si="0"/>
        <v>0</v>
      </c>
      <c r="P29" s="388">
        <f t="shared" si="0"/>
        <v>0</v>
      </c>
      <c r="Q29" s="388">
        <f t="shared" si="0"/>
        <v>0</v>
      </c>
      <c r="R29" s="388">
        <f t="shared" si="0"/>
        <v>0</v>
      </c>
      <c r="S29" s="388">
        <f t="shared" si="0"/>
        <v>-69510.426897493773</v>
      </c>
      <c r="T29" s="388">
        <f t="shared" si="0"/>
        <v>-77258.202725086478</v>
      </c>
      <c r="U29" s="388">
        <f t="shared" si="0"/>
        <v>-95674.76001234178</v>
      </c>
      <c r="V29" s="388">
        <f t="shared" si="0"/>
        <v>-114016.03778155625</v>
      </c>
      <c r="W29" s="388">
        <f t="shared" si="0"/>
        <v>-132299.10378142342</v>
      </c>
      <c r="X29" s="388">
        <f t="shared" si="0"/>
        <v>-150540.79394931474</v>
      </c>
      <c r="Y29" s="388">
        <f t="shared" si="0"/>
        <v>-168757.72964491288</v>
      </c>
      <c r="Z29" s="388">
        <f t="shared" si="0"/>
        <v>-186966.33451226365</v>
      </c>
      <c r="AA29" s="388">
        <f t="shared" si="0"/>
        <v>-205182.85098898527</v>
      </c>
      <c r="AB29" s="388">
        <f t="shared" si="0"/>
        <v>-223423.3564808704</v>
      </c>
      <c r="AC29" s="388">
        <f t="shared" si="0"/>
        <v>-241703.77921962063</v>
      </c>
      <c r="AD29" s="388">
        <f t="shared" si="0"/>
        <v>-260039.91382099176</v>
      </c>
      <c r="AE29" s="388">
        <f t="shared" si="0"/>
        <v>-278447.43656018097</v>
      </c>
      <c r="AF29" s="388">
        <f t="shared" si="0"/>
        <v>-296941.92038085684</v>
      </c>
      <c r="AG29" s="388">
        <f t="shared" si="0"/>
        <v>-315538.84965383145</v>
      </c>
      <c r="AH29" s="388">
        <f t="shared" si="0"/>
        <v>-334253.63470097375</v>
      </c>
      <c r="AI29" s="388">
        <f t="shared" si="0"/>
        <v>-353101.62609960418</v>
      </c>
      <c r="AJ29" s="388">
        <f t="shared" si="0"/>
        <v>-372098.12878224417</v>
      </c>
      <c r="AK29" s="388">
        <f t="shared" si="0"/>
        <v>-391258.41594626359</v>
      </c>
    </row>
    <row r="30" spans="1:37" x14ac:dyDescent="0.3">
      <c r="A30" s="521" t="s">
        <v>655</v>
      </c>
      <c r="B30" s="388">
        <f>B29</f>
        <v>0</v>
      </c>
      <c r="C30" s="388">
        <f t="shared" ref="C30:AK30" si="1">C29</f>
        <v>0</v>
      </c>
      <c r="D30" s="388">
        <f t="shared" si="1"/>
        <v>0</v>
      </c>
      <c r="E30" s="388">
        <f t="shared" si="1"/>
        <v>0</v>
      </c>
      <c r="F30" s="388">
        <f t="shared" si="1"/>
        <v>0</v>
      </c>
      <c r="G30" s="388">
        <f t="shared" si="1"/>
        <v>0</v>
      </c>
      <c r="H30" s="388">
        <f t="shared" si="1"/>
        <v>0</v>
      </c>
      <c r="I30" s="388">
        <f t="shared" si="1"/>
        <v>0</v>
      </c>
      <c r="J30" s="388">
        <f t="shared" si="1"/>
        <v>0</v>
      </c>
      <c r="K30" s="388">
        <f t="shared" si="1"/>
        <v>0</v>
      </c>
      <c r="L30" s="388">
        <f t="shared" si="1"/>
        <v>0</v>
      </c>
      <c r="M30" s="388">
        <f t="shared" si="1"/>
        <v>0</v>
      </c>
      <c r="N30" s="388">
        <f t="shared" si="1"/>
        <v>0</v>
      </c>
      <c r="O30" s="388">
        <f t="shared" si="1"/>
        <v>0</v>
      </c>
      <c r="P30" s="388">
        <f t="shared" si="1"/>
        <v>0</v>
      </c>
      <c r="Q30" s="388">
        <f t="shared" si="1"/>
        <v>0</v>
      </c>
      <c r="R30" s="388">
        <f t="shared" si="1"/>
        <v>0</v>
      </c>
      <c r="S30" s="388">
        <f t="shared" si="1"/>
        <v>-69510.426897493773</v>
      </c>
      <c r="T30" s="388">
        <f t="shared" si="1"/>
        <v>-77258.202725086478</v>
      </c>
      <c r="U30" s="388">
        <f t="shared" si="1"/>
        <v>-95674.76001234178</v>
      </c>
      <c r="V30" s="388">
        <f t="shared" si="1"/>
        <v>-114016.03778155625</v>
      </c>
      <c r="W30" s="388">
        <f t="shared" si="1"/>
        <v>-132299.10378142342</v>
      </c>
      <c r="X30" s="388">
        <f t="shared" si="1"/>
        <v>-150540.79394931474</v>
      </c>
      <c r="Y30" s="388">
        <f t="shared" si="1"/>
        <v>-168757.72964491288</v>
      </c>
      <c r="Z30" s="388">
        <f t="shared" si="1"/>
        <v>-186966.33451226365</v>
      </c>
      <c r="AA30" s="388">
        <f t="shared" si="1"/>
        <v>-205182.85098898527</v>
      </c>
      <c r="AB30" s="388">
        <f t="shared" si="1"/>
        <v>-223423.3564808704</v>
      </c>
      <c r="AC30" s="388">
        <f t="shared" si="1"/>
        <v>-241703.77921962063</v>
      </c>
      <c r="AD30" s="388">
        <f t="shared" si="1"/>
        <v>-260039.91382099176</v>
      </c>
      <c r="AE30" s="388">
        <f t="shared" si="1"/>
        <v>-278447.43656018097</v>
      </c>
      <c r="AF30" s="388">
        <f t="shared" si="1"/>
        <v>-296941.92038085684</v>
      </c>
      <c r="AG30" s="388">
        <f t="shared" si="1"/>
        <v>-315538.84965383145</v>
      </c>
      <c r="AH30" s="388">
        <f t="shared" si="1"/>
        <v>-334253.63470097375</v>
      </c>
      <c r="AI30" s="388">
        <f t="shared" si="1"/>
        <v>-353101.62609960418</v>
      </c>
      <c r="AJ30" s="388">
        <f t="shared" si="1"/>
        <v>-372098.12878224417</v>
      </c>
      <c r="AK30" s="388">
        <f t="shared" si="1"/>
        <v>-391258.41594626359</v>
      </c>
    </row>
    <row r="32" spans="1:37" x14ac:dyDescent="0.3">
      <c r="A32" s="513" t="s">
        <v>656</v>
      </c>
      <c r="B32" s="514" t="s">
        <v>606</v>
      </c>
    </row>
    <row r="33" spans="1:14" x14ac:dyDescent="0.3">
      <c r="A33" s="522" t="s">
        <v>669</v>
      </c>
      <c r="B33" s="523">
        <f>SUM(S29:AK29)</f>
        <v>-4267013.301938816</v>
      </c>
    </row>
    <row r="34" spans="1:14" x14ac:dyDescent="0.3">
      <c r="A34" s="522" t="s">
        <v>670</v>
      </c>
      <c r="B34" s="523">
        <f>SUM(S30:AK30)</f>
        <v>-4267013.301938816</v>
      </c>
    </row>
    <row r="35" spans="1:14" x14ac:dyDescent="0.3">
      <c r="A35" s="524" t="s">
        <v>671</v>
      </c>
      <c r="B35" s="525">
        <f>SUM(Z29:AK29)</f>
        <v>-3458956.2471466865</v>
      </c>
    </row>
    <row r="36" spans="1:14" x14ac:dyDescent="0.3">
      <c r="A36" s="526" t="s">
        <v>672</v>
      </c>
      <c r="B36" s="527">
        <f>SUM(Z27:AK27)</f>
        <v>20753737.482880119</v>
      </c>
    </row>
    <row r="37" spans="1:14" x14ac:dyDescent="0.3">
      <c r="A37" s="522" t="s">
        <v>673</v>
      </c>
      <c r="B37" s="528">
        <f>SUM(Z28:AK28)</f>
        <v>17294781.235733435</v>
      </c>
    </row>
    <row r="38" spans="1:14" x14ac:dyDescent="0.3">
      <c r="A38" s="526" t="s">
        <v>674</v>
      </c>
      <c r="B38" s="527">
        <f>'10_Income_Statement'!AN3</f>
        <v>46392969.928560875</v>
      </c>
    </row>
    <row r="39" spans="1:14" x14ac:dyDescent="0.3">
      <c r="A39" s="522" t="s">
        <v>675</v>
      </c>
      <c r="B39" s="528">
        <f>B38+B35</f>
        <v>42934013.681414187</v>
      </c>
    </row>
    <row r="40" spans="1:14" x14ac:dyDescent="0.3">
      <c r="A40" s="526" t="s">
        <v>676</v>
      </c>
      <c r="B40" s="529">
        <f>'10_Income_Statement'!AN8</f>
        <v>-10803737.720168786</v>
      </c>
    </row>
    <row r="41" spans="1:14" x14ac:dyDescent="0.3">
      <c r="A41" s="522" t="s">
        <v>677</v>
      </c>
      <c r="B41" s="523">
        <f>B40+B35</f>
        <v>-14262693.967315473</v>
      </c>
    </row>
    <row r="42" spans="1:14" x14ac:dyDescent="0.3">
      <c r="A42" s="526" t="s">
        <v>678</v>
      </c>
      <c r="B42" s="345">
        <f>B40/B38</f>
        <v>-0.23287445785008232</v>
      </c>
    </row>
    <row r="43" spans="1:14" x14ac:dyDescent="0.3">
      <c r="A43" s="522" t="s">
        <v>679</v>
      </c>
      <c r="B43" s="345">
        <f>B41/B39</f>
        <v>-0.33220034057728187</v>
      </c>
    </row>
    <row r="44" spans="1:14" x14ac:dyDescent="0.3">
      <c r="A44" s="530" t="s">
        <v>657</v>
      </c>
      <c r="B44" s="346">
        <f>B43-B42</f>
        <v>-9.9325882727199555E-2</v>
      </c>
    </row>
    <row r="47" spans="1:14" x14ac:dyDescent="0.3">
      <c r="A47" s="531" t="s">
        <v>680</v>
      </c>
    </row>
    <row r="48" spans="1:14" ht="40.799999999999997" customHeight="1" x14ac:dyDescent="0.3">
      <c r="A48" s="734" t="s">
        <v>681</v>
      </c>
      <c r="B48" s="734"/>
      <c r="C48" s="734"/>
      <c r="D48" s="734"/>
      <c r="E48" s="734"/>
      <c r="F48" s="734"/>
      <c r="G48" s="734"/>
      <c r="H48" s="734"/>
      <c r="I48" s="734"/>
      <c r="J48" s="734"/>
      <c r="K48" s="734"/>
      <c r="L48" s="734"/>
      <c r="M48" s="734"/>
      <c r="N48" s="734"/>
    </row>
    <row r="50" spans="1:37" x14ac:dyDescent="0.3">
      <c r="A50" s="513" t="s">
        <v>647</v>
      </c>
      <c r="B50" s="514" t="s">
        <v>606</v>
      </c>
    </row>
    <row r="51" spans="1:37" x14ac:dyDescent="0.3">
      <c r="A51" s="522" t="s">
        <v>682</v>
      </c>
      <c r="B51" s="391">
        <v>1.0999999999999999E-2</v>
      </c>
    </row>
    <row r="52" spans="1:37" x14ac:dyDescent="0.3">
      <c r="A52" s="522" t="s">
        <v>683</v>
      </c>
      <c r="B52" s="391">
        <v>9.1699999999999993E-3</v>
      </c>
    </row>
    <row r="53" spans="1:37" x14ac:dyDescent="0.3">
      <c r="A53" s="522" t="s">
        <v>648</v>
      </c>
      <c r="B53" s="392">
        <v>18</v>
      </c>
    </row>
    <row r="54" spans="1:37" x14ac:dyDescent="0.3">
      <c r="A54" s="526" t="s">
        <v>684</v>
      </c>
      <c r="B54" s="532">
        <f>'31_Inputs_UnitEconomics'!B12</f>
        <v>1800</v>
      </c>
    </row>
    <row r="55" spans="1:37" x14ac:dyDescent="0.3">
      <c r="A55" s="533" t="s">
        <v>685</v>
      </c>
      <c r="B55" s="347">
        <f>'31_Inputs_UnitEconomics'!B11/12</f>
        <v>5.0000000000000001E-3</v>
      </c>
    </row>
    <row r="57" spans="1:37" x14ac:dyDescent="0.3">
      <c r="A57" s="517" t="s">
        <v>649</v>
      </c>
    </row>
    <row r="58" spans="1:37" x14ac:dyDescent="0.3">
      <c r="A58" s="518" t="s">
        <v>650</v>
      </c>
      <c r="B58" s="519" t="str">
        <f>'41_Revenue_COGS'!B2</f>
        <v>M1</v>
      </c>
      <c r="C58" s="519" t="str">
        <f>'41_Revenue_COGS'!C2</f>
        <v>M2</v>
      </c>
      <c r="D58" s="519" t="str">
        <f>'41_Revenue_COGS'!D2</f>
        <v>M3</v>
      </c>
      <c r="E58" s="519" t="str">
        <f>'41_Revenue_COGS'!E2</f>
        <v>M4</v>
      </c>
      <c r="F58" s="519" t="str">
        <f>'41_Revenue_COGS'!F2</f>
        <v>M5</v>
      </c>
      <c r="G58" s="519" t="str">
        <f>'41_Revenue_COGS'!G2</f>
        <v>M6</v>
      </c>
      <c r="H58" s="519" t="str">
        <f>'41_Revenue_COGS'!H2</f>
        <v>M7</v>
      </c>
      <c r="I58" s="519" t="str">
        <f>'41_Revenue_COGS'!I2</f>
        <v>M8</v>
      </c>
      <c r="J58" s="519" t="str">
        <f>'41_Revenue_COGS'!J2</f>
        <v>M9</v>
      </c>
      <c r="K58" s="519" t="str">
        <f>'41_Revenue_COGS'!K2</f>
        <v>M10</v>
      </c>
      <c r="L58" s="519" t="str">
        <f>'41_Revenue_COGS'!L2</f>
        <v>M11</v>
      </c>
      <c r="M58" s="519" t="str">
        <f>'41_Revenue_COGS'!M2</f>
        <v>M12</v>
      </c>
      <c r="N58" s="519" t="str">
        <f>'41_Revenue_COGS'!N2</f>
        <v>M13</v>
      </c>
      <c r="O58" s="519" t="str">
        <f>'41_Revenue_COGS'!O2</f>
        <v>M14</v>
      </c>
      <c r="P58" s="519" t="str">
        <f>'41_Revenue_COGS'!P2</f>
        <v>M15</v>
      </c>
      <c r="Q58" s="519" t="str">
        <f>'41_Revenue_COGS'!Q2</f>
        <v>M16</v>
      </c>
      <c r="R58" s="519" t="str">
        <f>'41_Revenue_COGS'!R2</f>
        <v>M17</v>
      </c>
      <c r="S58" s="519" t="str">
        <f>'41_Revenue_COGS'!S2</f>
        <v>M18</v>
      </c>
      <c r="T58" s="519" t="str">
        <f>'41_Revenue_COGS'!T2</f>
        <v>M19</v>
      </c>
      <c r="U58" s="519" t="str">
        <f>'41_Revenue_COGS'!U2</f>
        <v>M20</v>
      </c>
      <c r="V58" s="519" t="str">
        <f>'41_Revenue_COGS'!V2</f>
        <v>M21</v>
      </c>
      <c r="W58" s="519" t="str">
        <f>'41_Revenue_COGS'!W2</f>
        <v>M22</v>
      </c>
      <c r="X58" s="519" t="str">
        <f>'41_Revenue_COGS'!X2</f>
        <v>M23</v>
      </c>
      <c r="Y58" s="519" t="str">
        <f>'41_Revenue_COGS'!Y2</f>
        <v>M24</v>
      </c>
      <c r="Z58" s="519" t="str">
        <f>'41_Revenue_COGS'!Z2</f>
        <v>M25</v>
      </c>
      <c r="AA58" s="519" t="str">
        <f>'41_Revenue_COGS'!AA2</f>
        <v>M26</v>
      </c>
      <c r="AB58" s="519" t="str">
        <f>'41_Revenue_COGS'!AB2</f>
        <v>M27</v>
      </c>
      <c r="AC58" s="519" t="str">
        <f>'41_Revenue_COGS'!AC2</f>
        <v>M28</v>
      </c>
      <c r="AD58" s="519" t="str">
        <f>'41_Revenue_COGS'!AD2</f>
        <v>M29</v>
      </c>
      <c r="AE58" s="519" t="str">
        <f>'41_Revenue_COGS'!AE2</f>
        <v>M30</v>
      </c>
      <c r="AF58" s="519" t="str">
        <f>'41_Revenue_COGS'!AF2</f>
        <v>M31</v>
      </c>
      <c r="AG58" s="519" t="str">
        <f>'41_Revenue_COGS'!AG2</f>
        <v>M32</v>
      </c>
      <c r="AH58" s="519" t="str">
        <f>'41_Revenue_COGS'!AH2</f>
        <v>M33</v>
      </c>
      <c r="AI58" s="519" t="str">
        <f>'41_Revenue_COGS'!AI2</f>
        <v>M34</v>
      </c>
      <c r="AJ58" s="519" t="str">
        <f>'41_Revenue_COGS'!AJ2</f>
        <v>M35</v>
      </c>
      <c r="AK58" s="519" t="str">
        <f>'41_Revenue_COGS'!AK2</f>
        <v>M36</v>
      </c>
    </row>
    <row r="59" spans="1:37" x14ac:dyDescent="0.3">
      <c r="A59" s="518" t="s">
        <v>686</v>
      </c>
      <c r="B59" s="389">
        <f>IF('41_Revenue_COGS'!B1&lt;$B$53,$B$51,$B$52)</f>
        <v>1.0999999999999999E-2</v>
      </c>
      <c r="C59" s="389">
        <f>IF('41_Revenue_COGS'!C1&lt;$B$53,$B$51,$B$52)</f>
        <v>1.0999999999999999E-2</v>
      </c>
      <c r="D59" s="389">
        <f>IF('41_Revenue_COGS'!D1&lt;$B$53,$B$51,$B$52)</f>
        <v>1.0999999999999999E-2</v>
      </c>
      <c r="E59" s="389">
        <f>IF('41_Revenue_COGS'!E1&lt;$B$53,$B$51,$B$52)</f>
        <v>1.0999999999999999E-2</v>
      </c>
      <c r="F59" s="389">
        <f>IF('41_Revenue_COGS'!F1&lt;$B$53,$B$51,$B$52)</f>
        <v>1.0999999999999999E-2</v>
      </c>
      <c r="G59" s="389">
        <f>IF('41_Revenue_COGS'!G1&lt;$B$53,$B$51,$B$52)</f>
        <v>1.0999999999999999E-2</v>
      </c>
      <c r="H59" s="389">
        <f>IF('41_Revenue_COGS'!H1&lt;$B$53,$B$51,$B$52)</f>
        <v>1.0999999999999999E-2</v>
      </c>
      <c r="I59" s="389">
        <f>IF('41_Revenue_COGS'!I1&lt;$B$53,$B$51,$B$52)</f>
        <v>1.0999999999999999E-2</v>
      </c>
      <c r="J59" s="389">
        <f>IF('41_Revenue_COGS'!J1&lt;$B$53,$B$51,$B$52)</f>
        <v>1.0999999999999999E-2</v>
      </c>
      <c r="K59" s="389">
        <f>IF('41_Revenue_COGS'!K1&lt;$B$53,$B$51,$B$52)</f>
        <v>1.0999999999999999E-2</v>
      </c>
      <c r="L59" s="389">
        <f>IF('41_Revenue_COGS'!L1&lt;$B$53,$B$51,$B$52)</f>
        <v>1.0999999999999999E-2</v>
      </c>
      <c r="M59" s="389">
        <f>IF('41_Revenue_COGS'!M1&lt;$B$53,$B$51,$B$52)</f>
        <v>1.0999999999999999E-2</v>
      </c>
      <c r="N59" s="389">
        <f>IF('41_Revenue_COGS'!N1&lt;$B$53,$B$51,$B$52)</f>
        <v>1.0999999999999999E-2</v>
      </c>
      <c r="O59" s="389">
        <f>IF('41_Revenue_COGS'!O1&lt;$B$53,$B$51,$B$52)</f>
        <v>1.0999999999999999E-2</v>
      </c>
      <c r="P59" s="389">
        <f>IF('41_Revenue_COGS'!P1&lt;$B$53,$B$51,$B$52)</f>
        <v>1.0999999999999999E-2</v>
      </c>
      <c r="Q59" s="389">
        <f>IF('41_Revenue_COGS'!Q1&lt;$B$53,$B$51,$B$52)</f>
        <v>1.0999999999999999E-2</v>
      </c>
      <c r="R59" s="389">
        <f>IF('41_Revenue_COGS'!R1&lt;$B$53,$B$51,$B$52)</f>
        <v>1.0999999999999999E-2</v>
      </c>
      <c r="S59" s="389">
        <f>IF('41_Revenue_COGS'!S1&lt;$B$53,$B$51,$B$52)</f>
        <v>9.1699999999999993E-3</v>
      </c>
      <c r="T59" s="389">
        <f>IF('41_Revenue_COGS'!T1&lt;$B$53,$B$51,$B$52)</f>
        <v>9.1699999999999993E-3</v>
      </c>
      <c r="U59" s="389">
        <f>IF('41_Revenue_COGS'!U1&lt;$B$53,$B$51,$B$52)</f>
        <v>9.1699999999999993E-3</v>
      </c>
      <c r="V59" s="389">
        <f>IF('41_Revenue_COGS'!V1&lt;$B$53,$B$51,$B$52)</f>
        <v>9.1699999999999993E-3</v>
      </c>
      <c r="W59" s="389">
        <f>IF('41_Revenue_COGS'!W1&lt;$B$53,$B$51,$B$52)</f>
        <v>9.1699999999999993E-3</v>
      </c>
      <c r="X59" s="389">
        <f>IF('41_Revenue_COGS'!X1&lt;$B$53,$B$51,$B$52)</f>
        <v>9.1699999999999993E-3</v>
      </c>
      <c r="Y59" s="389">
        <f>IF('41_Revenue_COGS'!Y1&lt;$B$53,$B$51,$B$52)</f>
        <v>9.1699999999999993E-3</v>
      </c>
      <c r="Z59" s="389">
        <f>IF('41_Revenue_COGS'!Z1&lt;$B$53,$B$51,$B$52)</f>
        <v>9.1699999999999993E-3</v>
      </c>
      <c r="AA59" s="389">
        <f>IF('41_Revenue_COGS'!AA1&lt;$B$53,$B$51,$B$52)</f>
        <v>9.1699999999999993E-3</v>
      </c>
      <c r="AB59" s="389">
        <f>IF('41_Revenue_COGS'!AB1&lt;$B$53,$B$51,$B$52)</f>
        <v>9.1699999999999993E-3</v>
      </c>
      <c r="AC59" s="389">
        <f>IF('41_Revenue_COGS'!AC1&lt;$B$53,$B$51,$B$52)</f>
        <v>9.1699999999999993E-3</v>
      </c>
      <c r="AD59" s="389">
        <f>IF('41_Revenue_COGS'!AD1&lt;$B$53,$B$51,$B$52)</f>
        <v>9.1699999999999993E-3</v>
      </c>
      <c r="AE59" s="389">
        <f>IF('41_Revenue_COGS'!AE1&lt;$B$53,$B$51,$B$52)</f>
        <v>9.1699999999999993E-3</v>
      </c>
      <c r="AF59" s="389">
        <f>IF('41_Revenue_COGS'!AF1&lt;$B$53,$B$51,$B$52)</f>
        <v>9.1699999999999993E-3</v>
      </c>
      <c r="AG59" s="389">
        <f>IF('41_Revenue_COGS'!AG1&lt;$B$53,$B$51,$B$52)</f>
        <v>9.1699999999999993E-3</v>
      </c>
      <c r="AH59" s="389">
        <f>IF('41_Revenue_COGS'!AH1&lt;$B$53,$B$51,$B$52)</f>
        <v>9.1699999999999993E-3</v>
      </c>
      <c r="AI59" s="389">
        <f>IF('41_Revenue_COGS'!AI1&lt;$B$53,$B$51,$B$52)</f>
        <v>9.1699999999999993E-3</v>
      </c>
      <c r="AJ59" s="389">
        <f>IF('41_Revenue_COGS'!AJ1&lt;$B$53,$B$51,$B$52)</f>
        <v>9.1699999999999993E-3</v>
      </c>
      <c r="AK59" s="389">
        <f>IF('41_Revenue_COGS'!AK1&lt;$B$53,$B$51,$B$52)</f>
        <v>9.1699999999999993E-3</v>
      </c>
    </row>
    <row r="60" spans="1:37" x14ac:dyDescent="0.3">
      <c r="A60" s="520" t="s">
        <v>687</v>
      </c>
      <c r="B60" s="390">
        <f>'41_Revenue_COGS'!B12</f>
        <v>0</v>
      </c>
      <c r="C60" s="390">
        <f>'41_Revenue_COGS'!C12</f>
        <v>0</v>
      </c>
      <c r="D60" s="390">
        <f>'41_Revenue_COGS'!D12</f>
        <v>0</v>
      </c>
      <c r="E60" s="390">
        <f>'41_Revenue_COGS'!E12</f>
        <v>0</v>
      </c>
      <c r="F60" s="390">
        <f>'41_Revenue_COGS'!F12</f>
        <v>0</v>
      </c>
      <c r="G60" s="390">
        <f>'41_Revenue_COGS'!G12</f>
        <v>0</v>
      </c>
      <c r="H60" s="390">
        <f>'41_Revenue_COGS'!H12</f>
        <v>0</v>
      </c>
      <c r="I60" s="390">
        <f>'41_Revenue_COGS'!I12</f>
        <v>0</v>
      </c>
      <c r="J60" s="390">
        <f>'41_Revenue_COGS'!J12</f>
        <v>1</v>
      </c>
      <c r="K60" s="390">
        <f>'41_Revenue_COGS'!K12</f>
        <v>1</v>
      </c>
      <c r="L60" s="390">
        <f>'41_Revenue_COGS'!L12</f>
        <v>1</v>
      </c>
      <c r="M60" s="390">
        <f>'41_Revenue_COGS'!M12</f>
        <v>1</v>
      </c>
      <c r="N60" s="390">
        <f>'41_Revenue_COGS'!N12</f>
        <v>1</v>
      </c>
      <c r="O60" s="390">
        <f>'41_Revenue_COGS'!O12</f>
        <v>1</v>
      </c>
      <c r="P60" s="390">
        <f>'41_Revenue_COGS'!P12</f>
        <v>1</v>
      </c>
      <c r="Q60" s="390">
        <f>'41_Revenue_COGS'!Q12</f>
        <v>1</v>
      </c>
      <c r="R60" s="390">
        <f>'41_Revenue_COGS'!R12</f>
        <v>1</v>
      </c>
      <c r="S60" s="390">
        <f>'41_Revenue_COGS'!S12</f>
        <v>1</v>
      </c>
      <c r="T60" s="390">
        <f>'41_Revenue_COGS'!T12</f>
        <v>1</v>
      </c>
      <c r="U60" s="390">
        <f>'41_Revenue_COGS'!U12</f>
        <v>1</v>
      </c>
      <c r="V60" s="390">
        <f>'41_Revenue_COGS'!V12</f>
        <v>1</v>
      </c>
      <c r="W60" s="390">
        <f>'41_Revenue_COGS'!W12</f>
        <v>1</v>
      </c>
      <c r="X60" s="390">
        <f>'41_Revenue_COGS'!X12</f>
        <v>1</v>
      </c>
      <c r="Y60" s="390">
        <f>'41_Revenue_COGS'!Y12</f>
        <v>1</v>
      </c>
      <c r="Z60" s="390">
        <f>'41_Revenue_COGS'!Z12</f>
        <v>1</v>
      </c>
      <c r="AA60" s="390">
        <f>'41_Revenue_COGS'!AA12</f>
        <v>1</v>
      </c>
      <c r="AB60" s="390">
        <f>'41_Revenue_COGS'!AB12</f>
        <v>1</v>
      </c>
      <c r="AC60" s="390">
        <f>'41_Revenue_COGS'!AC12</f>
        <v>1</v>
      </c>
      <c r="AD60" s="390">
        <f>'41_Revenue_COGS'!AD12</f>
        <v>1</v>
      </c>
      <c r="AE60" s="390">
        <f>'41_Revenue_COGS'!AE12</f>
        <v>1</v>
      </c>
      <c r="AF60" s="390">
        <f>'41_Revenue_COGS'!AF12</f>
        <v>1</v>
      </c>
      <c r="AG60" s="390">
        <f>'41_Revenue_COGS'!AG12</f>
        <v>1</v>
      </c>
      <c r="AH60" s="390">
        <f>'41_Revenue_COGS'!AH12</f>
        <v>1</v>
      </c>
      <c r="AI60" s="390">
        <f>'41_Revenue_COGS'!AI12</f>
        <v>1</v>
      </c>
      <c r="AJ60" s="390">
        <f>'41_Revenue_COGS'!AJ12</f>
        <v>1</v>
      </c>
      <c r="AK60" s="390">
        <f>'41_Revenue_COGS'!AK12</f>
        <v>1</v>
      </c>
    </row>
    <row r="61" spans="1:37" x14ac:dyDescent="0.3">
      <c r="A61" s="518" t="s">
        <v>688</v>
      </c>
      <c r="B61" s="387">
        <f>'40_Customers_Orders'!B8*$B$55*$B$54*$B$51*B60</f>
        <v>0</v>
      </c>
      <c r="C61" s="387">
        <f>'40_Customers_Orders'!C8*$B$55*$B$54*$B$51*C60</f>
        <v>0</v>
      </c>
      <c r="D61" s="387">
        <f>'40_Customers_Orders'!D8*$B$55*$B$54*$B$51*D60</f>
        <v>0</v>
      </c>
      <c r="E61" s="387">
        <f>'40_Customers_Orders'!E8*$B$55*$B$54*$B$51*E60</f>
        <v>0</v>
      </c>
      <c r="F61" s="387">
        <f>'40_Customers_Orders'!F8*$B$55*$B$54*$B$51*F60</f>
        <v>0</v>
      </c>
      <c r="G61" s="387">
        <f>'40_Customers_Orders'!G8*$B$55*$B$54*$B$51*G60</f>
        <v>0</v>
      </c>
      <c r="H61" s="387">
        <f>'40_Customers_Orders'!H8*$B$55*$B$54*$B$51*H60</f>
        <v>0</v>
      </c>
      <c r="I61" s="387">
        <f>'40_Customers_Orders'!I8*$B$55*$B$54*$B$51*I60</f>
        <v>0</v>
      </c>
      <c r="J61" s="387">
        <f>'40_Customers_Orders'!J8*$B$55*$B$54*$B$51*J60</f>
        <v>933.89192581198904</v>
      </c>
      <c r="K61" s="387">
        <f>'40_Customers_Orders'!K8*$B$55*$B$54*$B$51*K60</f>
        <v>1044.3762064360524</v>
      </c>
      <c r="L61" s="387">
        <f>'40_Customers_Orders'!L8*$B$55*$B$54*$B$51*L60</f>
        <v>1156.5302988187595</v>
      </c>
      <c r="M61" s="387">
        <f>'40_Customers_Orders'!M8*$B$55*$B$54*$B$51*M60</f>
        <v>1270.4444583937536</v>
      </c>
      <c r="N61" s="387">
        <f>'40_Customers_Orders'!N8*$B$55*$B$54*$B$51*N60</f>
        <v>1697.3200870430883</v>
      </c>
      <c r="O61" s="387">
        <f>'40_Customers_Orders'!O8*$B$55*$B$54*$B$51*O60</f>
        <v>2123.0989057366164</v>
      </c>
      <c r="P61" s="387">
        <f>'40_Customers_Orders'!P8*$B$55*$B$54*$B$51*P60</f>
        <v>2548.1757439340113</v>
      </c>
      <c r="Q61" s="387">
        <f>'40_Customers_Orders'!Q8*$B$55*$B$54*$B$51*Q60</f>
        <v>2972.9406617055483</v>
      </c>
      <c r="R61" s="387">
        <f>'40_Customers_Orders'!R8*$B$55*$B$54*$B$51*R60</f>
        <v>3397.7793427449128</v>
      </c>
      <c r="S61" s="387">
        <f>'40_Customers_Orders'!S8*$B$55*$B$54*$B$51*S60</f>
        <v>3823.0734793621573</v>
      </c>
      <c r="T61" s="387">
        <f>'40_Customers_Orders'!T8*$B$55*$B$54*$B$51*T60</f>
        <v>4249.2011498797556</v>
      </c>
      <c r="U61" s="387">
        <f>'40_Customers_Orders'!U8*$B$55*$B$54*$B$51*U60</f>
        <v>5262.1118006787956</v>
      </c>
      <c r="V61" s="387">
        <f>'40_Customers_Orders'!V8*$B$55*$B$54*$B$51*V60</f>
        <v>6270.8820779855987</v>
      </c>
      <c r="W61" s="387">
        <f>'40_Customers_Orders'!W8*$B$55*$B$54*$B$51*W60</f>
        <v>7276.4507079782852</v>
      </c>
      <c r="X61" s="387">
        <f>'40_Customers_Orders'!X8*$B$55*$B$54*$B$51*X60</f>
        <v>8279.7436672123058</v>
      </c>
      <c r="Y61" s="387">
        <f>'40_Customers_Orders'!Y8*$B$55*$B$54*$B$51*Y60</f>
        <v>9281.675130470212</v>
      </c>
      <c r="Z61" s="387">
        <f>'40_Customers_Orders'!Z8*$B$55*$B$54*$B$51*Z60</f>
        <v>10283.148398174499</v>
      </c>
      <c r="AA61" s="387">
        <f>'40_Customers_Orders'!AA8*$B$55*$B$54*$B$51*AA60</f>
        <v>11285.056804394184</v>
      </c>
      <c r="AB61" s="387">
        <f>'40_Customers_Orders'!AB8*$B$55*$B$54*$B$51*AB60</f>
        <v>12288.284606447869</v>
      </c>
      <c r="AC61" s="387">
        <f>'40_Customers_Orders'!AC8*$B$55*$B$54*$B$51*AC60</f>
        <v>13293.707857079131</v>
      </c>
      <c r="AD61" s="387">
        <f>'40_Customers_Orders'!AD8*$B$55*$B$54*$B$51*AD60</f>
        <v>14302.195260154544</v>
      </c>
      <c r="AE61" s="387">
        <f>'40_Customers_Orders'!AE8*$B$55*$B$54*$B$51*AE60</f>
        <v>15314.609010809945</v>
      </c>
      <c r="AF61" s="387">
        <f>'40_Customers_Orders'!AF8*$B$55*$B$54*$B$51*AF60</f>
        <v>16331.805620947123</v>
      </c>
      <c r="AG61" s="387">
        <f>'40_Customers_Orders'!AG8*$B$55*$B$54*$B$51*AG60</f>
        <v>17354.636730960723</v>
      </c>
      <c r="AH61" s="387">
        <f>'40_Customers_Orders'!AH8*$B$55*$B$54*$B$51*AH60</f>
        <v>18383.949908553554</v>
      </c>
      <c r="AI61" s="387">
        <f>'40_Customers_Orders'!AI8*$B$55*$B$54*$B$51*AI60</f>
        <v>19420.589435478232</v>
      </c>
      <c r="AJ61" s="387">
        <f>'40_Customers_Orders'!AJ8*$B$55*$B$54*$B$51*AJ60</f>
        <v>20465.397083023432</v>
      </c>
      <c r="AK61" s="387">
        <f>'40_Customers_Orders'!AK8*$B$55*$B$54*$B$51*AK60</f>
        <v>21519.212877044512</v>
      </c>
    </row>
    <row r="62" spans="1:37" x14ac:dyDescent="0.3">
      <c r="A62" s="518" t="s">
        <v>689</v>
      </c>
      <c r="B62" s="387">
        <f>'40_Customers_Orders'!B8*$B$55*$B$54*B59*B60</f>
        <v>0</v>
      </c>
      <c r="C62" s="387">
        <f>'40_Customers_Orders'!C8*$B$55*$B$54*C59*C60</f>
        <v>0</v>
      </c>
      <c r="D62" s="387">
        <f>'40_Customers_Orders'!D8*$B$55*$B$54*D59*D60</f>
        <v>0</v>
      </c>
      <c r="E62" s="387">
        <f>'40_Customers_Orders'!E8*$B$55*$B$54*E59*E60</f>
        <v>0</v>
      </c>
      <c r="F62" s="387">
        <f>'40_Customers_Orders'!F8*$B$55*$B$54*F59*F60</f>
        <v>0</v>
      </c>
      <c r="G62" s="387">
        <f>'40_Customers_Orders'!G8*$B$55*$B$54*G59*G60</f>
        <v>0</v>
      </c>
      <c r="H62" s="387">
        <f>'40_Customers_Orders'!H8*$B$55*$B$54*H59*H60</f>
        <v>0</v>
      </c>
      <c r="I62" s="387">
        <f>'40_Customers_Orders'!I8*$B$55*$B$54*I59*I60</f>
        <v>0</v>
      </c>
      <c r="J62" s="387">
        <f>'40_Customers_Orders'!J8*$B$55*$B$54*J59*J60</f>
        <v>933.89192581198904</v>
      </c>
      <c r="K62" s="387">
        <f>'40_Customers_Orders'!K8*$B$55*$B$54*K59*K60</f>
        <v>1044.3762064360524</v>
      </c>
      <c r="L62" s="387">
        <f>'40_Customers_Orders'!L8*$B$55*$B$54*L59*L60</f>
        <v>1156.5302988187595</v>
      </c>
      <c r="M62" s="387">
        <f>'40_Customers_Orders'!M8*$B$55*$B$54*M59*M60</f>
        <v>1270.4444583937536</v>
      </c>
      <c r="N62" s="387">
        <f>'40_Customers_Orders'!N8*$B$55*$B$54*N59*N60</f>
        <v>1697.3200870430883</v>
      </c>
      <c r="O62" s="387">
        <f>'40_Customers_Orders'!O8*$B$55*$B$54*O59*O60</f>
        <v>2123.0989057366164</v>
      </c>
      <c r="P62" s="387">
        <f>'40_Customers_Orders'!P8*$B$55*$B$54*P59*P60</f>
        <v>2548.1757439340113</v>
      </c>
      <c r="Q62" s="387">
        <f>'40_Customers_Orders'!Q8*$B$55*$B$54*Q59*Q60</f>
        <v>2972.9406617055483</v>
      </c>
      <c r="R62" s="387">
        <f>'40_Customers_Orders'!R8*$B$55*$B$54*R59*R60</f>
        <v>3397.7793427449128</v>
      </c>
      <c r="S62" s="387">
        <f>'40_Customers_Orders'!S8*$B$55*$B$54*S59*S60</f>
        <v>3187.0530732500893</v>
      </c>
      <c r="T62" s="387">
        <f>'40_Customers_Orders'!T8*$B$55*$B$54*T59*T60</f>
        <v>3542.2885949452143</v>
      </c>
      <c r="U62" s="387">
        <f>'40_Customers_Orders'!U8*$B$55*$B$54*U59*U60</f>
        <v>4386.687746565869</v>
      </c>
      <c r="V62" s="387">
        <f>'40_Customers_Orders'!V8*$B$55*$B$54*V59*V60</f>
        <v>5227.6353322843579</v>
      </c>
      <c r="W62" s="387">
        <f>'40_Customers_Orders'!W8*$B$55*$B$54*W59*W60</f>
        <v>6065.9139083782611</v>
      </c>
      <c r="X62" s="387">
        <f>'40_Customers_Orders'!X8*$B$55*$B$54*X59*X60</f>
        <v>6902.2954025760764</v>
      </c>
      <c r="Y62" s="387">
        <f>'40_Customers_Orders'!Y8*$B$55*$B$54*Y59*Y60</f>
        <v>7737.5419042192589</v>
      </c>
      <c r="Z62" s="387">
        <f>'40_Customers_Orders'!Z8*$B$55*$B$54*Z59*Z60</f>
        <v>8572.4064373872861</v>
      </c>
      <c r="AA62" s="387">
        <f>'40_Customers_Orders'!AA8*$B$55*$B$54*AA59*AA60</f>
        <v>9407.6337178449703</v>
      </c>
      <c r="AB62" s="387">
        <f>'40_Customers_Orders'!AB8*$B$55*$B$54*AB59*AB60</f>
        <v>10243.960894647906</v>
      </c>
      <c r="AC62" s="387">
        <f>'40_Customers_Orders'!AC8*$B$55*$B$54*AC59*AC60</f>
        <v>11082.118277219603</v>
      </c>
      <c r="AD62" s="387">
        <f>'40_Customers_Orders'!AD8*$B$55*$B$54*AD59*AD60</f>
        <v>11922.830048692469</v>
      </c>
      <c r="AE62" s="387">
        <f>'40_Customers_Orders'!AE8*$B$55*$B$54*AE59*AE60</f>
        <v>12766.81496628429</v>
      </c>
      <c r="AF62" s="387">
        <f>'40_Customers_Orders'!AF8*$B$55*$B$54*AF59*AF60</f>
        <v>13614.787049462284</v>
      </c>
      <c r="AG62" s="387">
        <f>'40_Customers_Orders'!AG8*$B$55*$B$54*AG59*AG60</f>
        <v>14467.456256628167</v>
      </c>
      <c r="AH62" s="387">
        <f>'40_Customers_Orders'!AH8*$B$55*$B$54*AH59*AH60</f>
        <v>15325.529151039644</v>
      </c>
      <c r="AI62" s="387">
        <f>'40_Customers_Orders'!AI8*$B$55*$B$54*AI59*AI60</f>
        <v>16189.709556666854</v>
      </c>
      <c r="AJ62" s="387">
        <f>'40_Customers_Orders'!AJ8*$B$55*$B$54*AJ59*AJ60</f>
        <v>17060.6992046659</v>
      </c>
      <c r="AK62" s="387">
        <f>'40_Customers_Orders'!AK8*$B$55*$B$54*AK59*AK60</f>
        <v>17939.198371136197</v>
      </c>
    </row>
    <row r="63" spans="1:37" x14ac:dyDescent="0.3">
      <c r="A63" s="521" t="s">
        <v>690</v>
      </c>
      <c r="B63" s="388">
        <f>B62-B61</f>
        <v>0</v>
      </c>
      <c r="C63" s="388">
        <f t="shared" ref="C63:AK63" si="2">C62-C61</f>
        <v>0</v>
      </c>
      <c r="D63" s="388">
        <f t="shared" si="2"/>
        <v>0</v>
      </c>
      <c r="E63" s="388">
        <f t="shared" si="2"/>
        <v>0</v>
      </c>
      <c r="F63" s="388">
        <f t="shared" si="2"/>
        <v>0</v>
      </c>
      <c r="G63" s="388">
        <f t="shared" si="2"/>
        <v>0</v>
      </c>
      <c r="H63" s="388">
        <f t="shared" si="2"/>
        <v>0</v>
      </c>
      <c r="I63" s="388">
        <f t="shared" si="2"/>
        <v>0</v>
      </c>
      <c r="J63" s="388">
        <f t="shared" si="2"/>
        <v>0</v>
      </c>
      <c r="K63" s="388">
        <f t="shared" si="2"/>
        <v>0</v>
      </c>
      <c r="L63" s="388">
        <f t="shared" si="2"/>
        <v>0</v>
      </c>
      <c r="M63" s="388">
        <f t="shared" si="2"/>
        <v>0</v>
      </c>
      <c r="N63" s="388">
        <f t="shared" si="2"/>
        <v>0</v>
      </c>
      <c r="O63" s="388">
        <f t="shared" si="2"/>
        <v>0</v>
      </c>
      <c r="P63" s="388">
        <f t="shared" si="2"/>
        <v>0</v>
      </c>
      <c r="Q63" s="388">
        <f t="shared" si="2"/>
        <v>0</v>
      </c>
      <c r="R63" s="388">
        <f t="shared" si="2"/>
        <v>0</v>
      </c>
      <c r="S63" s="388">
        <f t="shared" si="2"/>
        <v>-636.02040611206803</v>
      </c>
      <c r="T63" s="388">
        <f t="shared" si="2"/>
        <v>-706.91255493454128</v>
      </c>
      <c r="U63" s="388">
        <f t="shared" si="2"/>
        <v>-875.42405411292657</v>
      </c>
      <c r="V63" s="388">
        <f t="shared" si="2"/>
        <v>-1043.2467457012408</v>
      </c>
      <c r="W63" s="388">
        <f t="shared" si="2"/>
        <v>-1210.5367996000241</v>
      </c>
      <c r="X63" s="388">
        <f t="shared" si="2"/>
        <v>-1377.4482646362294</v>
      </c>
      <c r="Y63" s="388">
        <f t="shared" si="2"/>
        <v>-1544.1332262509532</v>
      </c>
      <c r="Z63" s="388">
        <f t="shared" si="2"/>
        <v>-1710.7419607872125</v>
      </c>
      <c r="AA63" s="388">
        <f t="shared" si="2"/>
        <v>-1877.4230865492136</v>
      </c>
      <c r="AB63" s="388">
        <f t="shared" si="2"/>
        <v>-2044.3237117999633</v>
      </c>
      <c r="AC63" s="388">
        <f t="shared" si="2"/>
        <v>-2211.5895798595284</v>
      </c>
      <c r="AD63" s="388">
        <f t="shared" si="2"/>
        <v>-2379.3652114620745</v>
      </c>
      <c r="AE63" s="388">
        <f t="shared" si="2"/>
        <v>-2547.7940445256554</v>
      </c>
      <c r="AF63" s="388">
        <f t="shared" si="2"/>
        <v>-2717.0185714848394</v>
      </c>
      <c r="AG63" s="388">
        <f t="shared" si="2"/>
        <v>-2887.1804743325556</v>
      </c>
      <c r="AH63" s="388">
        <f t="shared" si="2"/>
        <v>-3058.4207575139098</v>
      </c>
      <c r="AI63" s="388">
        <f t="shared" si="2"/>
        <v>-3230.8798788113781</v>
      </c>
      <c r="AJ63" s="388">
        <f t="shared" si="2"/>
        <v>-3404.6978783575323</v>
      </c>
      <c r="AK63" s="388">
        <f t="shared" si="2"/>
        <v>-3580.0145059083152</v>
      </c>
    </row>
    <row r="65" spans="1:13" x14ac:dyDescent="0.3">
      <c r="A65" s="513" t="s">
        <v>691</v>
      </c>
      <c r="B65" s="514" t="s">
        <v>606</v>
      </c>
    </row>
    <row r="66" spans="1:13" x14ac:dyDescent="0.3">
      <c r="A66" s="522" t="s">
        <v>692</v>
      </c>
      <c r="B66" s="523">
        <f>SUM(S63:AK63)</f>
        <v>-39043.171712740157</v>
      </c>
    </row>
    <row r="67" spans="1:13" x14ac:dyDescent="0.3">
      <c r="A67" s="524" t="s">
        <v>693</v>
      </c>
      <c r="B67" s="525">
        <f>SUM(Z63:AK63)</f>
        <v>-31649.44966139218</v>
      </c>
    </row>
    <row r="68" spans="1:13" x14ac:dyDescent="0.3">
      <c r="A68" s="526" t="s">
        <v>694</v>
      </c>
      <c r="B68" s="527">
        <f>SUM(Z61:AK61)</f>
        <v>190242.59359306772</v>
      </c>
    </row>
    <row r="69" spans="1:13" x14ac:dyDescent="0.3">
      <c r="A69" s="534" t="s">
        <v>695</v>
      </c>
      <c r="B69" s="535">
        <f>SUM(Z62:AK62)</f>
        <v>158593.14393167559</v>
      </c>
    </row>
    <row r="72" spans="1:13" x14ac:dyDescent="0.3">
      <c r="A72" s="531" t="s">
        <v>696</v>
      </c>
    </row>
    <row r="73" spans="1:13" ht="43.2" customHeight="1" x14ac:dyDescent="0.3">
      <c r="A73" s="734" t="s">
        <v>697</v>
      </c>
      <c r="B73" s="734"/>
      <c r="C73" s="734"/>
      <c r="D73" s="734"/>
      <c r="E73" s="734"/>
      <c r="F73" s="734"/>
      <c r="G73" s="734"/>
      <c r="H73" s="734"/>
      <c r="I73" s="734"/>
      <c r="J73" s="734"/>
      <c r="K73" s="734"/>
      <c r="L73" s="734"/>
      <c r="M73" s="734"/>
    </row>
    <row r="75" spans="1:13" x14ac:dyDescent="0.3">
      <c r="A75" s="513" t="s">
        <v>647</v>
      </c>
      <c r="B75" s="514" t="s">
        <v>606</v>
      </c>
    </row>
    <row r="76" spans="1:13" x14ac:dyDescent="0.3">
      <c r="A76" s="522" t="s">
        <v>698</v>
      </c>
      <c r="B76" s="391">
        <v>1.0999999999999999E-2</v>
      </c>
    </row>
    <row r="77" spans="1:13" x14ac:dyDescent="0.3">
      <c r="A77" s="522" t="s">
        <v>699</v>
      </c>
      <c r="B77" s="391">
        <v>7.4999999999999997E-3</v>
      </c>
    </row>
    <row r="78" spans="1:13" x14ac:dyDescent="0.3">
      <c r="A78" s="522" t="s">
        <v>648</v>
      </c>
      <c r="B78" s="392">
        <v>24</v>
      </c>
    </row>
    <row r="79" spans="1:13" x14ac:dyDescent="0.3">
      <c r="A79" s="526" t="s">
        <v>684</v>
      </c>
      <c r="B79" s="532">
        <f>'31_Inputs_UnitEconomics'!B12</f>
        <v>1800</v>
      </c>
    </row>
    <row r="80" spans="1:13" x14ac:dyDescent="0.3">
      <c r="A80" s="533" t="s">
        <v>685</v>
      </c>
      <c r="B80" s="347">
        <f>'31_Inputs_UnitEconomics'!B11/12</f>
        <v>5.0000000000000001E-3</v>
      </c>
    </row>
    <row r="82" spans="1:37" x14ac:dyDescent="0.3">
      <c r="A82" s="517" t="s">
        <v>649</v>
      </c>
    </row>
    <row r="83" spans="1:37" x14ac:dyDescent="0.3">
      <c r="A83" s="518" t="s">
        <v>650</v>
      </c>
      <c r="B83" s="519" t="str">
        <f>'41_Revenue_COGS'!B2</f>
        <v>M1</v>
      </c>
      <c r="C83" s="519" t="str">
        <f>'41_Revenue_COGS'!C2</f>
        <v>M2</v>
      </c>
      <c r="D83" s="519" t="str">
        <f>'41_Revenue_COGS'!D2</f>
        <v>M3</v>
      </c>
      <c r="E83" s="519" t="str">
        <f>'41_Revenue_COGS'!E2</f>
        <v>M4</v>
      </c>
      <c r="F83" s="519" t="str">
        <f>'41_Revenue_COGS'!F2</f>
        <v>M5</v>
      </c>
      <c r="G83" s="519" t="str">
        <f>'41_Revenue_COGS'!G2</f>
        <v>M6</v>
      </c>
      <c r="H83" s="519" t="str">
        <f>'41_Revenue_COGS'!H2</f>
        <v>M7</v>
      </c>
      <c r="I83" s="519" t="str">
        <f>'41_Revenue_COGS'!I2</f>
        <v>M8</v>
      </c>
      <c r="J83" s="519" t="str">
        <f>'41_Revenue_COGS'!J2</f>
        <v>M9</v>
      </c>
      <c r="K83" s="519" t="str">
        <f>'41_Revenue_COGS'!K2</f>
        <v>M10</v>
      </c>
      <c r="L83" s="519" t="str">
        <f>'41_Revenue_COGS'!L2</f>
        <v>M11</v>
      </c>
      <c r="M83" s="519" t="str">
        <f>'41_Revenue_COGS'!M2</f>
        <v>M12</v>
      </c>
      <c r="N83" s="519" t="str">
        <f>'41_Revenue_COGS'!N2</f>
        <v>M13</v>
      </c>
      <c r="O83" s="519" t="str">
        <f>'41_Revenue_COGS'!O2</f>
        <v>M14</v>
      </c>
      <c r="P83" s="519" t="str">
        <f>'41_Revenue_COGS'!P2</f>
        <v>M15</v>
      </c>
      <c r="Q83" s="519" t="str">
        <f>'41_Revenue_COGS'!Q2</f>
        <v>M16</v>
      </c>
      <c r="R83" s="519" t="str">
        <f>'41_Revenue_COGS'!R2</f>
        <v>M17</v>
      </c>
      <c r="S83" s="519" t="str">
        <f>'41_Revenue_COGS'!S2</f>
        <v>M18</v>
      </c>
      <c r="T83" s="519" t="str">
        <f>'41_Revenue_COGS'!T2</f>
        <v>M19</v>
      </c>
      <c r="U83" s="519" t="str">
        <f>'41_Revenue_COGS'!U2</f>
        <v>M20</v>
      </c>
      <c r="V83" s="519" t="str">
        <f>'41_Revenue_COGS'!V2</f>
        <v>M21</v>
      </c>
      <c r="W83" s="519" t="str">
        <f>'41_Revenue_COGS'!W2</f>
        <v>M22</v>
      </c>
      <c r="X83" s="519" t="str">
        <f>'41_Revenue_COGS'!X2</f>
        <v>M23</v>
      </c>
      <c r="Y83" s="519" t="str">
        <f>'41_Revenue_COGS'!Y2</f>
        <v>M24</v>
      </c>
      <c r="Z83" s="519" t="str">
        <f>'41_Revenue_COGS'!Z2</f>
        <v>M25</v>
      </c>
      <c r="AA83" s="519" t="str">
        <f>'41_Revenue_COGS'!AA2</f>
        <v>M26</v>
      </c>
      <c r="AB83" s="519" t="str">
        <f>'41_Revenue_COGS'!AB2</f>
        <v>M27</v>
      </c>
      <c r="AC83" s="519" t="str">
        <f>'41_Revenue_COGS'!AC2</f>
        <v>M28</v>
      </c>
      <c r="AD83" s="519" t="str">
        <f>'41_Revenue_COGS'!AD2</f>
        <v>M29</v>
      </c>
      <c r="AE83" s="519" t="str">
        <f>'41_Revenue_COGS'!AE2</f>
        <v>M30</v>
      </c>
      <c r="AF83" s="519" t="str">
        <f>'41_Revenue_COGS'!AF2</f>
        <v>M31</v>
      </c>
      <c r="AG83" s="519" t="str">
        <f>'41_Revenue_COGS'!AG2</f>
        <v>M32</v>
      </c>
      <c r="AH83" s="519" t="str">
        <f>'41_Revenue_COGS'!AH2</f>
        <v>M33</v>
      </c>
      <c r="AI83" s="519" t="str">
        <f>'41_Revenue_COGS'!AI2</f>
        <v>M34</v>
      </c>
      <c r="AJ83" s="519" t="str">
        <f>'41_Revenue_COGS'!AJ2</f>
        <v>M35</v>
      </c>
      <c r="AK83" s="519" t="str">
        <f>'41_Revenue_COGS'!AK2</f>
        <v>M36</v>
      </c>
    </row>
    <row r="84" spans="1:37" x14ac:dyDescent="0.3">
      <c r="A84" s="518" t="s">
        <v>686</v>
      </c>
      <c r="B84" s="389">
        <f>IF('41_Revenue_COGS'!B1&lt;$B$78,$B$76,$B$77)</f>
        <v>1.0999999999999999E-2</v>
      </c>
      <c r="C84" s="389">
        <f>IF('41_Revenue_COGS'!C1&lt;$B$78,$B$76,$B$77)</f>
        <v>1.0999999999999999E-2</v>
      </c>
      <c r="D84" s="389">
        <f>IF('41_Revenue_COGS'!D1&lt;$B$78,$B$76,$B$77)</f>
        <v>1.0999999999999999E-2</v>
      </c>
      <c r="E84" s="389">
        <f>IF('41_Revenue_COGS'!E1&lt;$B$78,$B$76,$B$77)</f>
        <v>1.0999999999999999E-2</v>
      </c>
      <c r="F84" s="389">
        <f>IF('41_Revenue_COGS'!F1&lt;$B$78,$B$76,$B$77)</f>
        <v>1.0999999999999999E-2</v>
      </c>
      <c r="G84" s="389">
        <f>IF('41_Revenue_COGS'!G1&lt;$B$78,$B$76,$B$77)</f>
        <v>1.0999999999999999E-2</v>
      </c>
      <c r="H84" s="389">
        <f>IF('41_Revenue_COGS'!H1&lt;$B$78,$B$76,$B$77)</f>
        <v>1.0999999999999999E-2</v>
      </c>
      <c r="I84" s="389">
        <f>IF('41_Revenue_COGS'!I1&lt;$B$78,$B$76,$B$77)</f>
        <v>1.0999999999999999E-2</v>
      </c>
      <c r="J84" s="389">
        <f>IF('41_Revenue_COGS'!J1&lt;$B$78,$B$76,$B$77)</f>
        <v>1.0999999999999999E-2</v>
      </c>
      <c r="K84" s="389">
        <f>IF('41_Revenue_COGS'!K1&lt;$B$78,$B$76,$B$77)</f>
        <v>1.0999999999999999E-2</v>
      </c>
      <c r="L84" s="389">
        <f>IF('41_Revenue_COGS'!L1&lt;$B$78,$B$76,$B$77)</f>
        <v>1.0999999999999999E-2</v>
      </c>
      <c r="M84" s="389">
        <f>IF('41_Revenue_COGS'!M1&lt;$B$78,$B$76,$B$77)</f>
        <v>1.0999999999999999E-2</v>
      </c>
      <c r="N84" s="389">
        <f>IF('41_Revenue_COGS'!N1&lt;$B$78,$B$76,$B$77)</f>
        <v>1.0999999999999999E-2</v>
      </c>
      <c r="O84" s="389">
        <f>IF('41_Revenue_COGS'!O1&lt;$B$78,$B$76,$B$77)</f>
        <v>1.0999999999999999E-2</v>
      </c>
      <c r="P84" s="389">
        <f>IF('41_Revenue_COGS'!P1&lt;$B$78,$B$76,$B$77)</f>
        <v>1.0999999999999999E-2</v>
      </c>
      <c r="Q84" s="389">
        <f>IF('41_Revenue_COGS'!Q1&lt;$B$78,$B$76,$B$77)</f>
        <v>1.0999999999999999E-2</v>
      </c>
      <c r="R84" s="389">
        <f>IF('41_Revenue_COGS'!R1&lt;$B$78,$B$76,$B$77)</f>
        <v>1.0999999999999999E-2</v>
      </c>
      <c r="S84" s="389">
        <f>IF('41_Revenue_COGS'!S1&lt;$B$78,$B$76,$B$77)</f>
        <v>1.0999999999999999E-2</v>
      </c>
      <c r="T84" s="389">
        <f>IF('41_Revenue_COGS'!T1&lt;$B$78,$B$76,$B$77)</f>
        <v>1.0999999999999999E-2</v>
      </c>
      <c r="U84" s="389">
        <f>IF('41_Revenue_COGS'!U1&lt;$B$78,$B$76,$B$77)</f>
        <v>1.0999999999999999E-2</v>
      </c>
      <c r="V84" s="389">
        <f>IF('41_Revenue_COGS'!V1&lt;$B$78,$B$76,$B$77)</f>
        <v>1.0999999999999999E-2</v>
      </c>
      <c r="W84" s="389">
        <f>IF('41_Revenue_COGS'!W1&lt;$B$78,$B$76,$B$77)</f>
        <v>1.0999999999999999E-2</v>
      </c>
      <c r="X84" s="389">
        <f>IF('41_Revenue_COGS'!X1&lt;$B$78,$B$76,$B$77)</f>
        <v>1.0999999999999999E-2</v>
      </c>
      <c r="Y84" s="389">
        <f>IF('41_Revenue_COGS'!Y1&lt;$B$78,$B$76,$B$77)</f>
        <v>7.4999999999999997E-3</v>
      </c>
      <c r="Z84" s="389">
        <f>IF('41_Revenue_COGS'!Z1&lt;$B$78,$B$76,$B$77)</f>
        <v>7.4999999999999997E-3</v>
      </c>
      <c r="AA84" s="389">
        <f>IF('41_Revenue_COGS'!AA1&lt;$B$78,$B$76,$B$77)</f>
        <v>7.4999999999999997E-3</v>
      </c>
      <c r="AB84" s="389">
        <f>IF('41_Revenue_COGS'!AB1&lt;$B$78,$B$76,$B$77)</f>
        <v>7.4999999999999997E-3</v>
      </c>
      <c r="AC84" s="389">
        <f>IF('41_Revenue_COGS'!AC1&lt;$B$78,$B$76,$B$77)</f>
        <v>7.4999999999999997E-3</v>
      </c>
      <c r="AD84" s="389">
        <f>IF('41_Revenue_COGS'!AD1&lt;$B$78,$B$76,$B$77)</f>
        <v>7.4999999999999997E-3</v>
      </c>
      <c r="AE84" s="389">
        <f>IF('41_Revenue_COGS'!AE1&lt;$B$78,$B$76,$B$77)</f>
        <v>7.4999999999999997E-3</v>
      </c>
      <c r="AF84" s="389">
        <f>IF('41_Revenue_COGS'!AF1&lt;$B$78,$B$76,$B$77)</f>
        <v>7.4999999999999997E-3</v>
      </c>
      <c r="AG84" s="389">
        <f>IF('41_Revenue_COGS'!AG1&lt;$B$78,$B$76,$B$77)</f>
        <v>7.4999999999999997E-3</v>
      </c>
      <c r="AH84" s="389">
        <f>IF('41_Revenue_COGS'!AH1&lt;$B$78,$B$76,$B$77)</f>
        <v>7.4999999999999997E-3</v>
      </c>
      <c r="AI84" s="389">
        <f>IF('41_Revenue_COGS'!AI1&lt;$B$78,$B$76,$B$77)</f>
        <v>7.4999999999999997E-3</v>
      </c>
      <c r="AJ84" s="389">
        <f>IF('41_Revenue_COGS'!AJ1&lt;$B$78,$B$76,$B$77)</f>
        <v>7.4999999999999997E-3</v>
      </c>
      <c r="AK84" s="389">
        <f>IF('41_Revenue_COGS'!AK1&lt;$B$78,$B$76,$B$77)</f>
        <v>7.4999999999999997E-3</v>
      </c>
    </row>
    <row r="85" spans="1:37" x14ac:dyDescent="0.3">
      <c r="A85" s="520" t="s">
        <v>687</v>
      </c>
      <c r="B85" s="390">
        <f>'41_Revenue_COGS'!B12</f>
        <v>0</v>
      </c>
      <c r="C85" s="390">
        <f>'41_Revenue_COGS'!C12</f>
        <v>0</v>
      </c>
      <c r="D85" s="390">
        <f>'41_Revenue_COGS'!D12</f>
        <v>0</v>
      </c>
      <c r="E85" s="390">
        <f>'41_Revenue_COGS'!E12</f>
        <v>0</v>
      </c>
      <c r="F85" s="390">
        <f>'41_Revenue_COGS'!F12</f>
        <v>0</v>
      </c>
      <c r="G85" s="390">
        <f>'41_Revenue_COGS'!G12</f>
        <v>0</v>
      </c>
      <c r="H85" s="390">
        <f>'41_Revenue_COGS'!H12</f>
        <v>0</v>
      </c>
      <c r="I85" s="390">
        <f>'41_Revenue_COGS'!I12</f>
        <v>0</v>
      </c>
      <c r="J85" s="390">
        <f>'41_Revenue_COGS'!J12</f>
        <v>1</v>
      </c>
      <c r="K85" s="390">
        <f>'41_Revenue_COGS'!K12</f>
        <v>1</v>
      </c>
      <c r="L85" s="390">
        <f>'41_Revenue_COGS'!L12</f>
        <v>1</v>
      </c>
      <c r="M85" s="390">
        <f>'41_Revenue_COGS'!M12</f>
        <v>1</v>
      </c>
      <c r="N85" s="390">
        <f>'41_Revenue_COGS'!N12</f>
        <v>1</v>
      </c>
      <c r="O85" s="390">
        <f>'41_Revenue_COGS'!O12</f>
        <v>1</v>
      </c>
      <c r="P85" s="390">
        <f>'41_Revenue_COGS'!P12</f>
        <v>1</v>
      </c>
      <c r="Q85" s="390">
        <f>'41_Revenue_COGS'!Q12</f>
        <v>1</v>
      </c>
      <c r="R85" s="390">
        <f>'41_Revenue_COGS'!R12</f>
        <v>1</v>
      </c>
      <c r="S85" s="390">
        <f>'41_Revenue_COGS'!S12</f>
        <v>1</v>
      </c>
      <c r="T85" s="390">
        <f>'41_Revenue_COGS'!T12</f>
        <v>1</v>
      </c>
      <c r="U85" s="390">
        <f>'41_Revenue_COGS'!U12</f>
        <v>1</v>
      </c>
      <c r="V85" s="390">
        <f>'41_Revenue_COGS'!V12</f>
        <v>1</v>
      </c>
      <c r="W85" s="390">
        <f>'41_Revenue_COGS'!W12</f>
        <v>1</v>
      </c>
      <c r="X85" s="390">
        <f>'41_Revenue_COGS'!X12</f>
        <v>1</v>
      </c>
      <c r="Y85" s="390">
        <f>'41_Revenue_COGS'!Y12</f>
        <v>1</v>
      </c>
      <c r="Z85" s="390">
        <f>'41_Revenue_COGS'!Z12</f>
        <v>1</v>
      </c>
      <c r="AA85" s="390">
        <f>'41_Revenue_COGS'!AA12</f>
        <v>1</v>
      </c>
      <c r="AB85" s="390">
        <f>'41_Revenue_COGS'!AB12</f>
        <v>1</v>
      </c>
      <c r="AC85" s="390">
        <f>'41_Revenue_COGS'!AC12</f>
        <v>1</v>
      </c>
      <c r="AD85" s="390">
        <f>'41_Revenue_COGS'!AD12</f>
        <v>1</v>
      </c>
      <c r="AE85" s="390">
        <f>'41_Revenue_COGS'!AE12</f>
        <v>1</v>
      </c>
      <c r="AF85" s="390">
        <f>'41_Revenue_COGS'!AF12</f>
        <v>1</v>
      </c>
      <c r="AG85" s="390">
        <f>'41_Revenue_COGS'!AG12</f>
        <v>1</v>
      </c>
      <c r="AH85" s="390">
        <f>'41_Revenue_COGS'!AH12</f>
        <v>1</v>
      </c>
      <c r="AI85" s="390">
        <f>'41_Revenue_COGS'!AI12</f>
        <v>1</v>
      </c>
      <c r="AJ85" s="390">
        <f>'41_Revenue_COGS'!AJ12</f>
        <v>1</v>
      </c>
      <c r="AK85" s="390">
        <f>'41_Revenue_COGS'!AK12</f>
        <v>1</v>
      </c>
    </row>
    <row r="86" spans="1:37" x14ac:dyDescent="0.3">
      <c r="A86" s="518" t="s">
        <v>688</v>
      </c>
      <c r="B86" s="387">
        <f>'40_Customers_Orders'!B8*$B$80*$B$79*$B$76*B85</f>
        <v>0</v>
      </c>
      <c r="C86" s="387">
        <f>'40_Customers_Orders'!C8*$B$80*$B$79*$B$76*C85</f>
        <v>0</v>
      </c>
      <c r="D86" s="387">
        <f>'40_Customers_Orders'!D8*$B$80*$B$79*$B$76*D85</f>
        <v>0</v>
      </c>
      <c r="E86" s="387">
        <f>'40_Customers_Orders'!E8*$B$80*$B$79*$B$76*E85</f>
        <v>0</v>
      </c>
      <c r="F86" s="387">
        <f>'40_Customers_Orders'!F8*$B$80*$B$79*$B$76*F85</f>
        <v>0</v>
      </c>
      <c r="G86" s="387">
        <f>'40_Customers_Orders'!G8*$B$80*$B$79*$B$76*G85</f>
        <v>0</v>
      </c>
      <c r="H86" s="387">
        <f>'40_Customers_Orders'!H8*$B$80*$B$79*$B$76*H85</f>
        <v>0</v>
      </c>
      <c r="I86" s="387">
        <f>'40_Customers_Orders'!I8*$B$80*$B$79*$B$76*I85</f>
        <v>0</v>
      </c>
      <c r="J86" s="387">
        <f>'40_Customers_Orders'!J8*$B$80*$B$79*$B$76*J85</f>
        <v>933.89192581198904</v>
      </c>
      <c r="K86" s="387">
        <f>'40_Customers_Orders'!K8*$B$80*$B$79*$B$76*K85</f>
        <v>1044.3762064360524</v>
      </c>
      <c r="L86" s="387">
        <f>'40_Customers_Orders'!L8*$B$80*$B$79*$B$76*L85</f>
        <v>1156.5302988187595</v>
      </c>
      <c r="M86" s="387">
        <f>'40_Customers_Orders'!M8*$B$80*$B$79*$B$76*M85</f>
        <v>1270.4444583937536</v>
      </c>
      <c r="N86" s="387">
        <f>'40_Customers_Orders'!N8*$B$80*$B$79*$B$76*N85</f>
        <v>1697.3200870430883</v>
      </c>
      <c r="O86" s="387">
        <f>'40_Customers_Orders'!O8*$B$80*$B$79*$B$76*O85</f>
        <v>2123.0989057366164</v>
      </c>
      <c r="P86" s="387">
        <f>'40_Customers_Orders'!P8*$B$80*$B$79*$B$76*P85</f>
        <v>2548.1757439340113</v>
      </c>
      <c r="Q86" s="387">
        <f>'40_Customers_Orders'!Q8*$B$80*$B$79*$B$76*Q85</f>
        <v>2972.9406617055483</v>
      </c>
      <c r="R86" s="387">
        <f>'40_Customers_Orders'!R8*$B$80*$B$79*$B$76*R85</f>
        <v>3397.7793427449128</v>
      </c>
      <c r="S86" s="387">
        <f>'40_Customers_Orders'!S8*$B$80*$B$79*$B$76*S85</f>
        <v>3823.0734793621573</v>
      </c>
      <c r="T86" s="387">
        <f>'40_Customers_Orders'!T8*$B$80*$B$79*$B$76*T85</f>
        <v>4249.2011498797556</v>
      </c>
      <c r="U86" s="387">
        <f>'40_Customers_Orders'!U8*$B$80*$B$79*$B$76*U85</f>
        <v>5262.1118006787956</v>
      </c>
      <c r="V86" s="387">
        <f>'40_Customers_Orders'!V8*$B$80*$B$79*$B$76*V85</f>
        <v>6270.8820779855987</v>
      </c>
      <c r="W86" s="387">
        <f>'40_Customers_Orders'!W8*$B$80*$B$79*$B$76*W85</f>
        <v>7276.4507079782852</v>
      </c>
      <c r="X86" s="387">
        <f>'40_Customers_Orders'!X8*$B$80*$B$79*$B$76*X85</f>
        <v>8279.7436672123058</v>
      </c>
      <c r="Y86" s="387">
        <f>'40_Customers_Orders'!Y8*$B$80*$B$79*$B$76*Y85</f>
        <v>9281.675130470212</v>
      </c>
      <c r="Z86" s="387">
        <f>'40_Customers_Orders'!Z8*$B$80*$B$79*$B$76*Z85</f>
        <v>10283.148398174499</v>
      </c>
      <c r="AA86" s="387">
        <f>'40_Customers_Orders'!AA8*$B$80*$B$79*$B$76*AA85</f>
        <v>11285.056804394184</v>
      </c>
      <c r="AB86" s="387">
        <f>'40_Customers_Orders'!AB8*$B$80*$B$79*$B$76*AB85</f>
        <v>12288.284606447869</v>
      </c>
      <c r="AC86" s="387">
        <f>'40_Customers_Orders'!AC8*$B$80*$B$79*$B$76*AC85</f>
        <v>13293.707857079131</v>
      </c>
      <c r="AD86" s="387">
        <f>'40_Customers_Orders'!AD8*$B$80*$B$79*$B$76*AD85</f>
        <v>14302.195260154544</v>
      </c>
      <c r="AE86" s="387">
        <f>'40_Customers_Orders'!AE8*$B$80*$B$79*$B$76*AE85</f>
        <v>15314.609010809945</v>
      </c>
      <c r="AF86" s="387">
        <f>'40_Customers_Orders'!AF8*$B$80*$B$79*$B$76*AF85</f>
        <v>16331.805620947123</v>
      </c>
      <c r="AG86" s="387">
        <f>'40_Customers_Orders'!AG8*$B$80*$B$79*$B$76*AG85</f>
        <v>17354.636730960723</v>
      </c>
      <c r="AH86" s="387">
        <f>'40_Customers_Orders'!AH8*$B$80*$B$79*$B$76*AH85</f>
        <v>18383.949908553554</v>
      </c>
      <c r="AI86" s="387">
        <f>'40_Customers_Orders'!AI8*$B$80*$B$79*$B$76*AI85</f>
        <v>19420.589435478232</v>
      </c>
      <c r="AJ86" s="387">
        <f>'40_Customers_Orders'!AJ8*$B$80*$B$79*$B$76*AJ85</f>
        <v>20465.397083023432</v>
      </c>
      <c r="AK86" s="387">
        <f>'40_Customers_Orders'!AK8*$B$80*$B$79*$B$76*AK85</f>
        <v>21519.212877044512</v>
      </c>
    </row>
    <row r="87" spans="1:37" x14ac:dyDescent="0.3">
      <c r="A87" s="518" t="s">
        <v>689</v>
      </c>
      <c r="B87" s="387">
        <f>'40_Customers_Orders'!B8*$B$80*$B$79*B84*B85</f>
        <v>0</v>
      </c>
      <c r="C87" s="387">
        <f>'40_Customers_Orders'!C8*$B$80*$B$79*C84*C85</f>
        <v>0</v>
      </c>
      <c r="D87" s="387">
        <f>'40_Customers_Orders'!D8*$B$80*$B$79*D84*D85</f>
        <v>0</v>
      </c>
      <c r="E87" s="387">
        <f>'40_Customers_Orders'!E8*$B$80*$B$79*E84*E85</f>
        <v>0</v>
      </c>
      <c r="F87" s="387">
        <f>'40_Customers_Orders'!F8*$B$80*$B$79*F84*F85</f>
        <v>0</v>
      </c>
      <c r="G87" s="387">
        <f>'40_Customers_Orders'!G8*$B$80*$B$79*G84*G85</f>
        <v>0</v>
      </c>
      <c r="H87" s="387">
        <f>'40_Customers_Orders'!H8*$B$80*$B$79*H84*H85</f>
        <v>0</v>
      </c>
      <c r="I87" s="387">
        <f>'40_Customers_Orders'!I8*$B$80*$B$79*I84*I85</f>
        <v>0</v>
      </c>
      <c r="J87" s="387">
        <f>'40_Customers_Orders'!J8*$B$80*$B$79*J84*J85</f>
        <v>933.89192581198904</v>
      </c>
      <c r="K87" s="387">
        <f>'40_Customers_Orders'!K8*$B$80*$B$79*K84*K85</f>
        <v>1044.3762064360524</v>
      </c>
      <c r="L87" s="387">
        <f>'40_Customers_Orders'!L8*$B$80*$B$79*L84*L85</f>
        <v>1156.5302988187595</v>
      </c>
      <c r="M87" s="387">
        <f>'40_Customers_Orders'!M8*$B$80*$B$79*M84*M85</f>
        <v>1270.4444583937536</v>
      </c>
      <c r="N87" s="387">
        <f>'40_Customers_Orders'!N8*$B$80*$B$79*N84*N85</f>
        <v>1697.3200870430883</v>
      </c>
      <c r="O87" s="387">
        <f>'40_Customers_Orders'!O8*$B$80*$B$79*O84*O85</f>
        <v>2123.0989057366164</v>
      </c>
      <c r="P87" s="387">
        <f>'40_Customers_Orders'!P8*$B$80*$B$79*P84*P85</f>
        <v>2548.1757439340113</v>
      </c>
      <c r="Q87" s="387">
        <f>'40_Customers_Orders'!Q8*$B$80*$B$79*Q84*Q85</f>
        <v>2972.9406617055483</v>
      </c>
      <c r="R87" s="387">
        <f>'40_Customers_Orders'!R8*$B$80*$B$79*R84*R85</f>
        <v>3397.7793427449128</v>
      </c>
      <c r="S87" s="387">
        <f>'40_Customers_Orders'!S8*$B$80*$B$79*S84*S85</f>
        <v>3823.0734793621573</v>
      </c>
      <c r="T87" s="387">
        <f>'40_Customers_Orders'!T8*$B$80*$B$79*T84*T85</f>
        <v>4249.2011498797556</v>
      </c>
      <c r="U87" s="387">
        <f>'40_Customers_Orders'!U8*$B$80*$B$79*U84*U85</f>
        <v>5262.1118006787956</v>
      </c>
      <c r="V87" s="387">
        <f>'40_Customers_Orders'!V8*$B$80*$B$79*V84*V85</f>
        <v>6270.8820779855987</v>
      </c>
      <c r="W87" s="387">
        <f>'40_Customers_Orders'!W8*$B$80*$B$79*W84*W85</f>
        <v>7276.4507079782852</v>
      </c>
      <c r="X87" s="387">
        <f>'40_Customers_Orders'!X8*$B$80*$B$79*X84*X85</f>
        <v>8279.7436672123058</v>
      </c>
      <c r="Y87" s="387">
        <f>'40_Customers_Orders'!Y8*$B$80*$B$79*Y84*Y85</f>
        <v>6328.4148616842358</v>
      </c>
      <c r="Z87" s="387">
        <f>'40_Customers_Orders'!Z8*$B$80*$B$79*Z84*Z85</f>
        <v>7011.2375442098846</v>
      </c>
      <c r="AA87" s="387">
        <f>'40_Customers_Orders'!AA8*$B$80*$B$79*AA84*AA85</f>
        <v>7694.3569120869442</v>
      </c>
      <c r="AB87" s="387">
        <f>'40_Customers_Orders'!AB8*$B$80*$B$79*AB84*AB85</f>
        <v>8378.3758680326373</v>
      </c>
      <c r="AC87" s="387">
        <f>'40_Customers_Orders'!AC8*$B$80*$B$79*AC84*AC85</f>
        <v>9063.8917207357717</v>
      </c>
      <c r="AD87" s="387">
        <f>'40_Customers_Orders'!AD8*$B$80*$B$79*AD84*AD85</f>
        <v>9751.4967682871884</v>
      </c>
      <c r="AE87" s="387">
        <f>'40_Customers_Orders'!AE8*$B$80*$B$79*AE84*AE85</f>
        <v>10441.778871006782</v>
      </c>
      <c r="AF87" s="387">
        <f>'40_Customers_Orders'!AF8*$B$80*$B$79*AF84*AF85</f>
        <v>11135.32201428213</v>
      </c>
      <c r="AG87" s="387">
        <f>'40_Customers_Orders'!AG8*$B$80*$B$79*AG84*AG85</f>
        <v>11832.706862018675</v>
      </c>
      <c r="AH87" s="387">
        <f>'40_Customers_Orders'!AH8*$B$80*$B$79*AH84*AH85</f>
        <v>12534.511301286513</v>
      </c>
      <c r="AI87" s="387">
        <f>'40_Customers_Orders'!AI8*$B$80*$B$79*AI84*AI85</f>
        <v>13241.31097873516</v>
      </c>
      <c r="AJ87" s="387">
        <f>'40_Customers_Orders'!AJ8*$B$80*$B$79*AJ84*AJ85</f>
        <v>13953.67982933416</v>
      </c>
      <c r="AK87" s="387">
        <f>'40_Customers_Orders'!AK8*$B$80*$B$79*AK84*AK85</f>
        <v>14672.190597984894</v>
      </c>
    </row>
    <row r="88" spans="1:37" x14ac:dyDescent="0.3">
      <c r="A88" s="521" t="s">
        <v>690</v>
      </c>
      <c r="B88" s="388">
        <f>B87-B86</f>
        <v>0</v>
      </c>
      <c r="C88" s="388">
        <f t="shared" ref="C88:AK88" si="3">C87-C86</f>
        <v>0</v>
      </c>
      <c r="D88" s="388">
        <f t="shared" si="3"/>
        <v>0</v>
      </c>
      <c r="E88" s="388">
        <f t="shared" si="3"/>
        <v>0</v>
      </c>
      <c r="F88" s="388">
        <f t="shared" si="3"/>
        <v>0</v>
      </c>
      <c r="G88" s="388">
        <f t="shared" si="3"/>
        <v>0</v>
      </c>
      <c r="H88" s="388">
        <f t="shared" si="3"/>
        <v>0</v>
      </c>
      <c r="I88" s="388">
        <f t="shared" si="3"/>
        <v>0</v>
      </c>
      <c r="J88" s="388">
        <f t="shared" si="3"/>
        <v>0</v>
      </c>
      <c r="K88" s="388">
        <f t="shared" si="3"/>
        <v>0</v>
      </c>
      <c r="L88" s="388">
        <f t="shared" si="3"/>
        <v>0</v>
      </c>
      <c r="M88" s="388">
        <f t="shared" si="3"/>
        <v>0</v>
      </c>
      <c r="N88" s="388">
        <f t="shared" si="3"/>
        <v>0</v>
      </c>
      <c r="O88" s="388">
        <f t="shared" si="3"/>
        <v>0</v>
      </c>
      <c r="P88" s="388">
        <f t="shared" si="3"/>
        <v>0</v>
      </c>
      <c r="Q88" s="388">
        <f t="shared" si="3"/>
        <v>0</v>
      </c>
      <c r="R88" s="388">
        <f t="shared" si="3"/>
        <v>0</v>
      </c>
      <c r="S88" s="388">
        <f t="shared" si="3"/>
        <v>0</v>
      </c>
      <c r="T88" s="388">
        <f t="shared" si="3"/>
        <v>0</v>
      </c>
      <c r="U88" s="388">
        <f t="shared" si="3"/>
        <v>0</v>
      </c>
      <c r="V88" s="388">
        <f t="shared" si="3"/>
        <v>0</v>
      </c>
      <c r="W88" s="388">
        <f t="shared" si="3"/>
        <v>0</v>
      </c>
      <c r="X88" s="388">
        <f t="shared" si="3"/>
        <v>0</v>
      </c>
      <c r="Y88" s="388">
        <f t="shared" si="3"/>
        <v>-2953.2602687859762</v>
      </c>
      <c r="Z88" s="388">
        <f t="shared" si="3"/>
        <v>-3271.910853964614</v>
      </c>
      <c r="AA88" s="388">
        <f t="shared" si="3"/>
        <v>-3590.6998923072397</v>
      </c>
      <c r="AB88" s="388">
        <f t="shared" si="3"/>
        <v>-3909.9087384152317</v>
      </c>
      <c r="AC88" s="388">
        <f t="shared" si="3"/>
        <v>-4229.8161363433592</v>
      </c>
      <c r="AD88" s="388">
        <f t="shared" si="3"/>
        <v>-4550.6984918673552</v>
      </c>
      <c r="AE88" s="388">
        <f t="shared" si="3"/>
        <v>-4872.8301398031635</v>
      </c>
      <c r="AF88" s="388">
        <f t="shared" si="3"/>
        <v>-5196.4836066649932</v>
      </c>
      <c r="AG88" s="388">
        <f t="shared" si="3"/>
        <v>-5521.9298689420484</v>
      </c>
      <c r="AH88" s="388">
        <f t="shared" si="3"/>
        <v>-5849.4386072670404</v>
      </c>
      <c r="AI88" s="388">
        <f t="shared" si="3"/>
        <v>-6179.2784567430717</v>
      </c>
      <c r="AJ88" s="388">
        <f t="shared" si="3"/>
        <v>-6511.7172536892722</v>
      </c>
      <c r="AK88" s="388">
        <f t="shared" si="3"/>
        <v>-6847.0222790596181</v>
      </c>
    </row>
    <row r="90" spans="1:37" x14ac:dyDescent="0.3">
      <c r="A90" s="513" t="s">
        <v>700</v>
      </c>
      <c r="B90" s="514" t="s">
        <v>606</v>
      </c>
    </row>
    <row r="91" spans="1:37" x14ac:dyDescent="0.3">
      <c r="A91" s="522" t="s">
        <v>701</v>
      </c>
      <c r="B91" s="523">
        <f>SUM(Y88:AK88)</f>
        <v>-63484.994593852985</v>
      </c>
    </row>
    <row r="92" spans="1:37" x14ac:dyDescent="0.3">
      <c r="A92" s="524" t="s">
        <v>693</v>
      </c>
      <c r="B92" s="525">
        <f>SUM(Z88:AK88)</f>
        <v>-60531.734325067009</v>
      </c>
    </row>
    <row r="93" spans="1:37" x14ac:dyDescent="0.3">
      <c r="A93" s="526" t="s">
        <v>694</v>
      </c>
      <c r="B93" s="527">
        <f>SUM(Z86:AK86)</f>
        <v>190242.59359306772</v>
      </c>
    </row>
    <row r="94" spans="1:37" x14ac:dyDescent="0.3">
      <c r="A94" s="534" t="s">
        <v>695</v>
      </c>
      <c r="B94" s="535">
        <f>SUM(Z87:AK87)</f>
        <v>129710.85926800074</v>
      </c>
    </row>
  </sheetData>
  <mergeCells count="4">
    <mergeCell ref="A73:M73"/>
    <mergeCell ref="A48:N48"/>
    <mergeCell ref="A13:M13"/>
    <mergeCell ref="A17:M17"/>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3096D7-09D6-4598-AC53-FEDE7D465DCB}">
  <sheetPr>
    <tabColor rgb="FF1F3864"/>
  </sheetPr>
  <dimension ref="A1:K27"/>
  <sheetViews>
    <sheetView showGridLines="0" workbookViewId="0">
      <pane ySplit="2" topLeftCell="A3" activePane="bottomLeft" state="frozen"/>
      <selection pane="bottomLeft" activeCell="G13" sqref="G13"/>
    </sheetView>
  </sheetViews>
  <sheetFormatPr defaultRowHeight="14.4" x14ac:dyDescent="0.3"/>
  <cols>
    <col min="1" max="1" width="24" customWidth="1"/>
    <col min="2" max="4" width="13.6640625" bestFit="1" customWidth="1"/>
    <col min="5" max="5" width="20.33203125" bestFit="1" customWidth="1"/>
    <col min="6" max="6" width="15.6640625" bestFit="1" customWidth="1"/>
  </cols>
  <sheetData>
    <row r="1" spans="1:6" ht="24" customHeight="1" thickBot="1" x14ac:dyDescent="0.35">
      <c r="A1" s="183" t="s">
        <v>211</v>
      </c>
      <c r="B1" s="140" t="s">
        <v>54</v>
      </c>
      <c r="C1" s="141" t="s">
        <v>53</v>
      </c>
      <c r="D1" s="140" t="s">
        <v>55</v>
      </c>
      <c r="E1" s="536" t="str">
        <f>"Live ("&amp;'01_Dashboard'!$B$29&amp;")"</f>
        <v>Live (Base)</v>
      </c>
      <c r="F1" s="77"/>
    </row>
    <row r="2" spans="1:6" ht="15" thickBot="1" x14ac:dyDescent="0.35">
      <c r="A2" s="537" t="s">
        <v>212</v>
      </c>
      <c r="B2" s="139"/>
      <c r="C2" s="538"/>
      <c r="D2" s="457"/>
      <c r="E2" s="166"/>
      <c r="F2" s="77"/>
    </row>
    <row r="3" spans="1:6" x14ac:dyDescent="0.3">
      <c r="A3" s="539" t="s">
        <v>216</v>
      </c>
      <c r="B3" s="540">
        <v>17389178.21719658</v>
      </c>
      <c r="C3" s="541">
        <v>46392969.928560875</v>
      </c>
      <c r="D3" s="540">
        <v>74959127.127218992</v>
      </c>
      <c r="E3" s="540">
        <f>'10_Income_Statement'!AN3</f>
        <v>46392969.928560875</v>
      </c>
      <c r="F3" s="77"/>
    </row>
    <row r="4" spans="1:6" x14ac:dyDescent="0.3">
      <c r="A4" s="542" t="s">
        <v>217</v>
      </c>
      <c r="B4" s="543">
        <v>14281929.723163756</v>
      </c>
      <c r="C4" s="544">
        <v>34306211.832317397</v>
      </c>
      <c r="D4" s="543">
        <v>52444969.141447172</v>
      </c>
      <c r="E4" s="543">
        <f>'03_KPIs'!AK5</f>
        <v>34306211.832317397</v>
      </c>
      <c r="F4" s="77"/>
    </row>
    <row r="5" spans="1:6" ht="15" thickBot="1" x14ac:dyDescent="0.35">
      <c r="A5" s="545" t="s">
        <v>218</v>
      </c>
      <c r="B5" s="232">
        <v>92203.930306916591</v>
      </c>
      <c r="C5" s="233">
        <v>217365.78663681325</v>
      </c>
      <c r="D5" s="232">
        <v>327177.36765201611</v>
      </c>
      <c r="E5" s="232">
        <f>'40_Customers_Orders'!AK8</f>
        <v>217365.78663681325</v>
      </c>
      <c r="F5" s="77"/>
    </row>
    <row r="6" spans="1:6" ht="15" thickBot="1" x14ac:dyDescent="0.35">
      <c r="A6" s="546" t="s">
        <v>213</v>
      </c>
      <c r="B6" s="135"/>
      <c r="C6" s="547"/>
      <c r="D6" s="548"/>
      <c r="E6" s="166"/>
      <c r="F6" s="77"/>
    </row>
    <row r="7" spans="1:6" x14ac:dyDescent="0.3">
      <c r="A7" s="542" t="s">
        <v>221</v>
      </c>
      <c r="B7" s="318">
        <v>0.79890216561353966</v>
      </c>
      <c r="C7" s="319">
        <v>0.81360558224268542</v>
      </c>
      <c r="D7" s="318">
        <v>0.81571838935565155</v>
      </c>
      <c r="E7" s="320">
        <f>'03_KPIs'!AN10</f>
        <v>0.81360558224268542</v>
      </c>
      <c r="F7" s="77"/>
    </row>
    <row r="8" spans="1:6" x14ac:dyDescent="0.3">
      <c r="A8" s="542" t="s">
        <v>222</v>
      </c>
      <c r="B8" s="321">
        <v>-1.4058057484693987</v>
      </c>
      <c r="C8" s="322">
        <v>-0.23287445785008232</v>
      </c>
      <c r="D8" s="321">
        <v>7.8667703374177861E-2</v>
      </c>
      <c r="E8" s="323">
        <f>'03_KPIs'!AN11</f>
        <v>-0.23287445785008232</v>
      </c>
      <c r="F8" s="77"/>
    </row>
    <row r="9" spans="1:6" ht="15" thickBot="1" x14ac:dyDescent="0.35">
      <c r="A9" s="545" t="s">
        <v>223</v>
      </c>
      <c r="B9" s="549">
        <v>-25406496.189317454</v>
      </c>
      <c r="C9" s="550">
        <v>-11764427.210592443</v>
      </c>
      <c r="D9" s="549">
        <v>4777061.1697078384</v>
      </c>
      <c r="E9" s="549">
        <f>'10_Income_Statement'!AN15</f>
        <v>-11764427.210592443</v>
      </c>
      <c r="F9" s="77"/>
    </row>
    <row r="10" spans="1:6" ht="15" thickBot="1" x14ac:dyDescent="0.35">
      <c r="A10" s="551" t="s">
        <v>219</v>
      </c>
      <c r="B10" s="552"/>
      <c r="C10" s="553"/>
      <c r="D10" s="554"/>
      <c r="E10" s="166"/>
      <c r="F10" s="77"/>
    </row>
    <row r="11" spans="1:6" x14ac:dyDescent="0.3">
      <c r="A11" s="542" t="s">
        <v>224</v>
      </c>
      <c r="B11" s="234">
        <v>30.637489749128385</v>
      </c>
      <c r="C11" s="235">
        <v>8.0012589083211996</v>
      </c>
      <c r="D11" s="236">
        <v>4.4105579610616887</v>
      </c>
      <c r="E11" s="234">
        <f>'03_KPIs'!M13</f>
        <v>8.0012589083211996</v>
      </c>
      <c r="F11" s="77"/>
    </row>
    <row r="12" spans="1:6" x14ac:dyDescent="0.3">
      <c r="A12" s="542" t="s">
        <v>225</v>
      </c>
      <c r="B12" s="338">
        <v>2.8514273291652867</v>
      </c>
      <c r="C12" s="339">
        <v>5.3070258503542842</v>
      </c>
      <c r="D12" s="340">
        <v>7.9470848956702236</v>
      </c>
      <c r="E12" s="340">
        <f>'03_KPIs'!M9</f>
        <v>5.3070258503542842</v>
      </c>
      <c r="F12" s="77"/>
    </row>
    <row r="13" spans="1:6" ht="15" thickBot="1" x14ac:dyDescent="0.35">
      <c r="A13" s="545" t="s">
        <v>226</v>
      </c>
      <c r="B13" s="330">
        <v>7.4222551448353462</v>
      </c>
      <c r="C13" s="331">
        <v>5.3836987753736318</v>
      </c>
      <c r="D13" s="330">
        <v>4.4940108458818369</v>
      </c>
      <c r="E13" s="330">
        <f>'03_KPIs'!M8</f>
        <v>5.3836987753736318</v>
      </c>
      <c r="F13" s="77"/>
    </row>
    <row r="14" spans="1:6" ht="15" thickBot="1" x14ac:dyDescent="0.35">
      <c r="A14" s="485" t="s">
        <v>214</v>
      </c>
      <c r="B14" s="552"/>
      <c r="C14" s="553"/>
      <c r="D14" s="554"/>
      <c r="E14" s="554"/>
      <c r="F14" s="77"/>
    </row>
    <row r="15" spans="1:6" x14ac:dyDescent="0.3">
      <c r="A15" s="539" t="s">
        <v>229</v>
      </c>
      <c r="B15" s="332">
        <v>8.5441093407833666</v>
      </c>
      <c r="C15" s="333">
        <v>8.7086900851378157</v>
      </c>
      <c r="D15" s="332">
        <v>9.4661992831495638</v>
      </c>
      <c r="E15" s="332" cm="1">
        <f t="array" ref="E15">INDEX('03_KPIs'!$B$14:$AK$14,1,'36_Inputs_Funding'!$B$13)</f>
        <v>8.7086900851378157</v>
      </c>
      <c r="F15" s="77"/>
    </row>
    <row r="16" spans="1:6" x14ac:dyDescent="0.3">
      <c r="A16" s="542" t="s">
        <v>230</v>
      </c>
      <c r="B16" s="543">
        <v>2856040.8649956179</v>
      </c>
      <c r="C16" s="544">
        <v>2729684.1334284358</v>
      </c>
      <c r="D16" s="543">
        <v>2791042.6452552145</v>
      </c>
      <c r="E16" s="543">
        <f>MIN('12_Balance Sheet'!$B$4:INDEX('12_Balance Sheet'!$B$4:$AK$4,1,'36_Inputs_Funding'!$B$13))</f>
        <v>2729684.1334284358</v>
      </c>
      <c r="F16" s="77"/>
    </row>
    <row r="17" spans="1:11" x14ac:dyDescent="0.3">
      <c r="A17" s="542" t="s">
        <v>227</v>
      </c>
      <c r="B17" s="709">
        <v>36</v>
      </c>
      <c r="C17" s="710" t="s">
        <v>809</v>
      </c>
      <c r="D17" s="709" t="s">
        <v>809</v>
      </c>
      <c r="E17" s="708" t="str" cm="1">
        <f t="array" ref="E17">IFERROR(MATCH(TRUE,'12_Balance Sheet'!$B$4:$AK$4&lt;0,0),"Never")</f>
        <v>Never</v>
      </c>
      <c r="F17" s="77"/>
    </row>
    <row r="18" spans="1:11" ht="15" thickBot="1" x14ac:dyDescent="0.35">
      <c r="A18" s="545" t="s">
        <v>231</v>
      </c>
      <c r="B18" s="549">
        <v>13145405.490037238</v>
      </c>
      <c r="C18" s="550">
        <v>12874133.930565173</v>
      </c>
      <c r="D18" s="549">
        <v>12995596.981099114</v>
      </c>
      <c r="E18" s="549">
        <f>'12_Balance Sheet'!M4</f>
        <v>12874133.930565173</v>
      </c>
      <c r="F18" s="77"/>
    </row>
    <row r="19" spans="1:11" ht="15" thickBot="1" x14ac:dyDescent="0.35">
      <c r="A19" s="555" t="s">
        <v>631</v>
      </c>
      <c r="B19" s="132"/>
      <c r="C19" s="46"/>
      <c r="D19" s="556"/>
      <c r="E19" s="129"/>
      <c r="F19" s="77"/>
    </row>
    <row r="20" spans="1:11" ht="27.6" x14ac:dyDescent="0.3">
      <c r="A20" s="743" t="s">
        <v>645</v>
      </c>
      <c r="B20" s="324">
        <v>0.5529385138388716</v>
      </c>
      <c r="C20" s="325">
        <v>0.34268743947947766</v>
      </c>
      <c r="D20" s="324">
        <v>0.2565328937754201</v>
      </c>
      <c r="E20" s="320">
        <f>1-'02_Valuation'!C47</f>
        <v>0.34268743947947766</v>
      </c>
      <c r="F20" s="77"/>
    </row>
    <row r="21" spans="1:11" ht="15" thickBot="1" x14ac:dyDescent="0.35">
      <c r="A21" s="545" t="s">
        <v>228</v>
      </c>
      <c r="B21" s="549">
        <v>4436799.8465276919</v>
      </c>
      <c r="C21" s="550">
        <v>-2274006.3020740934</v>
      </c>
      <c r="D21" s="549">
        <v>-12867075.796624165</v>
      </c>
      <c r="E21" s="549">
        <f>'03_KPIs'!AN15</f>
        <v>-2274006.3020740934</v>
      </c>
      <c r="F21" s="77"/>
    </row>
    <row r="22" spans="1:11" x14ac:dyDescent="0.3">
      <c r="A22" s="46"/>
      <c r="B22" s="46"/>
      <c r="C22" s="46"/>
      <c r="D22" s="46"/>
      <c r="E22" s="46"/>
      <c r="F22" s="77"/>
    </row>
    <row r="23" spans="1:11" x14ac:dyDescent="0.3">
      <c r="A23" s="46"/>
      <c r="B23" s="46"/>
      <c r="C23" s="46"/>
      <c r="D23" s="46"/>
      <c r="E23" s="77" t="s">
        <v>519</v>
      </c>
      <c r="F23" s="393">
        <f ca="1">NOW()</f>
        <v>46177.840998263891</v>
      </c>
    </row>
    <row r="24" spans="1:11" x14ac:dyDescent="0.3">
      <c r="A24" s="557" t="s">
        <v>382</v>
      </c>
      <c r="B24" s="46"/>
      <c r="C24" s="46"/>
      <c r="D24" s="46"/>
      <c r="E24" s="46"/>
      <c r="F24" s="77"/>
    </row>
    <row r="25" spans="1:11" ht="26.4" customHeight="1" x14ac:dyDescent="0.3">
      <c r="A25" s="736" t="s">
        <v>731</v>
      </c>
      <c r="B25" s="736"/>
      <c r="C25" s="736"/>
      <c r="D25" s="736"/>
      <c r="E25" s="736"/>
      <c r="F25" s="736"/>
      <c r="G25" s="736"/>
      <c r="H25" s="736"/>
      <c r="I25" s="736"/>
      <c r="J25" s="736"/>
      <c r="K25" s="736"/>
    </row>
    <row r="26" spans="1:11" ht="27" customHeight="1" x14ac:dyDescent="0.3">
      <c r="A26" s="736" t="s">
        <v>520</v>
      </c>
      <c r="B26" s="736"/>
      <c r="C26" s="736"/>
      <c r="D26" s="736"/>
      <c r="E26" s="736"/>
      <c r="F26" s="736"/>
      <c r="G26" s="736"/>
      <c r="H26" s="736"/>
      <c r="I26" s="736"/>
      <c r="J26" s="736"/>
      <c r="K26" s="736"/>
    </row>
    <row r="27" spans="1:11" x14ac:dyDescent="0.3">
      <c r="A27" s="736" t="s">
        <v>383</v>
      </c>
      <c r="B27" s="736"/>
      <c r="C27" s="736"/>
      <c r="D27" s="736"/>
      <c r="E27" s="736"/>
      <c r="F27" s="736"/>
      <c r="G27" s="736"/>
      <c r="H27" s="736"/>
      <c r="I27" s="736"/>
      <c r="J27" s="736"/>
      <c r="K27" s="736"/>
    </row>
  </sheetData>
  <mergeCells count="3">
    <mergeCell ref="A25:K25"/>
    <mergeCell ref="A26:K26"/>
    <mergeCell ref="A27:K27"/>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C2137-A509-4C5B-B089-0030A1EEE421}">
  <sheetPr>
    <tabColor rgb="FF2E8B8B"/>
  </sheetPr>
  <dimension ref="A1:AK100"/>
  <sheetViews>
    <sheetView workbookViewId="0">
      <pane ySplit="2" topLeftCell="A3" activePane="bottomLeft" state="frozen"/>
      <selection pane="bottomLeft" activeCell="N4" sqref="N4"/>
    </sheetView>
  </sheetViews>
  <sheetFormatPr defaultRowHeight="14.4" x14ac:dyDescent="0.3"/>
  <cols>
    <col min="1" max="1" width="11.88671875" bestFit="1" customWidth="1"/>
    <col min="2" max="10" width="3.6640625" bestFit="1" customWidth="1"/>
    <col min="11" max="37" width="4.6640625" bestFit="1" customWidth="1"/>
  </cols>
  <sheetData>
    <row r="1" spans="1:37" ht="24" customHeight="1" x14ac:dyDescent="0.3">
      <c r="A1" s="237" t="s">
        <v>0</v>
      </c>
      <c r="B1" s="237">
        <v>1</v>
      </c>
      <c r="C1" s="237">
        <v>2</v>
      </c>
      <c r="D1" s="237">
        <v>3</v>
      </c>
      <c r="E1" s="237">
        <v>4</v>
      </c>
      <c r="F1" s="237">
        <v>5</v>
      </c>
      <c r="G1" s="237">
        <v>6</v>
      </c>
      <c r="H1" s="237">
        <v>7</v>
      </c>
      <c r="I1" s="237">
        <v>8</v>
      </c>
      <c r="J1" s="237">
        <v>9</v>
      </c>
      <c r="K1" s="237">
        <v>10</v>
      </c>
      <c r="L1" s="237">
        <v>11</v>
      </c>
      <c r="M1" s="237">
        <v>12</v>
      </c>
      <c r="N1" s="237">
        <v>13</v>
      </c>
      <c r="O1" s="237">
        <v>14</v>
      </c>
      <c r="P1" s="237">
        <v>15</v>
      </c>
      <c r="Q1" s="237">
        <v>16</v>
      </c>
      <c r="R1" s="237">
        <v>17</v>
      </c>
      <c r="S1" s="237">
        <v>18</v>
      </c>
      <c r="T1" s="237">
        <v>19</v>
      </c>
      <c r="U1" s="237">
        <v>20</v>
      </c>
      <c r="V1" s="237">
        <v>21</v>
      </c>
      <c r="W1" s="237">
        <v>22</v>
      </c>
      <c r="X1" s="237">
        <v>23</v>
      </c>
      <c r="Y1" s="237">
        <v>24</v>
      </c>
      <c r="Z1" s="237">
        <v>25</v>
      </c>
      <c r="AA1" s="237">
        <v>26</v>
      </c>
      <c r="AB1" s="237">
        <v>27</v>
      </c>
      <c r="AC1" s="237">
        <v>28</v>
      </c>
      <c r="AD1" s="237">
        <v>29</v>
      </c>
      <c r="AE1" s="237">
        <v>30</v>
      </c>
      <c r="AF1" s="237">
        <v>31</v>
      </c>
      <c r="AG1" s="237">
        <v>32</v>
      </c>
      <c r="AH1" s="237">
        <v>33</v>
      </c>
      <c r="AI1" s="237">
        <v>34</v>
      </c>
      <c r="AJ1" s="237">
        <v>35</v>
      </c>
      <c r="AK1" s="237">
        <v>36</v>
      </c>
    </row>
    <row r="2" spans="1:37" x14ac:dyDescent="0.3">
      <c r="A2" s="238" t="s">
        <v>1</v>
      </c>
      <c r="B2" s="239" t="s">
        <v>4</v>
      </c>
      <c r="C2" s="239" t="s">
        <v>5</v>
      </c>
      <c r="D2" s="239" t="s">
        <v>6</v>
      </c>
      <c r="E2" s="239" t="s">
        <v>7</v>
      </c>
      <c r="F2" s="239" t="s">
        <v>8</v>
      </c>
      <c r="G2" s="239" t="s">
        <v>9</v>
      </c>
      <c r="H2" s="239" t="s">
        <v>10</v>
      </c>
      <c r="I2" s="239" t="s">
        <v>11</v>
      </c>
      <c r="J2" s="239" t="s">
        <v>12</v>
      </c>
      <c r="K2" s="239" t="s">
        <v>13</v>
      </c>
      <c r="L2" s="239" t="s">
        <v>14</v>
      </c>
      <c r="M2" s="239" t="s">
        <v>15</v>
      </c>
      <c r="N2" s="239" t="s">
        <v>16</v>
      </c>
      <c r="O2" s="239" t="s">
        <v>17</v>
      </c>
      <c r="P2" s="239" t="s">
        <v>18</v>
      </c>
      <c r="Q2" s="239" t="s">
        <v>19</v>
      </c>
      <c r="R2" s="239" t="s">
        <v>20</v>
      </c>
      <c r="S2" s="239" t="s">
        <v>21</v>
      </c>
      <c r="T2" s="239" t="s">
        <v>22</v>
      </c>
      <c r="U2" s="239" t="s">
        <v>23</v>
      </c>
      <c r="V2" s="239" t="s">
        <v>24</v>
      </c>
      <c r="W2" s="239" t="s">
        <v>25</v>
      </c>
      <c r="X2" s="239" t="s">
        <v>26</v>
      </c>
      <c r="Y2" s="239" t="s">
        <v>27</v>
      </c>
      <c r="Z2" s="239" t="s">
        <v>28</v>
      </c>
      <c r="AA2" s="239" t="s">
        <v>29</v>
      </c>
      <c r="AB2" s="239" t="s">
        <v>30</v>
      </c>
      <c r="AC2" s="239" t="s">
        <v>31</v>
      </c>
      <c r="AD2" s="239" t="s">
        <v>32</v>
      </c>
      <c r="AE2" s="239" t="s">
        <v>33</v>
      </c>
      <c r="AF2" s="239" t="s">
        <v>34</v>
      </c>
      <c r="AG2" s="239" t="s">
        <v>35</v>
      </c>
      <c r="AH2" s="239" t="s">
        <v>36</v>
      </c>
      <c r="AI2" s="239" t="s">
        <v>37</v>
      </c>
      <c r="AJ2" s="239" t="s">
        <v>38</v>
      </c>
      <c r="AK2" s="239" t="s">
        <v>39</v>
      </c>
    </row>
    <row r="3" spans="1:37" x14ac:dyDescent="0.3">
      <c r="A3" s="238" t="s">
        <v>2</v>
      </c>
      <c r="B3" s="239">
        <v>1</v>
      </c>
      <c r="C3" s="239">
        <v>1</v>
      </c>
      <c r="D3" s="239">
        <v>1</v>
      </c>
      <c r="E3" s="239">
        <v>1</v>
      </c>
      <c r="F3" s="239">
        <v>1</v>
      </c>
      <c r="G3" s="239">
        <v>1</v>
      </c>
      <c r="H3" s="239">
        <v>1</v>
      </c>
      <c r="I3" s="239">
        <v>1</v>
      </c>
      <c r="J3" s="239">
        <v>1</v>
      </c>
      <c r="K3" s="239">
        <v>1</v>
      </c>
      <c r="L3" s="239">
        <v>1</v>
      </c>
      <c r="M3" s="239">
        <v>1</v>
      </c>
      <c r="N3" s="239">
        <v>2</v>
      </c>
      <c r="O3" s="239">
        <v>2</v>
      </c>
      <c r="P3" s="239">
        <v>2</v>
      </c>
      <c r="Q3" s="239">
        <v>2</v>
      </c>
      <c r="R3" s="239">
        <v>2</v>
      </c>
      <c r="S3" s="239">
        <v>2</v>
      </c>
      <c r="T3" s="239">
        <v>2</v>
      </c>
      <c r="U3" s="239">
        <v>2</v>
      </c>
      <c r="V3" s="239">
        <v>2</v>
      </c>
      <c r="W3" s="239">
        <v>2</v>
      </c>
      <c r="X3" s="239">
        <v>2</v>
      </c>
      <c r="Y3" s="239">
        <v>2</v>
      </c>
      <c r="Z3" s="239">
        <v>3</v>
      </c>
      <c r="AA3" s="239">
        <v>3</v>
      </c>
      <c r="AB3" s="239">
        <v>3</v>
      </c>
      <c r="AC3" s="239">
        <v>3</v>
      </c>
      <c r="AD3" s="239">
        <v>3</v>
      </c>
      <c r="AE3" s="239">
        <v>3</v>
      </c>
      <c r="AF3" s="239">
        <v>3</v>
      </c>
      <c r="AG3" s="239">
        <v>3</v>
      </c>
      <c r="AH3" s="239">
        <v>3</v>
      </c>
      <c r="AI3" s="239">
        <v>3</v>
      </c>
      <c r="AJ3" s="239">
        <v>3</v>
      </c>
      <c r="AK3" s="239">
        <v>3</v>
      </c>
    </row>
    <row r="4" spans="1:37" x14ac:dyDescent="0.3">
      <c r="A4" s="238" t="s">
        <v>3</v>
      </c>
      <c r="B4" s="239" t="s">
        <v>40</v>
      </c>
      <c r="C4" s="239" t="s">
        <v>40</v>
      </c>
      <c r="D4" s="239" t="s">
        <v>40</v>
      </c>
      <c r="E4" s="239" t="s">
        <v>41</v>
      </c>
      <c r="F4" s="239" t="s">
        <v>41</v>
      </c>
      <c r="G4" s="239" t="s">
        <v>41</v>
      </c>
      <c r="H4" s="239" t="s">
        <v>42</v>
      </c>
      <c r="I4" s="239" t="s">
        <v>42</v>
      </c>
      <c r="J4" s="239" t="s">
        <v>42</v>
      </c>
      <c r="K4" s="239" t="s">
        <v>43</v>
      </c>
      <c r="L4" s="239" t="s">
        <v>43</v>
      </c>
      <c r="M4" s="239" t="s">
        <v>43</v>
      </c>
      <c r="N4" s="239" t="s">
        <v>44</v>
      </c>
      <c r="O4" s="239" t="s">
        <v>44</v>
      </c>
      <c r="P4" s="239" t="s">
        <v>44</v>
      </c>
      <c r="Q4" s="239" t="s">
        <v>45</v>
      </c>
      <c r="R4" s="239" t="s">
        <v>45</v>
      </c>
      <c r="S4" s="239" t="s">
        <v>45</v>
      </c>
      <c r="T4" s="239" t="s">
        <v>46</v>
      </c>
      <c r="U4" s="239" t="s">
        <v>46</v>
      </c>
      <c r="V4" s="239" t="s">
        <v>46</v>
      </c>
      <c r="W4" s="239" t="s">
        <v>47</v>
      </c>
      <c r="X4" s="239" t="s">
        <v>47</v>
      </c>
      <c r="Y4" s="239" t="s">
        <v>47</v>
      </c>
      <c r="Z4" s="239" t="s">
        <v>48</v>
      </c>
      <c r="AA4" s="239" t="s">
        <v>48</v>
      </c>
      <c r="AB4" s="239" t="s">
        <v>48</v>
      </c>
      <c r="AC4" s="239" t="s">
        <v>49</v>
      </c>
      <c r="AD4" s="239" t="s">
        <v>49</v>
      </c>
      <c r="AE4" s="239" t="s">
        <v>49</v>
      </c>
      <c r="AF4" s="239" t="s">
        <v>50</v>
      </c>
      <c r="AG4" s="239" t="s">
        <v>50</v>
      </c>
      <c r="AH4" s="239" t="s">
        <v>50</v>
      </c>
      <c r="AI4" s="239" t="s">
        <v>51</v>
      </c>
      <c r="AJ4" s="239" t="s">
        <v>51</v>
      </c>
      <c r="AK4" s="239" t="s">
        <v>51</v>
      </c>
    </row>
    <row r="5" spans="1:37" x14ac:dyDescent="0.3">
      <c r="B5" s="5"/>
      <c r="C5" s="5"/>
      <c r="D5" s="5"/>
      <c r="E5" s="5"/>
      <c r="F5" s="5"/>
      <c r="G5" s="5"/>
      <c r="H5" s="5"/>
      <c r="I5" s="5"/>
      <c r="J5" s="5"/>
      <c r="K5" s="5"/>
      <c r="L5" s="5"/>
      <c r="M5" s="5"/>
      <c r="N5" s="5"/>
      <c r="O5" s="5"/>
      <c r="P5" s="5"/>
      <c r="Q5" s="5"/>
      <c r="R5" s="5"/>
      <c r="S5" s="5"/>
      <c r="T5" s="5"/>
      <c r="U5" s="5"/>
      <c r="V5" s="5"/>
      <c r="W5" s="5"/>
      <c r="X5" s="5"/>
      <c r="Y5" s="5"/>
      <c r="Z5" s="5"/>
      <c r="AA5" s="5"/>
      <c r="AB5" s="5"/>
      <c r="AC5" s="5"/>
      <c r="AD5" s="5"/>
      <c r="AE5" s="5"/>
      <c r="AF5" s="5"/>
      <c r="AG5" s="5"/>
      <c r="AH5" s="5"/>
      <c r="AI5" s="5"/>
      <c r="AJ5" s="5"/>
      <c r="AK5" s="5"/>
    </row>
    <row r="6" spans="1:37" x14ac:dyDescent="0.3">
      <c r="B6" s="5"/>
      <c r="C6" s="5"/>
      <c r="D6" s="5"/>
      <c r="E6" s="5"/>
      <c r="F6" s="5"/>
      <c r="G6" s="5"/>
      <c r="H6" s="5"/>
      <c r="I6" s="5"/>
      <c r="J6" s="5"/>
      <c r="K6" s="5"/>
      <c r="L6" s="5"/>
      <c r="M6" s="5"/>
      <c r="N6" s="5"/>
      <c r="O6" s="5"/>
      <c r="P6" s="5"/>
      <c r="Q6" s="5"/>
      <c r="R6" s="5"/>
      <c r="S6" s="5"/>
      <c r="T6" s="5"/>
      <c r="U6" s="5"/>
      <c r="V6" s="5"/>
      <c r="W6" s="5"/>
      <c r="X6" s="5"/>
      <c r="Y6" s="5"/>
      <c r="Z6" s="5"/>
      <c r="AA6" s="5"/>
      <c r="AB6" s="5"/>
      <c r="AC6" s="5"/>
      <c r="AD6" s="5"/>
      <c r="AE6" s="5"/>
      <c r="AF6" s="5"/>
      <c r="AG6" s="5"/>
      <c r="AH6" s="5"/>
      <c r="AI6" s="5"/>
      <c r="AJ6" s="5"/>
      <c r="AK6" s="5"/>
    </row>
    <row r="7" spans="1:37" x14ac:dyDescent="0.3">
      <c r="B7" s="5"/>
      <c r="C7" s="5"/>
      <c r="D7" s="5"/>
      <c r="E7" s="5"/>
      <c r="F7" s="5"/>
      <c r="G7" s="5"/>
      <c r="H7" s="5"/>
      <c r="I7" s="5"/>
      <c r="J7" s="5"/>
      <c r="K7" s="5"/>
      <c r="L7" s="5"/>
      <c r="M7" s="5"/>
      <c r="N7" s="5"/>
      <c r="O7" s="5"/>
      <c r="P7" s="5"/>
      <c r="Q7" s="5"/>
      <c r="R7" s="5"/>
      <c r="S7" s="5"/>
      <c r="T7" s="5"/>
      <c r="U7" s="5"/>
      <c r="V7" s="5"/>
      <c r="W7" s="5"/>
      <c r="X7" s="5"/>
      <c r="Y7" s="5"/>
      <c r="Z7" s="5"/>
      <c r="AA7" s="5"/>
      <c r="AB7" s="5"/>
      <c r="AC7" s="5"/>
      <c r="AD7" s="5"/>
      <c r="AE7" s="5"/>
      <c r="AF7" s="5"/>
      <c r="AG7" s="5"/>
      <c r="AH7" s="5"/>
      <c r="AI7" s="5"/>
      <c r="AJ7" s="5"/>
      <c r="AK7" s="5"/>
    </row>
    <row r="8" spans="1:37" x14ac:dyDescent="0.3">
      <c r="B8" s="5"/>
      <c r="C8" s="5"/>
      <c r="D8" s="5"/>
      <c r="E8" s="5"/>
      <c r="F8" s="5"/>
      <c r="G8" s="5"/>
      <c r="H8" s="5"/>
      <c r="I8" s="5"/>
      <c r="J8" s="5"/>
      <c r="K8" s="5"/>
      <c r="L8" s="5"/>
      <c r="M8" s="5"/>
      <c r="N8" s="5"/>
      <c r="O8" s="5"/>
      <c r="P8" s="5"/>
      <c r="Q8" s="5"/>
      <c r="R8" s="5"/>
      <c r="S8" s="5"/>
      <c r="T8" s="5"/>
      <c r="U8" s="5"/>
      <c r="V8" s="5"/>
      <c r="W8" s="5"/>
      <c r="X8" s="5"/>
      <c r="Y8" s="5"/>
      <c r="Z8" s="5"/>
      <c r="AA8" s="5"/>
      <c r="AB8" s="5"/>
      <c r="AC8" s="5"/>
      <c r="AD8" s="5"/>
      <c r="AE8" s="5"/>
      <c r="AF8" s="5"/>
      <c r="AG8" s="5"/>
      <c r="AH8" s="5"/>
      <c r="AI8" s="5"/>
      <c r="AJ8" s="5"/>
      <c r="AK8" s="5"/>
    </row>
    <row r="9" spans="1:37" x14ac:dyDescent="0.3">
      <c r="B9" s="5"/>
      <c r="C9" s="5"/>
      <c r="D9" s="5"/>
      <c r="E9" s="5"/>
      <c r="F9" s="5"/>
      <c r="G9" s="5"/>
      <c r="H9" s="5"/>
      <c r="I9" s="5"/>
      <c r="J9" s="5"/>
      <c r="K9" s="5"/>
      <c r="L9" s="5"/>
      <c r="M9" s="5"/>
      <c r="N9" s="5"/>
      <c r="O9" s="5"/>
      <c r="P9" s="5"/>
      <c r="Q9" s="5"/>
      <c r="R9" s="5"/>
      <c r="S9" s="5"/>
      <c r="T9" s="5"/>
      <c r="U9" s="5"/>
      <c r="V9" s="5"/>
      <c r="W9" s="5"/>
      <c r="X9" s="5"/>
      <c r="Y9" s="5"/>
      <c r="Z9" s="5"/>
      <c r="AA9" s="5"/>
      <c r="AB9" s="5"/>
      <c r="AC9" s="5"/>
      <c r="AD9" s="5"/>
      <c r="AE9" s="5"/>
      <c r="AF9" s="5"/>
      <c r="AG9" s="5"/>
      <c r="AH9" s="5"/>
      <c r="AI9" s="5"/>
      <c r="AJ9" s="5"/>
      <c r="AK9" s="5"/>
    </row>
    <row r="10" spans="1:37" x14ac:dyDescent="0.3">
      <c r="B10" s="5"/>
      <c r="C10" s="5"/>
      <c r="D10" s="5"/>
      <c r="E10" s="5"/>
      <c r="F10" s="5"/>
      <c r="G10" s="5"/>
      <c r="H10" s="5"/>
      <c r="I10" s="5"/>
      <c r="J10" s="5"/>
      <c r="K10" s="5"/>
      <c r="L10" s="5"/>
      <c r="M10" s="5"/>
      <c r="N10" s="5"/>
      <c r="O10" s="5"/>
      <c r="P10" s="5"/>
      <c r="Q10" s="5"/>
      <c r="R10" s="5"/>
      <c r="S10" s="5"/>
      <c r="T10" s="5"/>
      <c r="U10" s="5"/>
      <c r="V10" s="5"/>
      <c r="W10" s="5"/>
      <c r="X10" s="5"/>
      <c r="Y10" s="5"/>
      <c r="Z10" s="5"/>
      <c r="AA10" s="5"/>
      <c r="AB10" s="5"/>
      <c r="AC10" s="5"/>
      <c r="AD10" s="5"/>
      <c r="AE10" s="5"/>
      <c r="AF10" s="5"/>
      <c r="AG10" s="5"/>
      <c r="AH10" s="5"/>
      <c r="AI10" s="5"/>
      <c r="AJ10" s="5"/>
      <c r="AK10" s="5"/>
    </row>
    <row r="11" spans="1:37" x14ac:dyDescent="0.3">
      <c r="B11" s="5"/>
      <c r="C11" s="5"/>
      <c r="D11" s="5"/>
      <c r="E11" s="5"/>
      <c r="F11" s="5"/>
      <c r="G11" s="5"/>
      <c r="H11" s="5"/>
      <c r="I11" s="5"/>
      <c r="J11" s="5"/>
      <c r="K11" s="5"/>
      <c r="L11" s="5"/>
      <c r="M11" s="5"/>
      <c r="N11" s="5"/>
      <c r="O11" s="5"/>
      <c r="P11" s="5"/>
      <c r="Q11" s="5"/>
      <c r="R11" s="5"/>
      <c r="S11" s="5"/>
      <c r="T11" s="5"/>
      <c r="U11" s="5"/>
      <c r="V11" s="5"/>
      <c r="W11" s="5"/>
      <c r="X11" s="5"/>
      <c r="Y11" s="5"/>
      <c r="Z11" s="5"/>
      <c r="AA11" s="5"/>
      <c r="AB11" s="5"/>
      <c r="AC11" s="5"/>
      <c r="AD11" s="5"/>
      <c r="AE11" s="5"/>
      <c r="AF11" s="5"/>
      <c r="AG11" s="5"/>
      <c r="AH11" s="5"/>
      <c r="AI11" s="5"/>
      <c r="AJ11" s="5"/>
      <c r="AK11" s="5"/>
    </row>
    <row r="12" spans="1:37" x14ac:dyDescent="0.3">
      <c r="B12" s="5"/>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row>
    <row r="13" spans="1:37" x14ac:dyDescent="0.3">
      <c r="B13" s="5"/>
      <c r="C13" s="5"/>
      <c r="D13" s="5"/>
      <c r="E13" s="5"/>
      <c r="F13" s="5"/>
      <c r="G13" s="5"/>
      <c r="H13" s="5"/>
      <c r="I13" s="5"/>
      <c r="J13" s="5"/>
      <c r="K13" s="5"/>
      <c r="L13" s="5"/>
      <c r="M13" s="5"/>
      <c r="N13" s="5"/>
      <c r="O13" s="5"/>
      <c r="P13" s="5"/>
      <c r="Q13" s="5"/>
      <c r="R13" s="5"/>
      <c r="S13" s="5"/>
      <c r="T13" s="5"/>
      <c r="U13" s="5"/>
      <c r="V13" s="5"/>
      <c r="W13" s="5"/>
      <c r="X13" s="5"/>
      <c r="Y13" s="5"/>
      <c r="Z13" s="5"/>
      <c r="AA13" s="5"/>
      <c r="AB13" s="5"/>
      <c r="AC13" s="5"/>
      <c r="AD13" s="5"/>
      <c r="AE13" s="5"/>
      <c r="AF13" s="5"/>
      <c r="AG13" s="5"/>
      <c r="AH13" s="5"/>
      <c r="AI13" s="5"/>
      <c r="AJ13" s="5"/>
      <c r="AK13" s="5"/>
    </row>
    <row r="14" spans="1:37" x14ac:dyDescent="0.3">
      <c r="B14" s="5"/>
      <c r="C14" s="5"/>
      <c r="D14" s="5"/>
      <c r="E14" s="5"/>
      <c r="F14" s="5"/>
      <c r="G14" s="5"/>
      <c r="H14" s="5"/>
      <c r="I14" s="5"/>
      <c r="J14" s="5"/>
      <c r="K14" s="5"/>
      <c r="L14" s="5"/>
      <c r="M14" s="5"/>
      <c r="N14" s="5"/>
      <c r="O14" s="5"/>
      <c r="P14" s="5"/>
      <c r="Q14" s="5"/>
      <c r="R14" s="5"/>
      <c r="S14" s="5"/>
      <c r="T14" s="5"/>
      <c r="U14" s="5"/>
      <c r="V14" s="5"/>
      <c r="W14" s="5"/>
      <c r="X14" s="5"/>
      <c r="Y14" s="5"/>
      <c r="Z14" s="5"/>
      <c r="AA14" s="5"/>
      <c r="AB14" s="5"/>
      <c r="AC14" s="5"/>
      <c r="AD14" s="5"/>
      <c r="AE14" s="5"/>
      <c r="AF14" s="5"/>
      <c r="AG14" s="5"/>
      <c r="AH14" s="5"/>
      <c r="AI14" s="5"/>
      <c r="AJ14" s="5"/>
      <c r="AK14" s="5"/>
    </row>
    <row r="15" spans="1:37" x14ac:dyDescent="0.3">
      <c r="B15" s="5"/>
      <c r="C15" s="5"/>
      <c r="D15" s="5"/>
      <c r="E15" s="5"/>
      <c r="F15" s="5"/>
      <c r="G15" s="5"/>
      <c r="H15" s="5"/>
      <c r="I15" s="5"/>
      <c r="J15" s="5"/>
      <c r="K15" s="5"/>
      <c r="L15" s="5"/>
      <c r="M15" s="5"/>
      <c r="N15" s="5"/>
      <c r="O15" s="5"/>
      <c r="P15" s="5"/>
      <c r="Q15" s="5"/>
      <c r="R15" s="5"/>
      <c r="S15" s="5"/>
      <c r="T15" s="5"/>
      <c r="U15" s="5"/>
      <c r="V15" s="5"/>
      <c r="W15" s="5"/>
      <c r="X15" s="5"/>
      <c r="Y15" s="5"/>
      <c r="Z15" s="5"/>
      <c r="AA15" s="5"/>
      <c r="AB15" s="5"/>
      <c r="AC15" s="5"/>
      <c r="AD15" s="5"/>
      <c r="AE15" s="5"/>
      <c r="AF15" s="5"/>
      <c r="AG15" s="5"/>
      <c r="AH15" s="5"/>
      <c r="AI15" s="5"/>
      <c r="AJ15" s="5"/>
      <c r="AK15" s="5"/>
    </row>
    <row r="16" spans="1:37" x14ac:dyDescent="0.3">
      <c r="B16" s="5"/>
      <c r="C16" s="5"/>
      <c r="D16" s="5"/>
      <c r="E16" s="5"/>
      <c r="F16" s="5"/>
      <c r="G16" s="5"/>
      <c r="H16" s="5"/>
      <c r="I16" s="5"/>
      <c r="J16" s="5"/>
      <c r="K16" s="5"/>
      <c r="L16" s="5"/>
      <c r="M16" s="5"/>
      <c r="N16" s="5"/>
      <c r="O16" s="5"/>
      <c r="P16" s="5"/>
      <c r="Q16" s="5"/>
      <c r="R16" s="5"/>
      <c r="S16" s="5"/>
      <c r="T16" s="5"/>
      <c r="U16" s="5"/>
      <c r="V16" s="5"/>
      <c r="W16" s="5"/>
      <c r="X16" s="5"/>
      <c r="Y16" s="5"/>
      <c r="Z16" s="5"/>
      <c r="AA16" s="5"/>
      <c r="AB16" s="5"/>
      <c r="AC16" s="5"/>
      <c r="AD16" s="5"/>
      <c r="AE16" s="5"/>
      <c r="AF16" s="5"/>
      <c r="AG16" s="5"/>
      <c r="AH16" s="5"/>
      <c r="AI16" s="5"/>
      <c r="AJ16" s="5"/>
      <c r="AK16" s="5"/>
    </row>
    <row r="17" spans="2:37" x14ac:dyDescent="0.3">
      <c r="B17" s="5"/>
      <c r="C17" s="5"/>
      <c r="D17" s="5"/>
      <c r="E17" s="5"/>
      <c r="F17" s="5"/>
      <c r="G17" s="5"/>
      <c r="H17" s="5"/>
      <c r="I17" s="5"/>
      <c r="J17" s="5"/>
      <c r="K17" s="5"/>
      <c r="L17" s="5"/>
      <c r="M17" s="5"/>
      <c r="N17" s="5"/>
      <c r="O17" s="5"/>
      <c r="P17" s="5"/>
      <c r="Q17" s="5"/>
      <c r="R17" s="5"/>
      <c r="S17" s="5"/>
      <c r="T17" s="5"/>
      <c r="U17" s="5"/>
      <c r="V17" s="5"/>
      <c r="W17" s="5"/>
      <c r="X17" s="5"/>
      <c r="Y17" s="5"/>
      <c r="Z17" s="5"/>
      <c r="AA17" s="5"/>
      <c r="AB17" s="5"/>
      <c r="AC17" s="5"/>
      <c r="AD17" s="5"/>
      <c r="AE17" s="5"/>
      <c r="AF17" s="5"/>
      <c r="AG17" s="5"/>
      <c r="AH17" s="5"/>
      <c r="AI17" s="5"/>
      <c r="AJ17" s="5"/>
      <c r="AK17" s="5"/>
    </row>
    <row r="18" spans="2:37" x14ac:dyDescent="0.3">
      <c r="B18" s="5"/>
      <c r="C18" s="5"/>
      <c r="D18" s="5"/>
      <c r="E18" s="5"/>
      <c r="F18" s="5"/>
      <c r="G18" s="5"/>
      <c r="H18" s="5"/>
      <c r="I18" s="5"/>
      <c r="J18" s="5"/>
      <c r="K18" s="5"/>
      <c r="L18" s="5"/>
      <c r="M18" s="5"/>
      <c r="N18" s="5"/>
      <c r="O18" s="5"/>
      <c r="P18" s="5"/>
      <c r="Q18" s="5"/>
      <c r="R18" s="5"/>
      <c r="S18" s="5"/>
      <c r="T18" s="5"/>
      <c r="U18" s="5"/>
      <c r="V18" s="5"/>
      <c r="W18" s="5"/>
      <c r="X18" s="5"/>
      <c r="Y18" s="5"/>
      <c r="Z18" s="5"/>
      <c r="AA18" s="5"/>
      <c r="AB18" s="5"/>
      <c r="AC18" s="5"/>
      <c r="AD18" s="5"/>
      <c r="AE18" s="5"/>
      <c r="AF18" s="5"/>
      <c r="AG18" s="5"/>
      <c r="AH18" s="5"/>
      <c r="AI18" s="5"/>
      <c r="AJ18" s="5"/>
      <c r="AK18" s="5"/>
    </row>
    <row r="19" spans="2:37" x14ac:dyDescent="0.3">
      <c r="B19" s="5"/>
      <c r="C19" s="5"/>
      <c r="D19" s="5"/>
      <c r="E19" s="5"/>
      <c r="F19" s="5"/>
      <c r="G19" s="5"/>
      <c r="H19" s="5"/>
      <c r="I19" s="5"/>
      <c r="J19" s="5"/>
      <c r="K19" s="5"/>
      <c r="L19" s="5"/>
      <c r="M19" s="5"/>
      <c r="N19" s="5"/>
      <c r="O19" s="5"/>
      <c r="P19" s="5"/>
      <c r="Q19" s="5"/>
      <c r="R19" s="5"/>
      <c r="S19" s="5"/>
      <c r="T19" s="5"/>
      <c r="U19" s="5"/>
      <c r="V19" s="5"/>
      <c r="W19" s="5"/>
      <c r="X19" s="5"/>
      <c r="Y19" s="5"/>
      <c r="Z19" s="5"/>
      <c r="AA19" s="5"/>
      <c r="AB19" s="5"/>
      <c r="AC19" s="5"/>
      <c r="AD19" s="5"/>
      <c r="AE19" s="5"/>
      <c r="AF19" s="5"/>
      <c r="AG19" s="5"/>
      <c r="AH19" s="5"/>
      <c r="AI19" s="5"/>
      <c r="AJ19" s="5"/>
      <c r="AK19" s="5"/>
    </row>
    <row r="20" spans="2:37" x14ac:dyDescent="0.3">
      <c r="B20" s="5"/>
      <c r="C20" s="5"/>
      <c r="D20" s="5"/>
      <c r="E20" s="5"/>
      <c r="F20" s="5"/>
      <c r="G20" s="5"/>
      <c r="H20" s="5"/>
      <c r="I20" s="5"/>
      <c r="J20" s="5"/>
      <c r="K20" s="5"/>
      <c r="L20" s="5"/>
      <c r="M20" s="5"/>
      <c r="N20" s="5"/>
      <c r="O20" s="5"/>
      <c r="P20" s="5"/>
      <c r="Q20" s="5"/>
      <c r="R20" s="5"/>
      <c r="S20" s="5"/>
      <c r="T20" s="5"/>
      <c r="U20" s="5"/>
      <c r="V20" s="5"/>
      <c r="W20" s="5"/>
      <c r="X20" s="5"/>
      <c r="Y20" s="5"/>
      <c r="Z20" s="5"/>
      <c r="AA20" s="5"/>
      <c r="AB20" s="5"/>
      <c r="AC20" s="5"/>
      <c r="AD20" s="5"/>
      <c r="AE20" s="5"/>
      <c r="AF20" s="5"/>
      <c r="AG20" s="5"/>
      <c r="AH20" s="5"/>
      <c r="AI20" s="5"/>
      <c r="AJ20" s="5"/>
      <c r="AK20" s="5"/>
    </row>
    <row r="21" spans="2:37" x14ac:dyDescent="0.3">
      <c r="B21" s="5"/>
      <c r="C21" s="5"/>
      <c r="D21" s="5"/>
      <c r="E21" s="5"/>
      <c r="F21" s="5"/>
      <c r="G21" s="5"/>
      <c r="H21" s="5"/>
      <c r="I21" s="5"/>
      <c r="J21" s="5"/>
      <c r="K21" s="5"/>
      <c r="L21" s="5"/>
      <c r="M21" s="5"/>
      <c r="N21" s="5"/>
      <c r="O21" s="5"/>
      <c r="P21" s="5"/>
      <c r="Q21" s="5"/>
      <c r="R21" s="5"/>
      <c r="S21" s="5"/>
      <c r="T21" s="5"/>
      <c r="U21" s="5"/>
      <c r="V21" s="5"/>
      <c r="W21" s="5"/>
      <c r="X21" s="5"/>
      <c r="Y21" s="5"/>
      <c r="Z21" s="5"/>
      <c r="AA21" s="5"/>
      <c r="AB21" s="5"/>
      <c r="AC21" s="5"/>
      <c r="AD21" s="5"/>
      <c r="AE21" s="5"/>
      <c r="AF21" s="5"/>
      <c r="AG21" s="5"/>
      <c r="AH21" s="5"/>
      <c r="AI21" s="5"/>
      <c r="AJ21" s="5"/>
      <c r="AK21" s="5"/>
    </row>
    <row r="22" spans="2:37" x14ac:dyDescent="0.3">
      <c r="B22" s="5"/>
      <c r="C22" s="5"/>
      <c r="D22" s="5"/>
      <c r="E22" s="5"/>
      <c r="F22" s="5"/>
      <c r="G22" s="5"/>
      <c r="H22" s="5"/>
      <c r="I22" s="5"/>
      <c r="J22" s="5"/>
      <c r="K22" s="5"/>
      <c r="L22" s="5"/>
      <c r="M22" s="5"/>
      <c r="N22" s="5"/>
      <c r="O22" s="5"/>
      <c r="P22" s="5"/>
      <c r="Q22" s="5"/>
      <c r="R22" s="5"/>
      <c r="S22" s="5"/>
      <c r="T22" s="5"/>
      <c r="U22" s="5"/>
      <c r="V22" s="5"/>
      <c r="W22" s="5"/>
      <c r="X22" s="5"/>
      <c r="Y22" s="5"/>
      <c r="Z22" s="5"/>
      <c r="AA22" s="5"/>
      <c r="AB22" s="5"/>
      <c r="AC22" s="5"/>
      <c r="AD22" s="5"/>
      <c r="AE22" s="5"/>
      <c r="AF22" s="5"/>
      <c r="AG22" s="5"/>
      <c r="AH22" s="5"/>
      <c r="AI22" s="5"/>
      <c r="AJ22" s="5"/>
      <c r="AK22" s="5"/>
    </row>
    <row r="23" spans="2:37" x14ac:dyDescent="0.3">
      <c r="B23" s="5"/>
      <c r="C23" s="5"/>
      <c r="D23" s="5"/>
      <c r="E23" s="5"/>
      <c r="F23" s="5"/>
      <c r="G23" s="5"/>
      <c r="H23" s="5"/>
      <c r="I23" s="5"/>
      <c r="J23" s="5"/>
      <c r="K23" s="5"/>
      <c r="L23" s="5"/>
      <c r="M23" s="5"/>
      <c r="N23" s="5"/>
      <c r="O23" s="5"/>
      <c r="P23" s="5"/>
      <c r="Q23" s="5"/>
      <c r="R23" s="5"/>
      <c r="S23" s="5"/>
      <c r="T23" s="5"/>
      <c r="U23" s="5"/>
      <c r="V23" s="5"/>
      <c r="W23" s="5"/>
      <c r="X23" s="5"/>
      <c r="Y23" s="5"/>
      <c r="Z23" s="5"/>
      <c r="AA23" s="5"/>
      <c r="AB23" s="5"/>
      <c r="AC23" s="5"/>
      <c r="AD23" s="5"/>
      <c r="AE23" s="5"/>
      <c r="AF23" s="5"/>
      <c r="AG23" s="5"/>
      <c r="AH23" s="5"/>
      <c r="AI23" s="5"/>
      <c r="AJ23" s="5"/>
      <c r="AK23" s="5"/>
    </row>
    <row r="24" spans="2:37" x14ac:dyDescent="0.3">
      <c r="B24" s="5"/>
      <c r="C24" s="5"/>
      <c r="D24" s="5"/>
      <c r="E24" s="5"/>
      <c r="F24" s="5"/>
      <c r="G24" s="5"/>
      <c r="H24" s="5"/>
      <c r="I24" s="5"/>
      <c r="J24" s="5"/>
      <c r="K24" s="5"/>
      <c r="L24" s="5"/>
      <c r="M24" s="5"/>
      <c r="N24" s="5"/>
      <c r="O24" s="5"/>
      <c r="P24" s="5"/>
      <c r="Q24" s="5"/>
      <c r="R24" s="5"/>
      <c r="S24" s="5"/>
      <c r="T24" s="5"/>
      <c r="U24" s="5"/>
      <c r="V24" s="5"/>
      <c r="W24" s="5"/>
      <c r="X24" s="5"/>
      <c r="Y24" s="5"/>
      <c r="Z24" s="5"/>
      <c r="AA24" s="5"/>
      <c r="AB24" s="5"/>
      <c r="AC24" s="5"/>
      <c r="AD24" s="5"/>
      <c r="AE24" s="5"/>
      <c r="AF24" s="5"/>
      <c r="AG24" s="5"/>
      <c r="AH24" s="5"/>
      <c r="AI24" s="5"/>
      <c r="AJ24" s="5"/>
      <c r="AK24" s="5"/>
    </row>
    <row r="25" spans="2:37" x14ac:dyDescent="0.3">
      <c r="B25" s="5"/>
      <c r="C25" s="5"/>
      <c r="D25" s="5"/>
      <c r="E25" s="5"/>
      <c r="F25" s="5"/>
      <c r="G25" s="5"/>
      <c r="H25" s="5"/>
      <c r="I25" s="5"/>
      <c r="J25" s="5"/>
      <c r="K25" s="5"/>
      <c r="L25" s="5"/>
      <c r="M25" s="5"/>
      <c r="N25" s="5"/>
      <c r="O25" s="5"/>
      <c r="P25" s="5"/>
      <c r="Q25" s="5"/>
      <c r="R25" s="5"/>
      <c r="S25" s="5"/>
      <c r="T25" s="5"/>
      <c r="U25" s="5"/>
      <c r="V25" s="5"/>
      <c r="W25" s="5"/>
      <c r="X25" s="5"/>
      <c r="Y25" s="5"/>
      <c r="Z25" s="5"/>
      <c r="AA25" s="5"/>
      <c r="AB25" s="5"/>
      <c r="AC25" s="5"/>
      <c r="AD25" s="5"/>
      <c r="AE25" s="5"/>
      <c r="AF25" s="5"/>
      <c r="AG25" s="5"/>
      <c r="AH25" s="5"/>
      <c r="AI25" s="5"/>
      <c r="AJ25" s="5"/>
      <c r="AK25" s="5"/>
    </row>
    <row r="26" spans="2:37" x14ac:dyDescent="0.3">
      <c r="B26" s="5"/>
      <c r="C26" s="5"/>
      <c r="D26" s="5"/>
      <c r="E26" s="5"/>
      <c r="F26" s="5"/>
      <c r="G26" s="5"/>
      <c r="H26" s="5"/>
      <c r="I26" s="5"/>
      <c r="J26" s="5"/>
      <c r="K26" s="5"/>
      <c r="L26" s="5"/>
      <c r="M26" s="5"/>
      <c r="N26" s="5"/>
      <c r="O26" s="5"/>
      <c r="P26" s="5"/>
      <c r="Q26" s="5"/>
      <c r="R26" s="5"/>
      <c r="S26" s="5"/>
      <c r="T26" s="5"/>
      <c r="U26" s="5"/>
      <c r="V26" s="5"/>
      <c r="W26" s="5"/>
      <c r="X26" s="5"/>
      <c r="Y26" s="5"/>
      <c r="Z26" s="5"/>
      <c r="AA26" s="5"/>
      <c r="AB26" s="5"/>
      <c r="AC26" s="5"/>
      <c r="AD26" s="5"/>
      <c r="AE26" s="5"/>
      <c r="AF26" s="5"/>
      <c r="AG26" s="5"/>
      <c r="AH26" s="5"/>
      <c r="AI26" s="5"/>
      <c r="AJ26" s="5"/>
      <c r="AK26" s="5"/>
    </row>
    <row r="27" spans="2:37" x14ac:dyDescent="0.3">
      <c r="B27" s="5"/>
      <c r="C27" s="5"/>
      <c r="D27" s="5"/>
      <c r="E27" s="5"/>
      <c r="F27" s="5"/>
      <c r="G27" s="5"/>
      <c r="H27" s="5"/>
      <c r="I27" s="5"/>
      <c r="J27" s="5"/>
      <c r="K27" s="5"/>
      <c r="L27" s="5"/>
      <c r="M27" s="5"/>
      <c r="N27" s="5"/>
      <c r="O27" s="5"/>
      <c r="P27" s="5"/>
      <c r="Q27" s="5"/>
      <c r="R27" s="5"/>
      <c r="S27" s="5"/>
      <c r="T27" s="5"/>
      <c r="U27" s="5"/>
      <c r="V27" s="5"/>
      <c r="W27" s="5"/>
      <c r="X27" s="5"/>
      <c r="Y27" s="5"/>
      <c r="Z27" s="5"/>
      <c r="AA27" s="5"/>
      <c r="AB27" s="5"/>
      <c r="AC27" s="5"/>
      <c r="AD27" s="5"/>
      <c r="AE27" s="5"/>
      <c r="AF27" s="5"/>
      <c r="AG27" s="5"/>
      <c r="AH27" s="5"/>
      <c r="AI27" s="5"/>
      <c r="AJ27" s="5"/>
      <c r="AK27" s="5"/>
    </row>
    <row r="28" spans="2:37" x14ac:dyDescent="0.3">
      <c r="B28" s="5"/>
      <c r="C28" s="5"/>
      <c r="D28" s="5"/>
      <c r="E28" s="5"/>
      <c r="F28" s="5"/>
      <c r="G28" s="5"/>
      <c r="H28" s="5"/>
      <c r="I28" s="5"/>
      <c r="J28" s="5"/>
      <c r="K28" s="5"/>
      <c r="L28" s="5"/>
      <c r="M28" s="5"/>
      <c r="N28" s="5"/>
      <c r="O28" s="5"/>
      <c r="P28" s="5"/>
      <c r="Q28" s="5"/>
      <c r="R28" s="5"/>
      <c r="S28" s="5"/>
      <c r="T28" s="5"/>
      <c r="U28" s="5"/>
      <c r="V28" s="5"/>
      <c r="W28" s="5"/>
      <c r="X28" s="5"/>
      <c r="Y28" s="5"/>
      <c r="Z28" s="5"/>
      <c r="AA28" s="5"/>
      <c r="AB28" s="5"/>
      <c r="AC28" s="5"/>
      <c r="AD28" s="5"/>
      <c r="AE28" s="5"/>
      <c r="AF28" s="5"/>
      <c r="AG28" s="5"/>
      <c r="AH28" s="5"/>
      <c r="AI28" s="5"/>
      <c r="AJ28" s="5"/>
      <c r="AK28" s="5"/>
    </row>
    <row r="29" spans="2:37" x14ac:dyDescent="0.3">
      <c r="B29" s="5"/>
      <c r="C29" s="5"/>
      <c r="D29" s="5"/>
      <c r="E29" s="5"/>
      <c r="F29" s="5"/>
      <c r="G29" s="5"/>
      <c r="H29" s="5"/>
      <c r="I29" s="5"/>
      <c r="J29" s="5"/>
      <c r="K29" s="5"/>
      <c r="L29" s="5"/>
      <c r="M29" s="5"/>
      <c r="N29" s="5"/>
      <c r="O29" s="5"/>
      <c r="P29" s="5"/>
      <c r="Q29" s="5"/>
      <c r="R29" s="5"/>
      <c r="S29" s="5"/>
      <c r="T29" s="5"/>
      <c r="U29" s="5"/>
      <c r="V29" s="5"/>
      <c r="W29" s="5"/>
      <c r="X29" s="5"/>
      <c r="Y29" s="5"/>
      <c r="Z29" s="5"/>
      <c r="AA29" s="5"/>
      <c r="AB29" s="5"/>
      <c r="AC29" s="5"/>
      <c r="AD29" s="5"/>
      <c r="AE29" s="5"/>
      <c r="AF29" s="5"/>
      <c r="AG29" s="5"/>
      <c r="AH29" s="5"/>
      <c r="AI29" s="5"/>
      <c r="AJ29" s="5"/>
      <c r="AK29" s="5"/>
    </row>
    <row r="30" spans="2:37" x14ac:dyDescent="0.3">
      <c r="B30" s="5"/>
      <c r="C30" s="5"/>
      <c r="D30" s="5"/>
      <c r="E30" s="5"/>
      <c r="F30" s="5"/>
      <c r="G30" s="5"/>
      <c r="H30" s="5"/>
      <c r="I30" s="5"/>
      <c r="J30" s="5"/>
      <c r="K30" s="5"/>
      <c r="L30" s="5"/>
      <c r="M30" s="5"/>
      <c r="N30" s="5"/>
      <c r="O30" s="5"/>
      <c r="P30" s="5"/>
      <c r="Q30" s="5"/>
      <c r="R30" s="5"/>
      <c r="S30" s="5"/>
      <c r="T30" s="5"/>
      <c r="U30" s="5"/>
      <c r="V30" s="5"/>
      <c r="W30" s="5"/>
      <c r="X30" s="5"/>
      <c r="Y30" s="5"/>
      <c r="Z30" s="5"/>
      <c r="AA30" s="5"/>
      <c r="AB30" s="5"/>
      <c r="AC30" s="5"/>
      <c r="AD30" s="5"/>
      <c r="AE30" s="5"/>
      <c r="AF30" s="5"/>
      <c r="AG30" s="5"/>
      <c r="AH30" s="5"/>
      <c r="AI30" s="5"/>
      <c r="AJ30" s="5"/>
      <c r="AK30" s="5"/>
    </row>
    <row r="31" spans="2:37" x14ac:dyDescent="0.3">
      <c r="B31" s="5"/>
      <c r="C31" s="5"/>
      <c r="D31" s="5"/>
      <c r="E31" s="5"/>
      <c r="F31" s="5"/>
      <c r="G31" s="5"/>
      <c r="H31" s="5"/>
      <c r="I31" s="5"/>
      <c r="J31" s="5"/>
      <c r="K31" s="5"/>
      <c r="L31" s="5"/>
      <c r="M31" s="5"/>
      <c r="N31" s="5"/>
      <c r="O31" s="5"/>
      <c r="P31" s="5"/>
      <c r="Q31" s="5"/>
      <c r="R31" s="5"/>
      <c r="S31" s="5"/>
      <c r="T31" s="5"/>
      <c r="U31" s="5"/>
      <c r="V31" s="5"/>
      <c r="W31" s="5"/>
      <c r="X31" s="5"/>
      <c r="Y31" s="5"/>
      <c r="Z31" s="5"/>
      <c r="AA31" s="5"/>
      <c r="AB31" s="5"/>
      <c r="AC31" s="5"/>
      <c r="AD31" s="5"/>
      <c r="AE31" s="5"/>
      <c r="AF31" s="5"/>
      <c r="AG31" s="5"/>
      <c r="AH31" s="5"/>
      <c r="AI31" s="5"/>
      <c r="AJ31" s="5"/>
      <c r="AK31" s="5"/>
    </row>
    <row r="32" spans="2:37" x14ac:dyDescent="0.3">
      <c r="B32" s="5"/>
      <c r="C32" s="5"/>
      <c r="D32" s="5"/>
      <c r="E32" s="5"/>
      <c r="F32" s="5"/>
      <c r="G32" s="5"/>
      <c r="H32" s="5"/>
      <c r="I32" s="5"/>
      <c r="J32" s="5"/>
      <c r="K32" s="5"/>
      <c r="L32" s="5"/>
      <c r="M32" s="5"/>
      <c r="N32" s="5"/>
      <c r="O32" s="5"/>
      <c r="P32" s="5"/>
      <c r="Q32" s="5"/>
      <c r="R32" s="5"/>
      <c r="S32" s="5"/>
      <c r="T32" s="5"/>
      <c r="U32" s="5"/>
      <c r="V32" s="5"/>
      <c r="W32" s="5"/>
      <c r="X32" s="5"/>
      <c r="Y32" s="5"/>
      <c r="Z32" s="5"/>
      <c r="AA32" s="5"/>
      <c r="AB32" s="5"/>
      <c r="AC32" s="5"/>
      <c r="AD32" s="5"/>
      <c r="AE32" s="5"/>
      <c r="AF32" s="5"/>
      <c r="AG32" s="5"/>
      <c r="AH32" s="5"/>
      <c r="AI32" s="5"/>
      <c r="AJ32" s="5"/>
      <c r="AK32" s="5"/>
    </row>
    <row r="33" spans="2:37" x14ac:dyDescent="0.3">
      <c r="B33" s="5"/>
      <c r="C33" s="5"/>
      <c r="D33" s="5"/>
      <c r="E33" s="5"/>
      <c r="F33" s="5"/>
      <c r="G33" s="5"/>
      <c r="H33" s="5"/>
      <c r="I33" s="5"/>
      <c r="J33" s="5"/>
      <c r="K33" s="5"/>
      <c r="L33" s="5"/>
      <c r="M33" s="5"/>
      <c r="N33" s="5"/>
      <c r="O33" s="5"/>
      <c r="P33" s="5"/>
      <c r="Q33" s="5"/>
      <c r="R33" s="5"/>
      <c r="S33" s="5"/>
      <c r="T33" s="5"/>
      <c r="U33" s="5"/>
      <c r="V33" s="5"/>
      <c r="W33" s="5"/>
      <c r="X33" s="5"/>
      <c r="Y33" s="5"/>
      <c r="Z33" s="5"/>
      <c r="AA33" s="5"/>
      <c r="AB33" s="5"/>
      <c r="AC33" s="5"/>
      <c r="AD33" s="5"/>
      <c r="AE33" s="5"/>
      <c r="AF33" s="5"/>
      <c r="AG33" s="5"/>
      <c r="AH33" s="5"/>
      <c r="AI33" s="5"/>
      <c r="AJ33" s="5"/>
      <c r="AK33" s="5"/>
    </row>
    <row r="34" spans="2:37" x14ac:dyDescent="0.3">
      <c r="B34" s="5"/>
      <c r="C34" s="5"/>
      <c r="D34" s="5"/>
      <c r="E34" s="5"/>
      <c r="F34" s="5"/>
      <c r="G34" s="5"/>
      <c r="H34" s="5"/>
      <c r="I34" s="5"/>
      <c r="J34" s="5"/>
      <c r="K34" s="5"/>
      <c r="L34" s="5"/>
      <c r="M34" s="5"/>
      <c r="N34" s="5"/>
      <c r="O34" s="5"/>
      <c r="P34" s="5"/>
      <c r="Q34" s="5"/>
      <c r="R34" s="5"/>
      <c r="S34" s="5"/>
      <c r="T34" s="5"/>
      <c r="U34" s="5"/>
      <c r="V34" s="5"/>
      <c r="W34" s="5"/>
      <c r="X34" s="5"/>
      <c r="Y34" s="5"/>
      <c r="Z34" s="5"/>
      <c r="AA34" s="5"/>
      <c r="AB34" s="5"/>
      <c r="AC34" s="5"/>
      <c r="AD34" s="5"/>
      <c r="AE34" s="5"/>
      <c r="AF34" s="5"/>
      <c r="AG34" s="5"/>
      <c r="AH34" s="5"/>
      <c r="AI34" s="5"/>
      <c r="AJ34" s="5"/>
      <c r="AK34" s="5"/>
    </row>
    <row r="35" spans="2:37" x14ac:dyDescent="0.3">
      <c r="B35" s="5"/>
      <c r="C35" s="5"/>
      <c r="D35" s="5"/>
      <c r="E35" s="5"/>
      <c r="F35" s="5"/>
      <c r="G35" s="5"/>
      <c r="H35" s="5"/>
      <c r="I35" s="5"/>
      <c r="J35" s="5"/>
      <c r="K35" s="5"/>
      <c r="L35" s="5"/>
      <c r="M35" s="5"/>
      <c r="N35" s="5"/>
      <c r="O35" s="5"/>
      <c r="P35" s="5"/>
      <c r="Q35" s="5"/>
      <c r="R35" s="5"/>
      <c r="S35" s="5"/>
      <c r="T35" s="5"/>
      <c r="U35" s="5"/>
      <c r="V35" s="5"/>
      <c r="W35" s="5"/>
      <c r="X35" s="5"/>
      <c r="Y35" s="5"/>
      <c r="Z35" s="5"/>
      <c r="AA35" s="5"/>
      <c r="AB35" s="5"/>
      <c r="AC35" s="5"/>
      <c r="AD35" s="5"/>
      <c r="AE35" s="5"/>
      <c r="AF35" s="5"/>
      <c r="AG35" s="5"/>
      <c r="AH35" s="5"/>
      <c r="AI35" s="5"/>
      <c r="AJ35" s="5"/>
      <c r="AK35" s="5"/>
    </row>
    <row r="36" spans="2:37" x14ac:dyDescent="0.3">
      <c r="B36" s="5"/>
      <c r="C36" s="5"/>
      <c r="D36" s="5"/>
      <c r="E36" s="5"/>
      <c r="F36" s="5"/>
      <c r="G36" s="5"/>
      <c r="H36" s="5"/>
      <c r="I36" s="5"/>
      <c r="J36" s="5"/>
      <c r="K36" s="5"/>
      <c r="L36" s="5"/>
      <c r="M36" s="5"/>
      <c r="N36" s="5"/>
      <c r="O36" s="5"/>
      <c r="P36" s="5"/>
      <c r="Q36" s="5"/>
      <c r="R36" s="5"/>
      <c r="S36" s="5"/>
      <c r="T36" s="5"/>
      <c r="U36" s="5"/>
      <c r="V36" s="5"/>
      <c r="W36" s="5"/>
      <c r="X36" s="5"/>
      <c r="Y36" s="5"/>
      <c r="Z36" s="5"/>
      <c r="AA36" s="5"/>
      <c r="AB36" s="5"/>
      <c r="AC36" s="5"/>
      <c r="AD36" s="5"/>
      <c r="AE36" s="5"/>
      <c r="AF36" s="5"/>
      <c r="AG36" s="5"/>
      <c r="AH36" s="5"/>
      <c r="AI36" s="5"/>
      <c r="AJ36" s="5"/>
      <c r="AK36" s="5"/>
    </row>
    <row r="37" spans="2:37" x14ac:dyDescent="0.3">
      <c r="B37" s="5"/>
      <c r="C37" s="5"/>
      <c r="D37" s="5"/>
      <c r="E37" s="5"/>
      <c r="F37" s="5"/>
      <c r="G37" s="5"/>
      <c r="H37" s="5"/>
      <c r="I37" s="5"/>
      <c r="J37" s="5"/>
      <c r="K37" s="5"/>
      <c r="L37" s="5"/>
      <c r="M37" s="5"/>
      <c r="N37" s="5"/>
      <c r="O37" s="5"/>
      <c r="P37" s="5"/>
      <c r="Q37" s="5"/>
      <c r="R37" s="5"/>
      <c r="S37" s="5"/>
      <c r="T37" s="5"/>
      <c r="U37" s="5"/>
      <c r="V37" s="5"/>
      <c r="W37" s="5"/>
      <c r="X37" s="5"/>
      <c r="Y37" s="5"/>
      <c r="Z37" s="5"/>
      <c r="AA37" s="5"/>
      <c r="AB37" s="5"/>
      <c r="AC37" s="5"/>
      <c r="AD37" s="5"/>
      <c r="AE37" s="5"/>
      <c r="AF37" s="5"/>
      <c r="AG37" s="5"/>
      <c r="AH37" s="5"/>
      <c r="AI37" s="5"/>
      <c r="AJ37" s="5"/>
      <c r="AK37" s="5"/>
    </row>
    <row r="38" spans="2:37" x14ac:dyDescent="0.3">
      <c r="B38" s="5"/>
      <c r="C38" s="5"/>
      <c r="D38" s="5"/>
      <c r="E38" s="5"/>
      <c r="F38" s="5"/>
      <c r="G38" s="5"/>
      <c r="H38" s="5"/>
      <c r="I38" s="5"/>
      <c r="J38" s="5"/>
      <c r="K38" s="5"/>
      <c r="L38" s="5"/>
      <c r="M38" s="5"/>
      <c r="N38" s="5"/>
      <c r="O38" s="5"/>
      <c r="P38" s="5"/>
      <c r="Q38" s="5"/>
      <c r="R38" s="5"/>
      <c r="S38" s="5"/>
      <c r="T38" s="5"/>
      <c r="U38" s="5"/>
      <c r="V38" s="5"/>
      <c r="W38" s="5"/>
      <c r="X38" s="5"/>
      <c r="Y38" s="5"/>
      <c r="Z38" s="5"/>
      <c r="AA38" s="5"/>
      <c r="AB38" s="5"/>
      <c r="AC38" s="5"/>
      <c r="AD38" s="5"/>
      <c r="AE38" s="5"/>
      <c r="AF38" s="5"/>
      <c r="AG38" s="5"/>
      <c r="AH38" s="5"/>
      <c r="AI38" s="5"/>
      <c r="AJ38" s="5"/>
      <c r="AK38" s="5"/>
    </row>
    <row r="39" spans="2:37" x14ac:dyDescent="0.3">
      <c r="B39" s="5"/>
      <c r="C39" s="5"/>
      <c r="D39" s="5"/>
      <c r="E39" s="5"/>
      <c r="F39" s="5"/>
      <c r="G39" s="5"/>
      <c r="H39" s="5"/>
      <c r="I39" s="5"/>
      <c r="J39" s="5"/>
      <c r="K39" s="5"/>
      <c r="L39" s="5"/>
      <c r="M39" s="5"/>
      <c r="N39" s="5"/>
      <c r="O39" s="5"/>
      <c r="P39" s="5"/>
      <c r="Q39" s="5"/>
      <c r="R39" s="5"/>
      <c r="S39" s="5"/>
      <c r="T39" s="5"/>
      <c r="U39" s="5"/>
      <c r="V39" s="5"/>
      <c r="W39" s="5"/>
      <c r="X39" s="5"/>
      <c r="Y39" s="5"/>
      <c r="Z39" s="5"/>
      <c r="AA39" s="5"/>
      <c r="AB39" s="5"/>
      <c r="AC39" s="5"/>
      <c r="AD39" s="5"/>
      <c r="AE39" s="5"/>
      <c r="AF39" s="5"/>
      <c r="AG39" s="5"/>
      <c r="AH39" s="5"/>
      <c r="AI39" s="5"/>
      <c r="AJ39" s="5"/>
      <c r="AK39" s="5"/>
    </row>
    <row r="40" spans="2:37" x14ac:dyDescent="0.3">
      <c r="B40" s="5"/>
      <c r="C40" s="5"/>
      <c r="D40" s="5"/>
      <c r="E40" s="5"/>
      <c r="F40" s="5"/>
      <c r="G40" s="5"/>
      <c r="H40" s="5"/>
      <c r="I40" s="5"/>
      <c r="J40" s="5"/>
      <c r="K40" s="5"/>
      <c r="L40" s="5"/>
      <c r="M40" s="5"/>
      <c r="N40" s="5"/>
      <c r="O40" s="5"/>
      <c r="P40" s="5"/>
      <c r="Q40" s="5"/>
      <c r="R40" s="5"/>
      <c r="S40" s="5"/>
      <c r="T40" s="5"/>
      <c r="U40" s="5"/>
      <c r="V40" s="5"/>
      <c r="W40" s="5"/>
      <c r="X40" s="5"/>
      <c r="Y40" s="5"/>
      <c r="Z40" s="5"/>
      <c r="AA40" s="5"/>
      <c r="AB40" s="5"/>
      <c r="AC40" s="5"/>
      <c r="AD40" s="5"/>
      <c r="AE40" s="5"/>
      <c r="AF40" s="5"/>
      <c r="AG40" s="5"/>
      <c r="AH40" s="5"/>
      <c r="AI40" s="5"/>
      <c r="AJ40" s="5"/>
      <c r="AK40" s="5"/>
    </row>
    <row r="41" spans="2:37" x14ac:dyDescent="0.3">
      <c r="B41" s="5"/>
      <c r="C41" s="5"/>
      <c r="D41" s="5"/>
      <c r="E41" s="5"/>
      <c r="F41" s="5"/>
      <c r="G41" s="5"/>
      <c r="H41" s="5"/>
      <c r="I41" s="5"/>
      <c r="J41" s="5"/>
      <c r="K41" s="5"/>
      <c r="L41" s="5"/>
      <c r="M41" s="5"/>
      <c r="N41" s="5"/>
      <c r="O41" s="5"/>
      <c r="P41" s="5"/>
      <c r="Q41" s="5"/>
      <c r="R41" s="5"/>
      <c r="S41" s="5"/>
      <c r="T41" s="5"/>
      <c r="U41" s="5"/>
      <c r="V41" s="5"/>
      <c r="W41" s="5"/>
      <c r="X41" s="5"/>
      <c r="Y41" s="5"/>
      <c r="Z41" s="5"/>
      <c r="AA41" s="5"/>
      <c r="AB41" s="5"/>
      <c r="AC41" s="5"/>
      <c r="AD41" s="5"/>
      <c r="AE41" s="5"/>
      <c r="AF41" s="5"/>
      <c r="AG41" s="5"/>
      <c r="AH41" s="5"/>
      <c r="AI41" s="5"/>
      <c r="AJ41" s="5"/>
      <c r="AK41" s="5"/>
    </row>
    <row r="42" spans="2:37" x14ac:dyDescent="0.3">
      <c r="B42" s="5"/>
      <c r="C42" s="5"/>
      <c r="D42" s="5"/>
      <c r="E42" s="5"/>
      <c r="F42" s="5"/>
      <c r="G42" s="5"/>
      <c r="H42" s="5"/>
      <c r="I42" s="5"/>
      <c r="J42" s="5"/>
      <c r="K42" s="5"/>
      <c r="L42" s="5"/>
      <c r="M42" s="5"/>
      <c r="N42" s="5"/>
      <c r="O42" s="5"/>
      <c r="P42" s="5"/>
      <c r="Q42" s="5"/>
      <c r="R42" s="5"/>
      <c r="S42" s="5"/>
      <c r="T42" s="5"/>
      <c r="U42" s="5"/>
      <c r="V42" s="5"/>
      <c r="W42" s="5"/>
      <c r="X42" s="5"/>
      <c r="Y42" s="5"/>
      <c r="Z42" s="5"/>
      <c r="AA42" s="5"/>
      <c r="AB42" s="5"/>
      <c r="AC42" s="5"/>
      <c r="AD42" s="5"/>
      <c r="AE42" s="5"/>
      <c r="AF42" s="5"/>
      <c r="AG42" s="5"/>
      <c r="AH42" s="5"/>
      <c r="AI42" s="5"/>
      <c r="AJ42" s="5"/>
      <c r="AK42" s="5"/>
    </row>
    <row r="43" spans="2:37" x14ac:dyDescent="0.3">
      <c r="B43" s="5"/>
      <c r="C43" s="5"/>
      <c r="D43" s="5"/>
      <c r="E43" s="5"/>
      <c r="F43" s="5"/>
      <c r="G43" s="5"/>
      <c r="H43" s="5"/>
      <c r="I43" s="5"/>
      <c r="J43" s="5"/>
      <c r="K43" s="5"/>
      <c r="L43" s="5"/>
      <c r="M43" s="5"/>
      <c r="N43" s="5"/>
      <c r="O43" s="5"/>
      <c r="P43" s="5"/>
      <c r="Q43" s="5"/>
      <c r="R43" s="5"/>
      <c r="S43" s="5"/>
      <c r="T43" s="5"/>
      <c r="U43" s="5"/>
      <c r="V43" s="5"/>
      <c r="W43" s="5"/>
      <c r="X43" s="5"/>
      <c r="Y43" s="5"/>
      <c r="Z43" s="5"/>
      <c r="AA43" s="5"/>
      <c r="AB43" s="5"/>
      <c r="AC43" s="5"/>
      <c r="AD43" s="5"/>
      <c r="AE43" s="5"/>
      <c r="AF43" s="5"/>
      <c r="AG43" s="5"/>
      <c r="AH43" s="5"/>
      <c r="AI43" s="5"/>
      <c r="AJ43" s="5"/>
      <c r="AK43" s="5"/>
    </row>
    <row r="44" spans="2:37" x14ac:dyDescent="0.3">
      <c r="B44" s="5"/>
      <c r="C44" s="5"/>
      <c r="D44" s="5"/>
      <c r="E44" s="5"/>
      <c r="F44" s="5"/>
      <c r="G44" s="5"/>
      <c r="H44" s="5"/>
      <c r="I44" s="5"/>
      <c r="J44" s="5"/>
      <c r="K44" s="5"/>
      <c r="L44" s="5"/>
      <c r="M44" s="5"/>
      <c r="N44" s="5"/>
      <c r="O44" s="5"/>
      <c r="P44" s="5"/>
      <c r="Q44" s="5"/>
      <c r="R44" s="5"/>
      <c r="S44" s="5"/>
      <c r="T44" s="5"/>
      <c r="U44" s="5"/>
      <c r="V44" s="5"/>
      <c r="W44" s="5"/>
      <c r="X44" s="5"/>
      <c r="Y44" s="5"/>
      <c r="Z44" s="5"/>
      <c r="AA44" s="5"/>
      <c r="AB44" s="5"/>
      <c r="AC44" s="5"/>
      <c r="AD44" s="5"/>
      <c r="AE44" s="5"/>
      <c r="AF44" s="5"/>
      <c r="AG44" s="5"/>
      <c r="AH44" s="5"/>
      <c r="AI44" s="5"/>
      <c r="AJ44" s="5"/>
      <c r="AK44" s="5"/>
    </row>
    <row r="45" spans="2:37" x14ac:dyDescent="0.3">
      <c r="B45" s="5"/>
      <c r="C45" s="5"/>
      <c r="D45" s="5"/>
      <c r="E45" s="5"/>
      <c r="F45" s="5"/>
      <c r="G45" s="5"/>
      <c r="H45" s="5"/>
      <c r="I45" s="5"/>
      <c r="J45" s="5"/>
      <c r="K45" s="5"/>
      <c r="L45" s="5"/>
      <c r="M45" s="5"/>
      <c r="N45" s="5"/>
      <c r="O45" s="5"/>
      <c r="P45" s="5"/>
      <c r="Q45" s="5"/>
      <c r="R45" s="5"/>
      <c r="S45" s="5"/>
      <c r="T45" s="5"/>
      <c r="U45" s="5"/>
      <c r="V45" s="5"/>
      <c r="W45" s="5"/>
      <c r="X45" s="5"/>
      <c r="Y45" s="5"/>
      <c r="Z45" s="5"/>
      <c r="AA45" s="5"/>
      <c r="AB45" s="5"/>
      <c r="AC45" s="5"/>
      <c r="AD45" s="5"/>
      <c r="AE45" s="5"/>
      <c r="AF45" s="5"/>
      <c r="AG45" s="5"/>
      <c r="AH45" s="5"/>
      <c r="AI45" s="5"/>
      <c r="AJ45" s="5"/>
      <c r="AK45" s="5"/>
    </row>
    <row r="46" spans="2:37" x14ac:dyDescent="0.3">
      <c r="B46" s="5"/>
      <c r="C46" s="5"/>
      <c r="D46" s="5"/>
      <c r="E46" s="5"/>
      <c r="F46" s="5"/>
      <c r="G46" s="5"/>
      <c r="H46" s="5"/>
      <c r="I46" s="5"/>
      <c r="J46" s="5"/>
      <c r="K46" s="5"/>
      <c r="L46" s="5"/>
      <c r="M46" s="5"/>
      <c r="N46" s="5"/>
      <c r="O46" s="5"/>
      <c r="P46" s="5"/>
      <c r="Q46" s="5"/>
      <c r="R46" s="5"/>
      <c r="S46" s="5"/>
      <c r="T46" s="5"/>
      <c r="U46" s="5"/>
      <c r="V46" s="5"/>
      <c r="W46" s="5"/>
      <c r="X46" s="5"/>
      <c r="Y46" s="5"/>
      <c r="Z46" s="5"/>
      <c r="AA46" s="5"/>
      <c r="AB46" s="5"/>
      <c r="AC46" s="5"/>
      <c r="AD46" s="5"/>
      <c r="AE46" s="5"/>
      <c r="AF46" s="5"/>
      <c r="AG46" s="5"/>
      <c r="AH46" s="5"/>
      <c r="AI46" s="5"/>
      <c r="AJ46" s="5"/>
      <c r="AK46" s="5"/>
    </row>
    <row r="47" spans="2:37" x14ac:dyDescent="0.3">
      <c r="B47" s="5"/>
      <c r="C47" s="5"/>
      <c r="D47" s="5"/>
      <c r="E47" s="5"/>
      <c r="F47" s="5"/>
      <c r="G47" s="5"/>
      <c r="H47" s="5"/>
      <c r="I47" s="5"/>
      <c r="J47" s="5"/>
      <c r="K47" s="5"/>
      <c r="L47" s="5"/>
      <c r="M47" s="5"/>
      <c r="N47" s="5"/>
      <c r="O47" s="5"/>
      <c r="P47" s="5"/>
      <c r="Q47" s="5"/>
      <c r="R47" s="5"/>
      <c r="S47" s="5"/>
      <c r="T47" s="5"/>
      <c r="U47" s="5"/>
      <c r="V47" s="5"/>
      <c r="W47" s="5"/>
      <c r="X47" s="5"/>
      <c r="Y47" s="5"/>
      <c r="Z47" s="5"/>
      <c r="AA47" s="5"/>
      <c r="AB47" s="5"/>
      <c r="AC47" s="5"/>
      <c r="AD47" s="5"/>
      <c r="AE47" s="5"/>
      <c r="AF47" s="5"/>
      <c r="AG47" s="5"/>
      <c r="AH47" s="5"/>
      <c r="AI47" s="5"/>
      <c r="AJ47" s="5"/>
      <c r="AK47" s="5"/>
    </row>
    <row r="48" spans="2:37" x14ac:dyDescent="0.3">
      <c r="B48" s="5"/>
      <c r="C48" s="5"/>
      <c r="D48" s="5"/>
      <c r="E48" s="5"/>
      <c r="F48" s="5"/>
      <c r="G48" s="5"/>
      <c r="H48" s="5"/>
      <c r="I48" s="5"/>
      <c r="J48" s="5"/>
      <c r="K48" s="5"/>
      <c r="L48" s="5"/>
      <c r="M48" s="5"/>
      <c r="N48" s="5"/>
      <c r="O48" s="5"/>
      <c r="P48" s="5"/>
      <c r="Q48" s="5"/>
      <c r="R48" s="5"/>
      <c r="S48" s="5"/>
      <c r="T48" s="5"/>
      <c r="U48" s="5"/>
      <c r="V48" s="5"/>
      <c r="W48" s="5"/>
      <c r="X48" s="5"/>
      <c r="Y48" s="5"/>
      <c r="Z48" s="5"/>
      <c r="AA48" s="5"/>
      <c r="AB48" s="5"/>
      <c r="AC48" s="5"/>
      <c r="AD48" s="5"/>
      <c r="AE48" s="5"/>
      <c r="AF48" s="5"/>
      <c r="AG48" s="5"/>
      <c r="AH48" s="5"/>
      <c r="AI48" s="5"/>
      <c r="AJ48" s="5"/>
      <c r="AK48" s="5"/>
    </row>
    <row r="49" spans="2:37" x14ac:dyDescent="0.3">
      <c r="B49" s="5"/>
      <c r="C49" s="5"/>
      <c r="D49" s="5"/>
      <c r="E49" s="5"/>
      <c r="F49" s="5"/>
      <c r="G49" s="5"/>
      <c r="H49" s="5"/>
      <c r="I49" s="5"/>
      <c r="J49" s="5"/>
      <c r="K49" s="5"/>
      <c r="L49" s="5"/>
      <c r="M49" s="5"/>
      <c r="N49" s="5"/>
      <c r="O49" s="5"/>
      <c r="P49" s="5"/>
      <c r="Q49" s="5"/>
      <c r="R49" s="5"/>
      <c r="S49" s="5"/>
      <c r="T49" s="5"/>
      <c r="U49" s="5"/>
      <c r="V49" s="5"/>
      <c r="W49" s="5"/>
      <c r="X49" s="5"/>
      <c r="Y49" s="5"/>
      <c r="Z49" s="5"/>
      <c r="AA49" s="5"/>
      <c r="AB49" s="5"/>
      <c r="AC49" s="5"/>
      <c r="AD49" s="5"/>
      <c r="AE49" s="5"/>
      <c r="AF49" s="5"/>
      <c r="AG49" s="5"/>
      <c r="AH49" s="5"/>
      <c r="AI49" s="5"/>
      <c r="AJ49" s="5"/>
      <c r="AK49" s="5"/>
    </row>
    <row r="50" spans="2:37" x14ac:dyDescent="0.3">
      <c r="B50" s="5"/>
      <c r="C50" s="5"/>
      <c r="D50" s="5"/>
      <c r="E50" s="5"/>
      <c r="F50" s="5"/>
      <c r="G50" s="5"/>
      <c r="H50" s="5"/>
      <c r="I50" s="5"/>
      <c r="J50" s="5"/>
      <c r="K50" s="5"/>
      <c r="L50" s="5"/>
      <c r="M50" s="5"/>
      <c r="N50" s="5"/>
      <c r="O50" s="5"/>
      <c r="P50" s="5"/>
      <c r="Q50" s="5"/>
      <c r="R50" s="5"/>
      <c r="S50" s="5"/>
      <c r="T50" s="5"/>
      <c r="U50" s="5"/>
      <c r="V50" s="5"/>
      <c r="W50" s="5"/>
      <c r="X50" s="5"/>
      <c r="Y50" s="5"/>
      <c r="Z50" s="5"/>
      <c r="AA50" s="5"/>
      <c r="AB50" s="5"/>
      <c r="AC50" s="5"/>
      <c r="AD50" s="5"/>
      <c r="AE50" s="5"/>
      <c r="AF50" s="5"/>
      <c r="AG50" s="5"/>
      <c r="AH50" s="5"/>
      <c r="AI50" s="5"/>
      <c r="AJ50" s="5"/>
      <c r="AK50" s="5"/>
    </row>
    <row r="51" spans="2:37" x14ac:dyDescent="0.3">
      <c r="B51" s="5"/>
      <c r="C51" s="5"/>
      <c r="D51" s="5"/>
      <c r="E51" s="5"/>
      <c r="F51" s="5"/>
      <c r="G51" s="5"/>
      <c r="H51" s="5"/>
      <c r="I51" s="5"/>
      <c r="J51" s="5"/>
      <c r="K51" s="5"/>
      <c r="L51" s="5"/>
      <c r="M51" s="5"/>
      <c r="N51" s="5"/>
      <c r="O51" s="5"/>
      <c r="P51" s="5"/>
      <c r="Q51" s="5"/>
      <c r="R51" s="5"/>
      <c r="S51" s="5"/>
      <c r="T51" s="5"/>
      <c r="U51" s="5"/>
      <c r="V51" s="5"/>
      <c r="W51" s="5"/>
      <c r="X51" s="5"/>
      <c r="Y51" s="5"/>
      <c r="Z51" s="5"/>
      <c r="AA51" s="5"/>
      <c r="AB51" s="5"/>
      <c r="AC51" s="5"/>
      <c r="AD51" s="5"/>
      <c r="AE51" s="5"/>
      <c r="AF51" s="5"/>
      <c r="AG51" s="5"/>
      <c r="AH51" s="5"/>
      <c r="AI51" s="5"/>
      <c r="AJ51" s="5"/>
      <c r="AK51" s="5"/>
    </row>
    <row r="52" spans="2:37" x14ac:dyDescent="0.3">
      <c r="B52" s="5"/>
      <c r="C52" s="5"/>
      <c r="D52" s="5"/>
      <c r="E52" s="5"/>
      <c r="F52" s="5"/>
      <c r="G52" s="5"/>
      <c r="H52" s="5"/>
      <c r="I52" s="5"/>
      <c r="J52" s="5"/>
      <c r="K52" s="5"/>
      <c r="L52" s="5"/>
      <c r="M52" s="5"/>
      <c r="N52" s="5"/>
      <c r="O52" s="5"/>
      <c r="P52" s="5"/>
      <c r="Q52" s="5"/>
      <c r="R52" s="5"/>
      <c r="S52" s="5"/>
      <c r="T52" s="5"/>
      <c r="U52" s="5"/>
      <c r="V52" s="5"/>
      <c r="W52" s="5"/>
      <c r="X52" s="5"/>
      <c r="Y52" s="5"/>
      <c r="Z52" s="5"/>
      <c r="AA52" s="5"/>
      <c r="AB52" s="5"/>
      <c r="AC52" s="5"/>
      <c r="AD52" s="5"/>
      <c r="AE52" s="5"/>
      <c r="AF52" s="5"/>
      <c r="AG52" s="5"/>
      <c r="AH52" s="5"/>
      <c r="AI52" s="5"/>
      <c r="AJ52" s="5"/>
      <c r="AK52" s="5"/>
    </row>
    <row r="53" spans="2:37" x14ac:dyDescent="0.3">
      <c r="B53" s="5"/>
      <c r="C53" s="5"/>
      <c r="D53" s="5"/>
      <c r="E53" s="5"/>
      <c r="F53" s="5"/>
      <c r="G53" s="5"/>
      <c r="H53" s="5"/>
      <c r="I53" s="5"/>
      <c r="J53" s="5"/>
      <c r="K53" s="5"/>
      <c r="L53" s="5"/>
      <c r="M53" s="5"/>
      <c r="N53" s="5"/>
      <c r="O53" s="5"/>
      <c r="P53" s="5"/>
      <c r="Q53" s="5"/>
      <c r="R53" s="5"/>
      <c r="S53" s="5"/>
      <c r="T53" s="5"/>
      <c r="U53" s="5"/>
      <c r="V53" s="5"/>
      <c r="W53" s="5"/>
      <c r="X53" s="5"/>
      <c r="Y53" s="5"/>
      <c r="Z53" s="5"/>
      <c r="AA53" s="5"/>
      <c r="AB53" s="5"/>
      <c r="AC53" s="5"/>
      <c r="AD53" s="5"/>
      <c r="AE53" s="5"/>
      <c r="AF53" s="5"/>
      <c r="AG53" s="5"/>
      <c r="AH53" s="5"/>
      <c r="AI53" s="5"/>
      <c r="AJ53" s="5"/>
      <c r="AK53" s="5"/>
    </row>
    <row r="54" spans="2:37" x14ac:dyDescent="0.3">
      <c r="B54" s="5"/>
      <c r="C54" s="5"/>
      <c r="D54" s="5"/>
      <c r="E54" s="5"/>
      <c r="F54" s="5"/>
      <c r="G54" s="5"/>
      <c r="H54" s="5"/>
      <c r="I54" s="5"/>
      <c r="J54" s="5"/>
      <c r="K54" s="5"/>
      <c r="L54" s="5"/>
      <c r="M54" s="5"/>
      <c r="N54" s="5"/>
      <c r="O54" s="5"/>
      <c r="P54" s="5"/>
      <c r="Q54" s="5"/>
      <c r="R54" s="5"/>
      <c r="S54" s="5"/>
      <c r="T54" s="5"/>
      <c r="U54" s="5"/>
      <c r="V54" s="5"/>
      <c r="W54" s="5"/>
      <c r="X54" s="5"/>
      <c r="Y54" s="5"/>
      <c r="Z54" s="5"/>
      <c r="AA54" s="5"/>
      <c r="AB54" s="5"/>
      <c r="AC54" s="5"/>
      <c r="AD54" s="5"/>
      <c r="AE54" s="5"/>
      <c r="AF54" s="5"/>
      <c r="AG54" s="5"/>
      <c r="AH54" s="5"/>
      <c r="AI54" s="5"/>
      <c r="AJ54" s="5"/>
      <c r="AK54" s="5"/>
    </row>
    <row r="55" spans="2:37" x14ac:dyDescent="0.3">
      <c r="B55" s="5"/>
      <c r="C55" s="5"/>
      <c r="D55" s="5"/>
      <c r="E55" s="5"/>
      <c r="F55" s="5"/>
      <c r="G55" s="5"/>
      <c r="H55" s="5"/>
      <c r="I55" s="5"/>
      <c r="J55" s="5"/>
      <c r="K55" s="5"/>
      <c r="L55" s="5"/>
      <c r="M55" s="5"/>
      <c r="N55" s="5"/>
      <c r="O55" s="5"/>
      <c r="P55" s="5"/>
      <c r="Q55" s="5"/>
      <c r="R55" s="5"/>
      <c r="S55" s="5"/>
      <c r="T55" s="5"/>
      <c r="U55" s="5"/>
      <c r="V55" s="5"/>
      <c r="W55" s="5"/>
      <c r="X55" s="5"/>
      <c r="Y55" s="5"/>
      <c r="Z55" s="5"/>
      <c r="AA55" s="5"/>
      <c r="AB55" s="5"/>
      <c r="AC55" s="5"/>
      <c r="AD55" s="5"/>
      <c r="AE55" s="5"/>
      <c r="AF55" s="5"/>
      <c r="AG55" s="5"/>
      <c r="AH55" s="5"/>
      <c r="AI55" s="5"/>
      <c r="AJ55" s="5"/>
      <c r="AK55" s="5"/>
    </row>
    <row r="56" spans="2:37" x14ac:dyDescent="0.3">
      <c r="B56" s="5"/>
      <c r="C56" s="5"/>
      <c r="D56" s="5"/>
      <c r="E56" s="5"/>
      <c r="F56" s="5"/>
      <c r="G56" s="5"/>
      <c r="H56" s="5"/>
      <c r="I56" s="5"/>
      <c r="J56" s="5"/>
      <c r="K56" s="5"/>
      <c r="L56" s="5"/>
      <c r="M56" s="5"/>
      <c r="N56" s="5"/>
      <c r="O56" s="5"/>
      <c r="P56" s="5"/>
      <c r="Q56" s="5"/>
      <c r="R56" s="5"/>
      <c r="S56" s="5"/>
      <c r="T56" s="5"/>
      <c r="U56" s="5"/>
      <c r="V56" s="5"/>
      <c r="W56" s="5"/>
      <c r="X56" s="5"/>
      <c r="Y56" s="5"/>
      <c r="Z56" s="5"/>
      <c r="AA56" s="5"/>
      <c r="AB56" s="5"/>
      <c r="AC56" s="5"/>
      <c r="AD56" s="5"/>
      <c r="AE56" s="5"/>
      <c r="AF56" s="5"/>
      <c r="AG56" s="5"/>
      <c r="AH56" s="5"/>
      <c r="AI56" s="5"/>
      <c r="AJ56" s="5"/>
      <c r="AK56" s="5"/>
    </row>
    <row r="57" spans="2:37" x14ac:dyDescent="0.3">
      <c r="B57" s="5"/>
      <c r="C57" s="5"/>
      <c r="D57" s="5"/>
      <c r="E57" s="5"/>
      <c r="F57" s="5"/>
      <c r="G57" s="5"/>
      <c r="H57" s="5"/>
      <c r="I57" s="5"/>
      <c r="J57" s="5"/>
      <c r="K57" s="5"/>
      <c r="L57" s="5"/>
      <c r="M57" s="5"/>
      <c r="N57" s="5"/>
      <c r="O57" s="5"/>
      <c r="P57" s="5"/>
      <c r="Q57" s="5"/>
      <c r="R57" s="5"/>
      <c r="S57" s="5"/>
      <c r="T57" s="5"/>
      <c r="U57" s="5"/>
      <c r="V57" s="5"/>
      <c r="W57" s="5"/>
      <c r="X57" s="5"/>
      <c r="Y57" s="5"/>
      <c r="Z57" s="5"/>
      <c r="AA57" s="5"/>
      <c r="AB57" s="5"/>
      <c r="AC57" s="5"/>
      <c r="AD57" s="5"/>
      <c r="AE57" s="5"/>
      <c r="AF57" s="5"/>
      <c r="AG57" s="5"/>
      <c r="AH57" s="5"/>
      <c r="AI57" s="5"/>
      <c r="AJ57" s="5"/>
      <c r="AK57" s="5"/>
    </row>
    <row r="58" spans="2:37" x14ac:dyDescent="0.3">
      <c r="B58" s="5"/>
      <c r="C58" s="5"/>
      <c r="D58" s="5"/>
      <c r="E58" s="5"/>
      <c r="F58" s="5"/>
      <c r="G58" s="5"/>
      <c r="H58" s="5"/>
      <c r="I58" s="5"/>
      <c r="J58" s="5"/>
      <c r="K58" s="5"/>
      <c r="L58" s="5"/>
      <c r="M58" s="5"/>
      <c r="N58" s="5"/>
      <c r="O58" s="5"/>
      <c r="P58" s="5"/>
      <c r="Q58" s="5"/>
      <c r="R58" s="5"/>
      <c r="S58" s="5"/>
      <c r="T58" s="5"/>
      <c r="U58" s="5"/>
      <c r="V58" s="5"/>
      <c r="W58" s="5"/>
      <c r="X58" s="5"/>
      <c r="Y58" s="5"/>
      <c r="Z58" s="5"/>
      <c r="AA58" s="5"/>
      <c r="AB58" s="5"/>
      <c r="AC58" s="5"/>
      <c r="AD58" s="5"/>
      <c r="AE58" s="5"/>
      <c r="AF58" s="5"/>
      <c r="AG58" s="5"/>
      <c r="AH58" s="5"/>
      <c r="AI58" s="5"/>
      <c r="AJ58" s="5"/>
      <c r="AK58" s="5"/>
    </row>
    <row r="59" spans="2:37" x14ac:dyDescent="0.3">
      <c r="B59" s="5"/>
      <c r="C59" s="5"/>
      <c r="D59" s="5"/>
      <c r="E59" s="5"/>
      <c r="F59" s="5"/>
      <c r="G59" s="5"/>
      <c r="H59" s="5"/>
      <c r="I59" s="5"/>
      <c r="J59" s="5"/>
      <c r="K59" s="5"/>
      <c r="L59" s="5"/>
      <c r="M59" s="5"/>
      <c r="N59" s="5"/>
      <c r="O59" s="5"/>
      <c r="P59" s="5"/>
      <c r="Q59" s="5"/>
      <c r="R59" s="5"/>
      <c r="S59" s="5"/>
      <c r="T59" s="5"/>
      <c r="U59" s="5"/>
      <c r="V59" s="5"/>
      <c r="W59" s="5"/>
      <c r="X59" s="5"/>
      <c r="Y59" s="5"/>
      <c r="Z59" s="5"/>
      <c r="AA59" s="5"/>
      <c r="AB59" s="5"/>
      <c r="AC59" s="5"/>
      <c r="AD59" s="5"/>
      <c r="AE59" s="5"/>
      <c r="AF59" s="5"/>
      <c r="AG59" s="5"/>
      <c r="AH59" s="5"/>
      <c r="AI59" s="5"/>
      <c r="AJ59" s="5"/>
      <c r="AK59" s="5"/>
    </row>
    <row r="60" spans="2:37" x14ac:dyDescent="0.3">
      <c r="B60" s="5"/>
      <c r="C60" s="5"/>
      <c r="D60" s="5"/>
      <c r="E60" s="5"/>
      <c r="F60" s="5"/>
      <c r="G60" s="5"/>
      <c r="H60" s="5"/>
      <c r="I60" s="5"/>
      <c r="J60" s="5"/>
      <c r="K60" s="5"/>
      <c r="L60" s="5"/>
      <c r="M60" s="5"/>
      <c r="N60" s="5"/>
      <c r="O60" s="5"/>
      <c r="P60" s="5"/>
      <c r="Q60" s="5"/>
      <c r="R60" s="5"/>
      <c r="S60" s="5"/>
      <c r="T60" s="5"/>
      <c r="U60" s="5"/>
      <c r="V60" s="5"/>
      <c r="W60" s="5"/>
      <c r="X60" s="5"/>
      <c r="Y60" s="5"/>
      <c r="Z60" s="5"/>
      <c r="AA60" s="5"/>
      <c r="AB60" s="5"/>
      <c r="AC60" s="5"/>
      <c r="AD60" s="5"/>
      <c r="AE60" s="5"/>
      <c r="AF60" s="5"/>
      <c r="AG60" s="5"/>
      <c r="AH60" s="5"/>
      <c r="AI60" s="5"/>
      <c r="AJ60" s="5"/>
      <c r="AK60" s="5"/>
    </row>
    <row r="61" spans="2:37" x14ac:dyDescent="0.3">
      <c r="B61" s="5"/>
      <c r="C61" s="5"/>
      <c r="D61" s="5"/>
      <c r="E61" s="5"/>
      <c r="F61" s="5"/>
      <c r="G61" s="5"/>
      <c r="H61" s="5"/>
      <c r="I61" s="5"/>
      <c r="J61" s="5"/>
      <c r="K61" s="5"/>
      <c r="L61" s="5"/>
      <c r="M61" s="5"/>
      <c r="N61" s="5"/>
      <c r="O61" s="5"/>
      <c r="P61" s="5"/>
      <c r="Q61" s="5"/>
      <c r="R61" s="5"/>
      <c r="S61" s="5"/>
      <c r="T61" s="5"/>
      <c r="U61" s="5"/>
      <c r="V61" s="5"/>
      <c r="W61" s="5"/>
      <c r="X61" s="5"/>
      <c r="Y61" s="5"/>
      <c r="Z61" s="5"/>
      <c r="AA61" s="5"/>
      <c r="AB61" s="5"/>
      <c r="AC61" s="5"/>
      <c r="AD61" s="5"/>
      <c r="AE61" s="5"/>
      <c r="AF61" s="5"/>
      <c r="AG61" s="5"/>
      <c r="AH61" s="5"/>
      <c r="AI61" s="5"/>
      <c r="AJ61" s="5"/>
      <c r="AK61" s="5"/>
    </row>
    <row r="62" spans="2:37" x14ac:dyDescent="0.3">
      <c r="B62" s="5"/>
      <c r="C62" s="5"/>
      <c r="D62" s="5"/>
      <c r="E62" s="5"/>
      <c r="F62" s="5"/>
      <c r="G62" s="5"/>
      <c r="H62" s="5"/>
      <c r="I62" s="5"/>
      <c r="J62" s="5"/>
      <c r="K62" s="5"/>
      <c r="L62" s="5"/>
      <c r="M62" s="5"/>
      <c r="N62" s="5"/>
      <c r="O62" s="5"/>
      <c r="P62" s="5"/>
      <c r="Q62" s="5"/>
      <c r="R62" s="5"/>
      <c r="S62" s="5"/>
      <c r="T62" s="5"/>
      <c r="U62" s="5"/>
      <c r="V62" s="5"/>
      <c r="W62" s="5"/>
      <c r="X62" s="5"/>
      <c r="Y62" s="5"/>
      <c r="Z62" s="5"/>
      <c r="AA62" s="5"/>
      <c r="AB62" s="5"/>
      <c r="AC62" s="5"/>
      <c r="AD62" s="5"/>
      <c r="AE62" s="5"/>
      <c r="AF62" s="5"/>
      <c r="AG62" s="5"/>
      <c r="AH62" s="5"/>
      <c r="AI62" s="5"/>
      <c r="AJ62" s="5"/>
      <c r="AK62" s="5"/>
    </row>
    <row r="63" spans="2:37" x14ac:dyDescent="0.3">
      <c r="B63" s="5"/>
      <c r="C63" s="5"/>
      <c r="D63" s="5"/>
      <c r="E63" s="5"/>
      <c r="F63" s="5"/>
      <c r="G63" s="5"/>
      <c r="H63" s="5"/>
      <c r="I63" s="5"/>
      <c r="J63" s="5"/>
      <c r="K63" s="5"/>
      <c r="L63" s="5"/>
      <c r="M63" s="5"/>
      <c r="N63" s="5"/>
      <c r="O63" s="5"/>
      <c r="P63" s="5"/>
      <c r="Q63" s="5"/>
      <c r="R63" s="5"/>
      <c r="S63" s="5"/>
      <c r="T63" s="5"/>
      <c r="U63" s="5"/>
      <c r="V63" s="5"/>
      <c r="W63" s="5"/>
      <c r="X63" s="5"/>
      <c r="Y63" s="5"/>
      <c r="Z63" s="5"/>
      <c r="AA63" s="5"/>
      <c r="AB63" s="5"/>
      <c r="AC63" s="5"/>
      <c r="AD63" s="5"/>
      <c r="AE63" s="5"/>
      <c r="AF63" s="5"/>
      <c r="AG63" s="5"/>
      <c r="AH63" s="5"/>
      <c r="AI63" s="5"/>
      <c r="AJ63" s="5"/>
      <c r="AK63" s="5"/>
    </row>
    <row r="64" spans="2:37" x14ac:dyDescent="0.3">
      <c r="B64" s="5"/>
      <c r="C64" s="5"/>
      <c r="D64" s="5"/>
      <c r="E64" s="5"/>
      <c r="F64" s="5"/>
      <c r="G64" s="5"/>
      <c r="H64" s="5"/>
      <c r="I64" s="5"/>
      <c r="J64" s="5"/>
      <c r="K64" s="5"/>
      <c r="L64" s="5"/>
      <c r="M64" s="5"/>
      <c r="N64" s="5"/>
      <c r="O64" s="5"/>
      <c r="P64" s="5"/>
      <c r="Q64" s="5"/>
      <c r="R64" s="5"/>
      <c r="S64" s="5"/>
      <c r="T64" s="5"/>
      <c r="U64" s="5"/>
      <c r="V64" s="5"/>
      <c r="W64" s="5"/>
      <c r="X64" s="5"/>
      <c r="Y64" s="5"/>
      <c r="Z64" s="5"/>
      <c r="AA64" s="5"/>
      <c r="AB64" s="5"/>
      <c r="AC64" s="5"/>
      <c r="AD64" s="5"/>
      <c r="AE64" s="5"/>
      <c r="AF64" s="5"/>
      <c r="AG64" s="5"/>
      <c r="AH64" s="5"/>
      <c r="AI64" s="5"/>
      <c r="AJ64" s="5"/>
      <c r="AK64" s="5"/>
    </row>
    <row r="65" spans="2:37" x14ac:dyDescent="0.3">
      <c r="B65" s="5"/>
      <c r="C65" s="5"/>
      <c r="D65" s="5"/>
      <c r="E65" s="5"/>
      <c r="F65" s="5"/>
      <c r="G65" s="5"/>
      <c r="H65" s="5"/>
      <c r="I65" s="5"/>
      <c r="J65" s="5"/>
      <c r="K65" s="5"/>
      <c r="L65" s="5"/>
      <c r="M65" s="5"/>
      <c r="N65" s="5"/>
      <c r="O65" s="5"/>
      <c r="P65" s="5"/>
      <c r="Q65" s="5"/>
      <c r="R65" s="5"/>
      <c r="S65" s="5"/>
      <c r="T65" s="5"/>
      <c r="U65" s="5"/>
      <c r="V65" s="5"/>
      <c r="W65" s="5"/>
      <c r="X65" s="5"/>
      <c r="Y65" s="5"/>
      <c r="Z65" s="5"/>
      <c r="AA65" s="5"/>
      <c r="AB65" s="5"/>
      <c r="AC65" s="5"/>
      <c r="AD65" s="5"/>
      <c r="AE65" s="5"/>
      <c r="AF65" s="5"/>
      <c r="AG65" s="5"/>
      <c r="AH65" s="5"/>
      <c r="AI65" s="5"/>
      <c r="AJ65" s="5"/>
      <c r="AK65" s="5"/>
    </row>
    <row r="66" spans="2:37" x14ac:dyDescent="0.3">
      <c r="B66" s="5"/>
      <c r="C66" s="5"/>
      <c r="D66" s="5"/>
      <c r="E66" s="5"/>
      <c r="F66" s="5"/>
      <c r="G66" s="5"/>
      <c r="H66" s="5"/>
      <c r="I66" s="5"/>
      <c r="J66" s="5"/>
      <c r="K66" s="5"/>
      <c r="L66" s="5"/>
      <c r="M66" s="5"/>
      <c r="N66" s="5"/>
      <c r="O66" s="5"/>
      <c r="P66" s="5"/>
      <c r="Q66" s="5"/>
      <c r="R66" s="5"/>
      <c r="S66" s="5"/>
      <c r="T66" s="5"/>
      <c r="U66" s="5"/>
      <c r="V66" s="5"/>
      <c r="W66" s="5"/>
      <c r="X66" s="5"/>
      <c r="Y66" s="5"/>
      <c r="Z66" s="5"/>
      <c r="AA66" s="5"/>
      <c r="AB66" s="5"/>
      <c r="AC66" s="5"/>
      <c r="AD66" s="5"/>
      <c r="AE66" s="5"/>
      <c r="AF66" s="5"/>
      <c r="AG66" s="5"/>
      <c r="AH66" s="5"/>
      <c r="AI66" s="5"/>
      <c r="AJ66" s="5"/>
      <c r="AK66" s="5"/>
    </row>
    <row r="67" spans="2:37" x14ac:dyDescent="0.3">
      <c r="B67" s="5"/>
      <c r="C67" s="5"/>
      <c r="D67" s="5"/>
      <c r="E67" s="5"/>
      <c r="F67" s="5"/>
      <c r="G67" s="5"/>
      <c r="H67" s="5"/>
      <c r="I67" s="5"/>
      <c r="J67" s="5"/>
      <c r="K67" s="5"/>
      <c r="L67" s="5"/>
      <c r="M67" s="5"/>
      <c r="N67" s="5"/>
      <c r="O67" s="5"/>
      <c r="P67" s="5"/>
      <c r="Q67" s="5"/>
      <c r="R67" s="5"/>
      <c r="S67" s="5"/>
      <c r="T67" s="5"/>
      <c r="U67" s="5"/>
      <c r="V67" s="5"/>
      <c r="W67" s="5"/>
      <c r="X67" s="5"/>
      <c r="Y67" s="5"/>
      <c r="Z67" s="5"/>
      <c r="AA67" s="5"/>
      <c r="AB67" s="5"/>
      <c r="AC67" s="5"/>
      <c r="AD67" s="5"/>
      <c r="AE67" s="5"/>
      <c r="AF67" s="5"/>
      <c r="AG67" s="5"/>
      <c r="AH67" s="5"/>
      <c r="AI67" s="5"/>
      <c r="AJ67" s="5"/>
      <c r="AK67" s="5"/>
    </row>
    <row r="68" spans="2:37" x14ac:dyDescent="0.3">
      <c r="B68" s="5"/>
      <c r="C68" s="5"/>
      <c r="D68" s="5"/>
      <c r="E68" s="5"/>
      <c r="F68" s="5"/>
      <c r="G68" s="5"/>
      <c r="H68" s="5"/>
      <c r="I68" s="5"/>
      <c r="J68" s="5"/>
      <c r="K68" s="5"/>
      <c r="L68" s="5"/>
      <c r="M68" s="5"/>
      <c r="N68" s="5"/>
      <c r="O68" s="5"/>
      <c r="P68" s="5"/>
      <c r="Q68" s="5"/>
      <c r="R68" s="5"/>
      <c r="S68" s="5"/>
      <c r="T68" s="5"/>
      <c r="U68" s="5"/>
      <c r="V68" s="5"/>
      <c r="W68" s="5"/>
      <c r="X68" s="5"/>
      <c r="Y68" s="5"/>
      <c r="Z68" s="5"/>
      <c r="AA68" s="5"/>
      <c r="AB68" s="5"/>
      <c r="AC68" s="5"/>
      <c r="AD68" s="5"/>
      <c r="AE68" s="5"/>
      <c r="AF68" s="5"/>
      <c r="AG68" s="5"/>
      <c r="AH68" s="5"/>
      <c r="AI68" s="5"/>
      <c r="AJ68" s="5"/>
      <c r="AK68" s="5"/>
    </row>
    <row r="69" spans="2:37" x14ac:dyDescent="0.3">
      <c r="B69" s="5"/>
      <c r="C69" s="5"/>
      <c r="D69" s="5"/>
      <c r="E69" s="5"/>
      <c r="F69" s="5"/>
      <c r="G69" s="5"/>
      <c r="H69" s="5"/>
      <c r="I69" s="5"/>
      <c r="J69" s="5"/>
      <c r="K69" s="5"/>
      <c r="L69" s="5"/>
      <c r="M69" s="5"/>
      <c r="N69" s="5"/>
      <c r="O69" s="5"/>
      <c r="P69" s="5"/>
      <c r="Q69" s="5"/>
      <c r="R69" s="5"/>
      <c r="S69" s="5"/>
      <c r="T69" s="5"/>
      <c r="U69" s="5"/>
      <c r="V69" s="5"/>
      <c r="W69" s="5"/>
      <c r="X69" s="5"/>
      <c r="Y69" s="5"/>
      <c r="Z69" s="5"/>
      <c r="AA69" s="5"/>
      <c r="AB69" s="5"/>
      <c r="AC69" s="5"/>
      <c r="AD69" s="5"/>
      <c r="AE69" s="5"/>
      <c r="AF69" s="5"/>
      <c r="AG69" s="5"/>
      <c r="AH69" s="5"/>
      <c r="AI69" s="5"/>
      <c r="AJ69" s="5"/>
      <c r="AK69" s="5"/>
    </row>
    <row r="70" spans="2:37" x14ac:dyDescent="0.3">
      <c r="B70" s="5"/>
      <c r="C70" s="5"/>
      <c r="D70" s="5"/>
      <c r="E70" s="5"/>
      <c r="F70" s="5"/>
      <c r="G70" s="5"/>
      <c r="H70" s="5"/>
      <c r="I70" s="5"/>
      <c r="J70" s="5"/>
      <c r="K70" s="5"/>
      <c r="L70" s="5"/>
      <c r="M70" s="5"/>
      <c r="N70" s="5"/>
      <c r="O70" s="5"/>
      <c r="P70" s="5"/>
      <c r="Q70" s="5"/>
      <c r="R70" s="5"/>
      <c r="S70" s="5"/>
      <c r="T70" s="5"/>
      <c r="U70" s="5"/>
      <c r="V70" s="5"/>
      <c r="W70" s="5"/>
      <c r="X70" s="5"/>
      <c r="Y70" s="5"/>
      <c r="Z70" s="5"/>
      <c r="AA70" s="5"/>
      <c r="AB70" s="5"/>
      <c r="AC70" s="5"/>
      <c r="AD70" s="5"/>
      <c r="AE70" s="5"/>
      <c r="AF70" s="5"/>
      <c r="AG70" s="5"/>
      <c r="AH70" s="5"/>
      <c r="AI70" s="5"/>
      <c r="AJ70" s="5"/>
      <c r="AK70" s="5"/>
    </row>
    <row r="71" spans="2:37" x14ac:dyDescent="0.3">
      <c r="B71" s="5"/>
      <c r="C71" s="5"/>
      <c r="D71" s="5"/>
      <c r="E71" s="5"/>
      <c r="F71" s="5"/>
      <c r="G71" s="5"/>
      <c r="H71" s="5"/>
      <c r="I71" s="5"/>
      <c r="J71" s="5"/>
      <c r="K71" s="5"/>
      <c r="L71" s="5"/>
      <c r="M71" s="5"/>
      <c r="N71" s="5"/>
      <c r="O71" s="5"/>
      <c r="P71" s="5"/>
      <c r="Q71" s="5"/>
      <c r="R71" s="5"/>
      <c r="S71" s="5"/>
      <c r="T71" s="5"/>
      <c r="U71" s="5"/>
      <c r="V71" s="5"/>
      <c r="W71" s="5"/>
      <c r="X71" s="5"/>
      <c r="Y71" s="5"/>
      <c r="Z71" s="5"/>
      <c r="AA71" s="5"/>
      <c r="AB71" s="5"/>
      <c r="AC71" s="5"/>
      <c r="AD71" s="5"/>
      <c r="AE71" s="5"/>
      <c r="AF71" s="5"/>
      <c r="AG71" s="5"/>
      <c r="AH71" s="5"/>
      <c r="AI71" s="5"/>
      <c r="AJ71" s="5"/>
      <c r="AK71" s="5"/>
    </row>
    <row r="72" spans="2:37" x14ac:dyDescent="0.3">
      <c r="B72" s="5"/>
      <c r="C72" s="5"/>
      <c r="D72" s="5"/>
      <c r="E72" s="5"/>
      <c r="F72" s="5"/>
      <c r="G72" s="5"/>
      <c r="H72" s="5"/>
      <c r="I72" s="5"/>
      <c r="J72" s="5"/>
      <c r="K72" s="5"/>
      <c r="L72" s="5"/>
      <c r="M72" s="5"/>
      <c r="N72" s="5"/>
      <c r="O72" s="5"/>
      <c r="P72" s="5"/>
      <c r="Q72" s="5"/>
      <c r="R72" s="5"/>
      <c r="S72" s="5"/>
      <c r="T72" s="5"/>
      <c r="U72" s="5"/>
      <c r="V72" s="5"/>
      <c r="W72" s="5"/>
      <c r="X72" s="5"/>
      <c r="Y72" s="5"/>
      <c r="Z72" s="5"/>
      <c r="AA72" s="5"/>
      <c r="AB72" s="5"/>
      <c r="AC72" s="5"/>
      <c r="AD72" s="5"/>
      <c r="AE72" s="5"/>
      <c r="AF72" s="5"/>
      <c r="AG72" s="5"/>
      <c r="AH72" s="5"/>
      <c r="AI72" s="5"/>
      <c r="AJ72" s="5"/>
      <c r="AK72" s="5"/>
    </row>
    <row r="73" spans="2:37" x14ac:dyDescent="0.3">
      <c r="B73" s="5"/>
      <c r="C73" s="5"/>
      <c r="D73" s="5"/>
      <c r="E73" s="5"/>
      <c r="F73" s="5"/>
      <c r="G73" s="5"/>
      <c r="H73" s="5"/>
      <c r="I73" s="5"/>
      <c r="J73" s="5"/>
      <c r="K73" s="5"/>
      <c r="L73" s="5"/>
      <c r="M73" s="5"/>
      <c r="N73" s="5"/>
      <c r="O73" s="5"/>
      <c r="P73" s="5"/>
      <c r="Q73" s="5"/>
      <c r="R73" s="5"/>
      <c r="S73" s="5"/>
      <c r="T73" s="5"/>
      <c r="U73" s="5"/>
      <c r="V73" s="5"/>
      <c r="W73" s="5"/>
      <c r="X73" s="5"/>
      <c r="Y73" s="5"/>
      <c r="Z73" s="5"/>
      <c r="AA73" s="5"/>
      <c r="AB73" s="5"/>
      <c r="AC73" s="5"/>
      <c r="AD73" s="5"/>
      <c r="AE73" s="5"/>
      <c r="AF73" s="5"/>
      <c r="AG73" s="5"/>
      <c r="AH73" s="5"/>
      <c r="AI73" s="5"/>
      <c r="AJ73" s="5"/>
      <c r="AK73" s="5"/>
    </row>
    <row r="74" spans="2:37" x14ac:dyDescent="0.3">
      <c r="B74" s="5"/>
      <c r="C74" s="5"/>
      <c r="D74" s="5"/>
      <c r="E74" s="5"/>
      <c r="F74" s="5"/>
      <c r="G74" s="5"/>
      <c r="H74" s="5"/>
      <c r="I74" s="5"/>
      <c r="J74" s="5"/>
      <c r="K74" s="5"/>
      <c r="L74" s="5"/>
      <c r="M74" s="5"/>
      <c r="N74" s="5"/>
      <c r="O74" s="5"/>
      <c r="P74" s="5"/>
      <c r="Q74" s="5"/>
      <c r="R74" s="5"/>
      <c r="S74" s="5"/>
      <c r="T74" s="5"/>
      <c r="U74" s="5"/>
      <c r="V74" s="5"/>
      <c r="W74" s="5"/>
      <c r="X74" s="5"/>
      <c r="Y74" s="5"/>
      <c r="Z74" s="5"/>
      <c r="AA74" s="5"/>
      <c r="AB74" s="5"/>
      <c r="AC74" s="5"/>
      <c r="AD74" s="5"/>
      <c r="AE74" s="5"/>
      <c r="AF74" s="5"/>
      <c r="AG74" s="5"/>
      <c r="AH74" s="5"/>
      <c r="AI74" s="5"/>
      <c r="AJ74" s="5"/>
      <c r="AK74" s="5"/>
    </row>
    <row r="75" spans="2:37" x14ac:dyDescent="0.3">
      <c r="B75" s="5"/>
      <c r="C75" s="5"/>
      <c r="D75" s="5"/>
      <c r="E75" s="5"/>
      <c r="F75" s="5"/>
      <c r="G75" s="5"/>
      <c r="H75" s="5"/>
      <c r="I75" s="5"/>
      <c r="J75" s="5"/>
      <c r="K75" s="5"/>
      <c r="L75" s="5"/>
      <c r="M75" s="5"/>
      <c r="N75" s="5"/>
      <c r="O75" s="5"/>
      <c r="P75" s="5"/>
      <c r="Q75" s="5"/>
      <c r="R75" s="5"/>
      <c r="S75" s="5"/>
      <c r="T75" s="5"/>
      <c r="U75" s="5"/>
      <c r="V75" s="5"/>
      <c r="W75" s="5"/>
      <c r="X75" s="5"/>
      <c r="Y75" s="5"/>
      <c r="Z75" s="5"/>
      <c r="AA75" s="5"/>
      <c r="AB75" s="5"/>
      <c r="AC75" s="5"/>
      <c r="AD75" s="5"/>
      <c r="AE75" s="5"/>
      <c r="AF75" s="5"/>
      <c r="AG75" s="5"/>
      <c r="AH75" s="5"/>
      <c r="AI75" s="5"/>
      <c r="AJ75" s="5"/>
      <c r="AK75" s="5"/>
    </row>
    <row r="76" spans="2:37" x14ac:dyDescent="0.3">
      <c r="B76" s="5"/>
      <c r="C76" s="5"/>
      <c r="D76" s="5"/>
      <c r="E76" s="5"/>
      <c r="F76" s="5"/>
      <c r="G76" s="5"/>
      <c r="H76" s="5"/>
      <c r="I76" s="5"/>
      <c r="J76" s="5"/>
      <c r="K76" s="5"/>
      <c r="L76" s="5"/>
      <c r="M76" s="5"/>
      <c r="N76" s="5"/>
      <c r="O76" s="5"/>
      <c r="P76" s="5"/>
      <c r="Q76" s="5"/>
      <c r="R76" s="5"/>
      <c r="S76" s="5"/>
      <c r="T76" s="5"/>
      <c r="U76" s="5"/>
      <c r="V76" s="5"/>
      <c r="W76" s="5"/>
      <c r="X76" s="5"/>
      <c r="Y76" s="5"/>
      <c r="Z76" s="5"/>
      <c r="AA76" s="5"/>
      <c r="AB76" s="5"/>
      <c r="AC76" s="5"/>
      <c r="AD76" s="5"/>
      <c r="AE76" s="5"/>
      <c r="AF76" s="5"/>
      <c r="AG76" s="5"/>
      <c r="AH76" s="5"/>
      <c r="AI76" s="5"/>
      <c r="AJ76" s="5"/>
      <c r="AK76" s="5"/>
    </row>
    <row r="77" spans="2:37" x14ac:dyDescent="0.3">
      <c r="B77" s="5"/>
      <c r="C77" s="5"/>
      <c r="D77" s="5"/>
      <c r="E77" s="5"/>
      <c r="F77" s="5"/>
      <c r="G77" s="5"/>
      <c r="H77" s="5"/>
      <c r="I77" s="5"/>
      <c r="J77" s="5"/>
      <c r="K77" s="5"/>
      <c r="L77" s="5"/>
      <c r="M77" s="5"/>
      <c r="N77" s="5"/>
      <c r="O77" s="5"/>
      <c r="P77" s="5"/>
      <c r="Q77" s="5"/>
      <c r="R77" s="5"/>
      <c r="S77" s="5"/>
      <c r="T77" s="5"/>
      <c r="U77" s="5"/>
      <c r="V77" s="5"/>
      <c r="W77" s="5"/>
      <c r="X77" s="5"/>
      <c r="Y77" s="5"/>
      <c r="Z77" s="5"/>
      <c r="AA77" s="5"/>
      <c r="AB77" s="5"/>
      <c r="AC77" s="5"/>
      <c r="AD77" s="5"/>
      <c r="AE77" s="5"/>
      <c r="AF77" s="5"/>
      <c r="AG77" s="5"/>
      <c r="AH77" s="5"/>
      <c r="AI77" s="5"/>
      <c r="AJ77" s="5"/>
      <c r="AK77" s="5"/>
    </row>
    <row r="78" spans="2:37" x14ac:dyDescent="0.3">
      <c r="B78" s="5"/>
      <c r="C78" s="5"/>
      <c r="D78" s="5"/>
      <c r="E78" s="5"/>
      <c r="F78" s="5"/>
      <c r="G78" s="5"/>
      <c r="H78" s="5"/>
      <c r="I78" s="5"/>
      <c r="J78" s="5"/>
      <c r="K78" s="5"/>
      <c r="L78" s="5"/>
      <c r="M78" s="5"/>
      <c r="N78" s="5"/>
      <c r="O78" s="5"/>
      <c r="P78" s="5"/>
      <c r="Q78" s="5"/>
      <c r="R78" s="5"/>
      <c r="S78" s="5"/>
      <c r="T78" s="5"/>
      <c r="U78" s="5"/>
      <c r="V78" s="5"/>
      <c r="W78" s="5"/>
      <c r="X78" s="5"/>
      <c r="Y78" s="5"/>
      <c r="Z78" s="5"/>
      <c r="AA78" s="5"/>
      <c r="AB78" s="5"/>
      <c r="AC78" s="5"/>
      <c r="AD78" s="5"/>
      <c r="AE78" s="5"/>
      <c r="AF78" s="5"/>
      <c r="AG78" s="5"/>
      <c r="AH78" s="5"/>
      <c r="AI78" s="5"/>
      <c r="AJ78" s="5"/>
      <c r="AK78" s="5"/>
    </row>
    <row r="79" spans="2:37" x14ac:dyDescent="0.3">
      <c r="B79" s="5"/>
      <c r="C79" s="5"/>
      <c r="D79" s="5"/>
      <c r="E79" s="5"/>
      <c r="F79" s="5"/>
      <c r="G79" s="5"/>
      <c r="H79" s="5"/>
      <c r="I79" s="5"/>
      <c r="J79" s="5"/>
      <c r="K79" s="5"/>
      <c r="L79" s="5"/>
      <c r="M79" s="5"/>
      <c r="N79" s="5"/>
      <c r="O79" s="5"/>
      <c r="P79" s="5"/>
      <c r="Q79" s="5"/>
      <c r="R79" s="5"/>
      <c r="S79" s="5"/>
      <c r="T79" s="5"/>
      <c r="U79" s="5"/>
      <c r="V79" s="5"/>
      <c r="W79" s="5"/>
      <c r="X79" s="5"/>
      <c r="Y79" s="5"/>
      <c r="Z79" s="5"/>
      <c r="AA79" s="5"/>
      <c r="AB79" s="5"/>
      <c r="AC79" s="5"/>
      <c r="AD79" s="5"/>
      <c r="AE79" s="5"/>
      <c r="AF79" s="5"/>
      <c r="AG79" s="5"/>
      <c r="AH79" s="5"/>
      <c r="AI79" s="5"/>
      <c r="AJ79" s="5"/>
      <c r="AK79" s="5"/>
    </row>
    <row r="80" spans="2:37" x14ac:dyDescent="0.3">
      <c r="B80" s="5"/>
      <c r="C80" s="5"/>
      <c r="D80" s="5"/>
      <c r="E80" s="5"/>
      <c r="F80" s="5"/>
      <c r="G80" s="5"/>
      <c r="H80" s="5"/>
      <c r="I80" s="5"/>
      <c r="J80" s="5"/>
      <c r="K80" s="5"/>
      <c r="L80" s="5"/>
      <c r="M80" s="5"/>
      <c r="N80" s="5"/>
      <c r="O80" s="5"/>
      <c r="P80" s="5"/>
      <c r="Q80" s="5"/>
      <c r="R80" s="5"/>
      <c r="S80" s="5"/>
      <c r="T80" s="5"/>
      <c r="U80" s="5"/>
      <c r="V80" s="5"/>
      <c r="W80" s="5"/>
      <c r="X80" s="5"/>
      <c r="Y80" s="5"/>
      <c r="Z80" s="5"/>
      <c r="AA80" s="5"/>
      <c r="AB80" s="5"/>
      <c r="AC80" s="5"/>
      <c r="AD80" s="5"/>
      <c r="AE80" s="5"/>
      <c r="AF80" s="5"/>
      <c r="AG80" s="5"/>
      <c r="AH80" s="5"/>
      <c r="AI80" s="5"/>
      <c r="AJ80" s="5"/>
      <c r="AK80" s="5"/>
    </row>
    <row r="81" spans="2:37" x14ac:dyDescent="0.3">
      <c r="B81" s="5"/>
      <c r="C81" s="5"/>
      <c r="D81" s="5"/>
      <c r="E81" s="5"/>
      <c r="F81" s="5"/>
      <c r="G81" s="5"/>
      <c r="H81" s="5"/>
      <c r="I81" s="5"/>
      <c r="J81" s="5"/>
      <c r="K81" s="5"/>
      <c r="L81" s="5"/>
      <c r="M81" s="5"/>
      <c r="N81" s="5"/>
      <c r="O81" s="5"/>
      <c r="P81" s="5"/>
      <c r="Q81" s="5"/>
      <c r="R81" s="5"/>
      <c r="S81" s="5"/>
      <c r="T81" s="5"/>
      <c r="U81" s="5"/>
      <c r="V81" s="5"/>
      <c r="W81" s="5"/>
      <c r="X81" s="5"/>
      <c r="Y81" s="5"/>
      <c r="Z81" s="5"/>
      <c r="AA81" s="5"/>
      <c r="AB81" s="5"/>
      <c r="AC81" s="5"/>
      <c r="AD81" s="5"/>
      <c r="AE81" s="5"/>
      <c r="AF81" s="5"/>
      <c r="AG81" s="5"/>
      <c r="AH81" s="5"/>
      <c r="AI81" s="5"/>
      <c r="AJ81" s="5"/>
      <c r="AK81" s="5"/>
    </row>
    <row r="82" spans="2:37" x14ac:dyDescent="0.3">
      <c r="B82" s="5"/>
      <c r="C82" s="5"/>
      <c r="D82" s="5"/>
      <c r="E82" s="5"/>
      <c r="F82" s="5"/>
      <c r="G82" s="5"/>
      <c r="H82" s="5"/>
      <c r="I82" s="5"/>
      <c r="J82" s="5"/>
      <c r="K82" s="5"/>
      <c r="L82" s="5"/>
      <c r="M82" s="5"/>
      <c r="N82" s="5"/>
      <c r="O82" s="5"/>
      <c r="P82" s="5"/>
      <c r="Q82" s="5"/>
      <c r="R82" s="5"/>
      <c r="S82" s="5"/>
      <c r="T82" s="5"/>
      <c r="U82" s="5"/>
      <c r="V82" s="5"/>
      <c r="W82" s="5"/>
      <c r="X82" s="5"/>
      <c r="Y82" s="5"/>
      <c r="Z82" s="5"/>
      <c r="AA82" s="5"/>
      <c r="AB82" s="5"/>
      <c r="AC82" s="5"/>
      <c r="AD82" s="5"/>
      <c r="AE82" s="5"/>
      <c r="AF82" s="5"/>
      <c r="AG82" s="5"/>
      <c r="AH82" s="5"/>
      <c r="AI82" s="5"/>
      <c r="AJ82" s="5"/>
      <c r="AK82" s="5"/>
    </row>
    <row r="83" spans="2:37" x14ac:dyDescent="0.3">
      <c r="B83" s="5"/>
      <c r="C83" s="5"/>
      <c r="D83" s="5"/>
      <c r="E83" s="5"/>
      <c r="F83" s="5"/>
      <c r="G83" s="5"/>
      <c r="H83" s="5"/>
      <c r="I83" s="5"/>
      <c r="J83" s="5"/>
      <c r="K83" s="5"/>
      <c r="L83" s="5"/>
      <c r="M83" s="5"/>
      <c r="N83" s="5"/>
      <c r="O83" s="5"/>
      <c r="P83" s="5"/>
      <c r="Q83" s="5"/>
      <c r="R83" s="5"/>
      <c r="S83" s="5"/>
      <c r="T83" s="5"/>
      <c r="U83" s="5"/>
      <c r="V83" s="5"/>
      <c r="W83" s="5"/>
      <c r="X83" s="5"/>
      <c r="Y83" s="5"/>
      <c r="Z83" s="5"/>
      <c r="AA83" s="5"/>
      <c r="AB83" s="5"/>
      <c r="AC83" s="5"/>
      <c r="AD83" s="5"/>
      <c r="AE83" s="5"/>
      <c r="AF83" s="5"/>
      <c r="AG83" s="5"/>
      <c r="AH83" s="5"/>
      <c r="AI83" s="5"/>
      <c r="AJ83" s="5"/>
      <c r="AK83" s="5"/>
    </row>
    <row r="84" spans="2:37" x14ac:dyDescent="0.3">
      <c r="B84" s="5"/>
      <c r="C84" s="5"/>
      <c r="D84" s="5"/>
      <c r="E84" s="5"/>
      <c r="F84" s="5"/>
      <c r="G84" s="5"/>
      <c r="H84" s="5"/>
      <c r="I84" s="5"/>
      <c r="J84" s="5"/>
      <c r="K84" s="5"/>
      <c r="L84" s="5"/>
      <c r="M84" s="5"/>
      <c r="N84" s="5"/>
      <c r="O84" s="5"/>
      <c r="P84" s="5"/>
      <c r="Q84" s="5"/>
      <c r="R84" s="5"/>
      <c r="S84" s="5"/>
      <c r="T84" s="5"/>
      <c r="U84" s="5"/>
      <c r="V84" s="5"/>
      <c r="W84" s="5"/>
      <c r="X84" s="5"/>
      <c r="Y84" s="5"/>
      <c r="Z84" s="5"/>
      <c r="AA84" s="5"/>
      <c r="AB84" s="5"/>
      <c r="AC84" s="5"/>
      <c r="AD84" s="5"/>
      <c r="AE84" s="5"/>
      <c r="AF84" s="5"/>
      <c r="AG84" s="5"/>
      <c r="AH84" s="5"/>
      <c r="AI84" s="5"/>
      <c r="AJ84" s="5"/>
      <c r="AK84" s="5"/>
    </row>
    <row r="85" spans="2:37" x14ac:dyDescent="0.3">
      <c r="B85" s="5"/>
      <c r="C85" s="5"/>
      <c r="D85" s="5"/>
      <c r="E85" s="5"/>
      <c r="F85" s="5"/>
      <c r="G85" s="5"/>
      <c r="H85" s="5"/>
      <c r="I85" s="5"/>
      <c r="J85" s="5"/>
      <c r="K85" s="5"/>
      <c r="L85" s="5"/>
      <c r="M85" s="5"/>
      <c r="N85" s="5"/>
      <c r="O85" s="5"/>
      <c r="P85" s="5"/>
      <c r="Q85" s="5"/>
      <c r="R85" s="5"/>
      <c r="S85" s="5"/>
      <c r="T85" s="5"/>
      <c r="U85" s="5"/>
      <c r="V85" s="5"/>
      <c r="W85" s="5"/>
      <c r="X85" s="5"/>
      <c r="Y85" s="5"/>
      <c r="Z85" s="5"/>
      <c r="AA85" s="5"/>
      <c r="AB85" s="5"/>
      <c r="AC85" s="5"/>
      <c r="AD85" s="5"/>
      <c r="AE85" s="5"/>
      <c r="AF85" s="5"/>
      <c r="AG85" s="5"/>
      <c r="AH85" s="5"/>
      <c r="AI85" s="5"/>
      <c r="AJ85" s="5"/>
      <c r="AK85" s="5"/>
    </row>
    <row r="86" spans="2:37" x14ac:dyDescent="0.3">
      <c r="B86" s="5"/>
      <c r="C86" s="5"/>
      <c r="D86" s="5"/>
      <c r="E86" s="5"/>
      <c r="F86" s="5"/>
      <c r="G86" s="5"/>
      <c r="H86" s="5"/>
      <c r="I86" s="5"/>
      <c r="J86" s="5"/>
      <c r="K86" s="5"/>
      <c r="L86" s="5"/>
      <c r="M86" s="5"/>
      <c r="N86" s="5"/>
      <c r="O86" s="5"/>
      <c r="P86" s="5"/>
      <c r="Q86" s="5"/>
      <c r="R86" s="5"/>
      <c r="S86" s="5"/>
      <c r="T86" s="5"/>
      <c r="U86" s="5"/>
      <c r="V86" s="5"/>
      <c r="W86" s="5"/>
      <c r="X86" s="5"/>
      <c r="Y86" s="5"/>
      <c r="Z86" s="5"/>
      <c r="AA86" s="5"/>
      <c r="AB86" s="5"/>
      <c r="AC86" s="5"/>
      <c r="AD86" s="5"/>
      <c r="AE86" s="5"/>
      <c r="AF86" s="5"/>
      <c r="AG86" s="5"/>
      <c r="AH86" s="5"/>
      <c r="AI86" s="5"/>
      <c r="AJ86" s="5"/>
      <c r="AK86" s="5"/>
    </row>
    <row r="87" spans="2:37" x14ac:dyDescent="0.3">
      <c r="B87" s="5"/>
      <c r="C87" s="5"/>
      <c r="D87" s="5"/>
      <c r="E87" s="5"/>
      <c r="F87" s="5"/>
      <c r="G87" s="5"/>
      <c r="H87" s="5"/>
      <c r="I87" s="5"/>
      <c r="J87" s="5"/>
      <c r="K87" s="5"/>
      <c r="L87" s="5"/>
      <c r="M87" s="5"/>
      <c r="N87" s="5"/>
      <c r="O87" s="5"/>
      <c r="P87" s="5"/>
      <c r="Q87" s="5"/>
      <c r="R87" s="5"/>
      <c r="S87" s="5"/>
      <c r="T87" s="5"/>
      <c r="U87" s="5"/>
      <c r="V87" s="5"/>
      <c r="W87" s="5"/>
      <c r="X87" s="5"/>
      <c r="Y87" s="5"/>
      <c r="Z87" s="5"/>
      <c r="AA87" s="5"/>
      <c r="AB87" s="5"/>
      <c r="AC87" s="5"/>
      <c r="AD87" s="5"/>
      <c r="AE87" s="5"/>
      <c r="AF87" s="5"/>
      <c r="AG87" s="5"/>
      <c r="AH87" s="5"/>
      <c r="AI87" s="5"/>
      <c r="AJ87" s="5"/>
      <c r="AK87" s="5"/>
    </row>
    <row r="88" spans="2:37" x14ac:dyDescent="0.3">
      <c r="B88" s="5"/>
      <c r="C88" s="5"/>
      <c r="D88" s="5"/>
      <c r="E88" s="5"/>
      <c r="F88" s="5"/>
      <c r="G88" s="5"/>
      <c r="H88" s="5"/>
      <c r="I88" s="5"/>
      <c r="J88" s="5"/>
      <c r="K88" s="5"/>
      <c r="L88" s="5"/>
      <c r="M88" s="5"/>
      <c r="N88" s="5"/>
      <c r="O88" s="5"/>
      <c r="P88" s="5"/>
      <c r="Q88" s="5"/>
      <c r="R88" s="5"/>
      <c r="S88" s="5"/>
      <c r="T88" s="5"/>
      <c r="U88" s="5"/>
      <c r="V88" s="5"/>
      <c r="W88" s="5"/>
      <c r="X88" s="5"/>
      <c r="Y88" s="5"/>
      <c r="Z88" s="5"/>
      <c r="AA88" s="5"/>
      <c r="AB88" s="5"/>
      <c r="AC88" s="5"/>
      <c r="AD88" s="5"/>
      <c r="AE88" s="5"/>
      <c r="AF88" s="5"/>
      <c r="AG88" s="5"/>
      <c r="AH88" s="5"/>
      <c r="AI88" s="5"/>
      <c r="AJ88" s="5"/>
      <c r="AK88" s="5"/>
    </row>
    <row r="89" spans="2:37" x14ac:dyDescent="0.3">
      <c r="B89" s="5"/>
      <c r="C89" s="5"/>
      <c r="D89" s="5"/>
      <c r="E89" s="5"/>
      <c r="F89" s="5"/>
      <c r="G89" s="5"/>
      <c r="H89" s="5"/>
      <c r="I89" s="5"/>
      <c r="J89" s="5"/>
      <c r="K89" s="5"/>
      <c r="L89" s="5"/>
      <c r="M89" s="5"/>
      <c r="N89" s="5"/>
      <c r="O89" s="5"/>
      <c r="P89" s="5"/>
      <c r="Q89" s="5"/>
      <c r="R89" s="5"/>
      <c r="S89" s="5"/>
      <c r="T89" s="5"/>
      <c r="U89" s="5"/>
      <c r="V89" s="5"/>
      <c r="W89" s="5"/>
      <c r="X89" s="5"/>
      <c r="Y89" s="5"/>
      <c r="Z89" s="5"/>
      <c r="AA89" s="5"/>
      <c r="AB89" s="5"/>
      <c r="AC89" s="5"/>
      <c r="AD89" s="5"/>
      <c r="AE89" s="5"/>
      <c r="AF89" s="5"/>
      <c r="AG89" s="5"/>
      <c r="AH89" s="5"/>
      <c r="AI89" s="5"/>
      <c r="AJ89" s="5"/>
      <c r="AK89" s="5"/>
    </row>
    <row r="90" spans="2:37" x14ac:dyDescent="0.3">
      <c r="B90" s="5"/>
      <c r="C90" s="5"/>
      <c r="D90" s="5"/>
      <c r="E90" s="5"/>
      <c r="F90" s="5"/>
      <c r="G90" s="5"/>
      <c r="H90" s="5"/>
      <c r="I90" s="5"/>
      <c r="J90" s="5"/>
      <c r="K90" s="5"/>
      <c r="L90" s="5"/>
      <c r="M90" s="5"/>
      <c r="N90" s="5"/>
      <c r="O90" s="5"/>
      <c r="P90" s="5"/>
      <c r="Q90" s="5"/>
      <c r="R90" s="5"/>
      <c r="S90" s="5"/>
      <c r="T90" s="5"/>
      <c r="U90" s="5"/>
      <c r="V90" s="5"/>
      <c r="W90" s="5"/>
      <c r="X90" s="5"/>
      <c r="Y90" s="5"/>
      <c r="Z90" s="5"/>
      <c r="AA90" s="5"/>
      <c r="AB90" s="5"/>
      <c r="AC90" s="5"/>
      <c r="AD90" s="5"/>
      <c r="AE90" s="5"/>
      <c r="AF90" s="5"/>
      <c r="AG90" s="5"/>
      <c r="AH90" s="5"/>
      <c r="AI90" s="5"/>
      <c r="AJ90" s="5"/>
      <c r="AK90" s="5"/>
    </row>
    <row r="91" spans="2:37" x14ac:dyDescent="0.3">
      <c r="B91" s="5"/>
      <c r="C91" s="5"/>
      <c r="D91" s="5"/>
      <c r="E91" s="5"/>
      <c r="F91" s="5"/>
      <c r="G91" s="5"/>
      <c r="H91" s="5"/>
      <c r="I91" s="5"/>
      <c r="J91" s="5"/>
      <c r="K91" s="5"/>
      <c r="L91" s="5"/>
      <c r="M91" s="5"/>
      <c r="N91" s="5"/>
      <c r="O91" s="5"/>
      <c r="P91" s="5"/>
      <c r="Q91" s="5"/>
      <c r="R91" s="5"/>
      <c r="S91" s="5"/>
      <c r="T91" s="5"/>
      <c r="U91" s="5"/>
      <c r="V91" s="5"/>
      <c r="W91" s="5"/>
      <c r="X91" s="5"/>
      <c r="Y91" s="5"/>
      <c r="Z91" s="5"/>
      <c r="AA91" s="5"/>
      <c r="AB91" s="5"/>
      <c r="AC91" s="5"/>
      <c r="AD91" s="5"/>
      <c r="AE91" s="5"/>
      <c r="AF91" s="5"/>
      <c r="AG91" s="5"/>
      <c r="AH91" s="5"/>
      <c r="AI91" s="5"/>
      <c r="AJ91" s="5"/>
      <c r="AK91" s="5"/>
    </row>
    <row r="92" spans="2:37" x14ac:dyDescent="0.3">
      <c r="B92" s="5"/>
      <c r="C92" s="5"/>
      <c r="D92" s="5"/>
      <c r="E92" s="5"/>
      <c r="F92" s="5"/>
      <c r="G92" s="5"/>
      <c r="H92" s="5"/>
      <c r="I92" s="5"/>
      <c r="J92" s="5"/>
      <c r="K92" s="5"/>
      <c r="L92" s="5"/>
      <c r="M92" s="5"/>
      <c r="N92" s="5"/>
      <c r="O92" s="5"/>
      <c r="P92" s="5"/>
      <c r="Q92" s="5"/>
      <c r="R92" s="5"/>
      <c r="S92" s="5"/>
      <c r="T92" s="5"/>
      <c r="U92" s="5"/>
      <c r="V92" s="5"/>
      <c r="W92" s="5"/>
      <c r="X92" s="5"/>
      <c r="Y92" s="5"/>
      <c r="Z92" s="5"/>
      <c r="AA92" s="5"/>
      <c r="AB92" s="5"/>
      <c r="AC92" s="5"/>
      <c r="AD92" s="5"/>
      <c r="AE92" s="5"/>
      <c r="AF92" s="5"/>
      <c r="AG92" s="5"/>
      <c r="AH92" s="5"/>
      <c r="AI92" s="5"/>
      <c r="AJ92" s="5"/>
      <c r="AK92" s="5"/>
    </row>
    <row r="93" spans="2:37" x14ac:dyDescent="0.3">
      <c r="B93" s="5"/>
      <c r="C93" s="5"/>
      <c r="D93" s="5"/>
      <c r="E93" s="5"/>
      <c r="F93" s="5"/>
      <c r="G93" s="5"/>
      <c r="H93" s="5"/>
      <c r="I93" s="5"/>
      <c r="J93" s="5"/>
      <c r="K93" s="5"/>
      <c r="L93" s="5"/>
      <c r="M93" s="5"/>
      <c r="N93" s="5"/>
      <c r="O93" s="5"/>
      <c r="P93" s="5"/>
      <c r="Q93" s="5"/>
      <c r="R93" s="5"/>
      <c r="S93" s="5"/>
      <c r="T93" s="5"/>
      <c r="U93" s="5"/>
      <c r="V93" s="5"/>
      <c r="W93" s="5"/>
      <c r="X93" s="5"/>
      <c r="Y93" s="5"/>
      <c r="Z93" s="5"/>
      <c r="AA93" s="5"/>
      <c r="AB93" s="5"/>
      <c r="AC93" s="5"/>
      <c r="AD93" s="5"/>
      <c r="AE93" s="5"/>
      <c r="AF93" s="5"/>
      <c r="AG93" s="5"/>
      <c r="AH93" s="5"/>
      <c r="AI93" s="5"/>
      <c r="AJ93" s="5"/>
      <c r="AK93" s="5"/>
    </row>
    <row r="94" spans="2:37" x14ac:dyDescent="0.3">
      <c r="B94" s="5"/>
      <c r="C94" s="5"/>
      <c r="D94" s="5"/>
      <c r="E94" s="5"/>
      <c r="F94" s="5"/>
      <c r="G94" s="5"/>
      <c r="H94" s="5"/>
      <c r="I94" s="5"/>
      <c r="J94" s="5"/>
      <c r="K94" s="5"/>
      <c r="L94" s="5"/>
      <c r="M94" s="5"/>
      <c r="N94" s="5"/>
      <c r="O94" s="5"/>
      <c r="P94" s="5"/>
      <c r="Q94" s="5"/>
      <c r="R94" s="5"/>
      <c r="S94" s="5"/>
      <c r="T94" s="5"/>
      <c r="U94" s="5"/>
      <c r="V94" s="5"/>
      <c r="W94" s="5"/>
      <c r="X94" s="5"/>
      <c r="Y94" s="5"/>
      <c r="Z94" s="5"/>
      <c r="AA94" s="5"/>
      <c r="AB94" s="5"/>
      <c r="AC94" s="5"/>
      <c r="AD94" s="5"/>
      <c r="AE94" s="5"/>
      <c r="AF94" s="5"/>
      <c r="AG94" s="5"/>
      <c r="AH94" s="5"/>
      <c r="AI94" s="5"/>
      <c r="AJ94" s="5"/>
      <c r="AK94" s="5"/>
    </row>
    <row r="95" spans="2:37" x14ac:dyDescent="0.3">
      <c r="B95" s="5"/>
      <c r="C95" s="5"/>
      <c r="D95" s="5"/>
      <c r="E95" s="5"/>
      <c r="F95" s="5"/>
      <c r="G95" s="5"/>
      <c r="H95" s="5"/>
      <c r="I95" s="5"/>
      <c r="J95" s="5"/>
      <c r="K95" s="5"/>
      <c r="L95" s="5"/>
      <c r="M95" s="5"/>
      <c r="N95" s="5"/>
      <c r="O95" s="5"/>
      <c r="P95" s="5"/>
      <c r="Q95" s="5"/>
      <c r="R95" s="5"/>
      <c r="S95" s="5"/>
      <c r="T95" s="5"/>
      <c r="U95" s="5"/>
      <c r="V95" s="5"/>
      <c r="W95" s="5"/>
      <c r="X95" s="5"/>
      <c r="Y95" s="5"/>
      <c r="Z95" s="5"/>
      <c r="AA95" s="5"/>
      <c r="AB95" s="5"/>
      <c r="AC95" s="5"/>
      <c r="AD95" s="5"/>
      <c r="AE95" s="5"/>
      <c r="AF95" s="5"/>
      <c r="AG95" s="5"/>
      <c r="AH95" s="5"/>
      <c r="AI95" s="5"/>
      <c r="AJ95" s="5"/>
      <c r="AK95" s="5"/>
    </row>
    <row r="96" spans="2:37" x14ac:dyDescent="0.3">
      <c r="B96" s="5"/>
      <c r="C96" s="5"/>
      <c r="D96" s="5"/>
      <c r="E96" s="5"/>
      <c r="F96" s="5"/>
      <c r="G96" s="5"/>
      <c r="H96" s="5"/>
      <c r="I96" s="5"/>
      <c r="J96" s="5"/>
      <c r="K96" s="5"/>
      <c r="L96" s="5"/>
      <c r="M96" s="5"/>
      <c r="N96" s="5"/>
      <c r="O96" s="5"/>
      <c r="P96" s="5"/>
      <c r="Q96" s="5"/>
      <c r="R96" s="5"/>
      <c r="S96" s="5"/>
      <c r="T96" s="5"/>
      <c r="U96" s="5"/>
      <c r="V96" s="5"/>
      <c r="W96" s="5"/>
      <c r="X96" s="5"/>
      <c r="Y96" s="5"/>
      <c r="Z96" s="5"/>
      <c r="AA96" s="5"/>
      <c r="AB96" s="5"/>
      <c r="AC96" s="5"/>
      <c r="AD96" s="5"/>
      <c r="AE96" s="5"/>
      <c r="AF96" s="5"/>
      <c r="AG96" s="5"/>
      <c r="AH96" s="5"/>
      <c r="AI96" s="5"/>
      <c r="AJ96" s="5"/>
      <c r="AK96" s="5"/>
    </row>
    <row r="97" spans="2:37" x14ac:dyDescent="0.3">
      <c r="B97" s="5"/>
      <c r="C97" s="5"/>
      <c r="D97" s="5"/>
      <c r="E97" s="5"/>
      <c r="F97" s="5"/>
      <c r="G97" s="5"/>
      <c r="H97" s="5"/>
      <c r="I97" s="5"/>
      <c r="J97" s="5"/>
      <c r="K97" s="5"/>
      <c r="L97" s="5"/>
      <c r="M97" s="5"/>
      <c r="N97" s="5"/>
      <c r="O97" s="5"/>
      <c r="P97" s="5"/>
      <c r="Q97" s="5"/>
      <c r="R97" s="5"/>
      <c r="S97" s="5"/>
      <c r="T97" s="5"/>
      <c r="U97" s="5"/>
      <c r="V97" s="5"/>
      <c r="W97" s="5"/>
      <c r="X97" s="5"/>
      <c r="Y97" s="5"/>
      <c r="Z97" s="5"/>
      <c r="AA97" s="5"/>
      <c r="AB97" s="5"/>
      <c r="AC97" s="5"/>
      <c r="AD97" s="5"/>
      <c r="AE97" s="5"/>
      <c r="AF97" s="5"/>
      <c r="AG97" s="5"/>
      <c r="AH97" s="5"/>
      <c r="AI97" s="5"/>
      <c r="AJ97" s="5"/>
      <c r="AK97" s="5"/>
    </row>
    <row r="98" spans="2:37" x14ac:dyDescent="0.3">
      <c r="B98" s="5"/>
      <c r="C98" s="5"/>
      <c r="D98" s="5"/>
      <c r="E98" s="5"/>
      <c r="F98" s="5"/>
      <c r="G98" s="5"/>
      <c r="H98" s="5"/>
      <c r="I98" s="5"/>
      <c r="J98" s="5"/>
      <c r="K98" s="5"/>
      <c r="L98" s="5"/>
      <c r="M98" s="5"/>
      <c r="N98" s="5"/>
      <c r="O98" s="5"/>
      <c r="P98" s="5"/>
      <c r="Q98" s="5"/>
      <c r="R98" s="5"/>
      <c r="S98" s="5"/>
      <c r="T98" s="5"/>
      <c r="U98" s="5"/>
      <c r="V98" s="5"/>
      <c r="W98" s="5"/>
      <c r="X98" s="5"/>
      <c r="Y98" s="5"/>
      <c r="Z98" s="5"/>
      <c r="AA98" s="5"/>
      <c r="AB98" s="5"/>
      <c r="AC98" s="5"/>
      <c r="AD98" s="5"/>
      <c r="AE98" s="5"/>
      <c r="AF98" s="5"/>
      <c r="AG98" s="5"/>
      <c r="AH98" s="5"/>
      <c r="AI98" s="5"/>
      <c r="AJ98" s="5"/>
      <c r="AK98" s="5"/>
    </row>
    <row r="99" spans="2:37" x14ac:dyDescent="0.3">
      <c r="B99" s="5"/>
      <c r="C99" s="5"/>
      <c r="D99" s="5"/>
      <c r="E99" s="5"/>
      <c r="F99" s="5"/>
      <c r="G99" s="5"/>
      <c r="H99" s="5"/>
      <c r="I99" s="5"/>
      <c r="J99" s="5"/>
      <c r="K99" s="5"/>
      <c r="L99" s="5"/>
      <c r="M99" s="5"/>
      <c r="N99" s="5"/>
      <c r="O99" s="5"/>
      <c r="P99" s="5"/>
      <c r="Q99" s="5"/>
      <c r="R99" s="5"/>
      <c r="S99" s="5"/>
      <c r="T99" s="5"/>
      <c r="U99" s="5"/>
      <c r="V99" s="5"/>
      <c r="W99" s="5"/>
      <c r="X99" s="5"/>
      <c r="Y99" s="5"/>
      <c r="Z99" s="5"/>
      <c r="AA99" s="5"/>
      <c r="AB99" s="5"/>
      <c r="AC99" s="5"/>
      <c r="AD99" s="5"/>
      <c r="AE99" s="5"/>
      <c r="AF99" s="5"/>
      <c r="AG99" s="5"/>
      <c r="AH99" s="5"/>
      <c r="AI99" s="5"/>
      <c r="AJ99" s="5"/>
      <c r="AK99" s="5"/>
    </row>
    <row r="100" spans="2:37" x14ac:dyDescent="0.3">
      <c r="B100" s="5"/>
      <c r="C100" s="5"/>
      <c r="D100" s="5"/>
      <c r="E100" s="5"/>
      <c r="F100" s="5"/>
      <c r="G100" s="5"/>
      <c r="H100" s="5"/>
      <c r="I100" s="5"/>
      <c r="J100" s="5"/>
      <c r="K100" s="5"/>
      <c r="L100" s="5"/>
      <c r="M100" s="5"/>
      <c r="N100" s="5"/>
      <c r="O100" s="5"/>
      <c r="P100" s="5"/>
      <c r="Q100" s="5"/>
      <c r="R100" s="5"/>
      <c r="S100" s="5"/>
      <c r="T100" s="5"/>
      <c r="U100" s="5"/>
      <c r="V100" s="5"/>
      <c r="W100" s="5"/>
      <c r="X100" s="5"/>
      <c r="Y100" s="5"/>
      <c r="Z100" s="5"/>
      <c r="AA100" s="5"/>
      <c r="AB100" s="5"/>
      <c r="AC100" s="5"/>
      <c r="AD100" s="5"/>
      <c r="AE100" s="5"/>
      <c r="AF100" s="5"/>
      <c r="AG100" s="5"/>
      <c r="AH100" s="5"/>
      <c r="AI100" s="5"/>
      <c r="AJ100" s="5"/>
      <c r="AK100" s="5"/>
    </row>
  </sheetData>
  <phoneticPr fontId="2"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C7110-3DB6-4797-8A6A-79B4EB7AA60B}">
  <sheetPr>
    <tabColor rgb="FF2E8B8B"/>
  </sheetPr>
  <dimension ref="A1:E152"/>
  <sheetViews>
    <sheetView topLeftCell="B1" workbookViewId="0">
      <pane ySplit="2" topLeftCell="A3" activePane="bottomLeft" state="frozen"/>
      <selection pane="bottomLeft" activeCell="E133" sqref="E133"/>
    </sheetView>
  </sheetViews>
  <sheetFormatPr defaultRowHeight="14.4" x14ac:dyDescent="0.3"/>
  <cols>
    <col min="1" max="1" width="5.88671875" customWidth="1"/>
    <col min="2" max="2" width="37.77734375" customWidth="1"/>
    <col min="3" max="3" width="14.88671875" bestFit="1" customWidth="1"/>
    <col min="4" max="4" width="85.77734375" bestFit="1" customWidth="1"/>
    <col min="5" max="5" width="37.77734375" bestFit="1" customWidth="1"/>
    <col min="6" max="7" width="20.33203125" customWidth="1"/>
  </cols>
  <sheetData>
    <row r="1" spans="1:5" x14ac:dyDescent="0.3">
      <c r="A1" s="126" t="s">
        <v>131</v>
      </c>
      <c r="B1" s="126"/>
      <c r="C1" s="126"/>
      <c r="D1" s="126"/>
      <c r="E1" s="126"/>
    </row>
    <row r="2" spans="1:5" x14ac:dyDescent="0.3">
      <c r="A2" s="558" t="s">
        <v>296</v>
      </c>
      <c r="B2" s="46"/>
      <c r="C2" s="46"/>
      <c r="D2" s="46"/>
      <c r="E2" s="46"/>
    </row>
    <row r="3" spans="1:5" x14ac:dyDescent="0.3">
      <c r="A3" s="46"/>
      <c r="B3" s="46"/>
      <c r="C3" s="46"/>
      <c r="D3" s="46"/>
      <c r="E3" s="46"/>
    </row>
    <row r="4" spans="1:5" x14ac:dyDescent="0.3">
      <c r="A4" s="46"/>
      <c r="B4" s="559" t="s">
        <v>52</v>
      </c>
      <c r="C4" s="560" t="s">
        <v>297</v>
      </c>
      <c r="D4" s="559" t="s">
        <v>298</v>
      </c>
      <c r="E4" s="559" t="s">
        <v>299</v>
      </c>
    </row>
    <row r="5" spans="1:5" ht="15" thickBot="1" x14ac:dyDescent="0.35">
      <c r="A5" s="46"/>
      <c r="B5" s="46"/>
      <c r="C5" s="46"/>
      <c r="D5" s="46"/>
      <c r="E5" s="46"/>
    </row>
    <row r="6" spans="1:5" x14ac:dyDescent="0.3">
      <c r="A6" s="561" t="s">
        <v>253</v>
      </c>
      <c r="B6" s="562" t="s">
        <v>300</v>
      </c>
      <c r="C6" s="563"/>
      <c r="D6" s="564"/>
      <c r="E6" s="565"/>
    </row>
    <row r="7" spans="1:5" ht="27.6" x14ac:dyDescent="0.3">
      <c r="A7" s="542"/>
      <c r="B7" s="566" t="s">
        <v>301</v>
      </c>
      <c r="C7" s="567" t="s">
        <v>302</v>
      </c>
      <c r="D7" s="566" t="s">
        <v>521</v>
      </c>
      <c r="E7" s="568"/>
    </row>
    <row r="8" spans="1:5" ht="27.6" x14ac:dyDescent="0.3">
      <c r="A8" s="542"/>
      <c r="B8" s="566" t="s">
        <v>303</v>
      </c>
      <c r="C8" s="567">
        <f>'31_Inputs_UnitEconomics'!B15</f>
        <v>9</v>
      </c>
      <c r="D8" s="566" t="s">
        <v>304</v>
      </c>
      <c r="E8" s="399" t="s">
        <v>732</v>
      </c>
    </row>
    <row r="9" spans="1:5" ht="41.4" x14ac:dyDescent="0.3">
      <c r="A9" s="542"/>
      <c r="B9" s="566" t="s">
        <v>305</v>
      </c>
      <c r="C9" s="567" t="s">
        <v>584</v>
      </c>
      <c r="D9" s="566" t="s">
        <v>522</v>
      </c>
      <c r="E9" s="569"/>
    </row>
    <row r="10" spans="1:5" ht="27.6" x14ac:dyDescent="0.3">
      <c r="A10" s="542"/>
      <c r="B10" s="566" t="s">
        <v>306</v>
      </c>
      <c r="C10" s="567" t="s">
        <v>307</v>
      </c>
      <c r="D10" s="566" t="s">
        <v>523</v>
      </c>
      <c r="E10" s="569"/>
    </row>
    <row r="11" spans="1:5" ht="28.2" thickBot="1" x14ac:dyDescent="0.35">
      <c r="A11" s="545"/>
      <c r="B11" s="570" t="s">
        <v>308</v>
      </c>
      <c r="C11" s="571" t="s">
        <v>309</v>
      </c>
      <c r="D11" s="570" t="s">
        <v>585</v>
      </c>
      <c r="E11" s="572"/>
    </row>
    <row r="12" spans="1:5" ht="15" thickBot="1" x14ac:dyDescent="0.35">
      <c r="A12" s="46"/>
      <c r="B12" s="573"/>
      <c r="C12" s="574"/>
      <c r="D12" s="573"/>
      <c r="E12" s="575"/>
    </row>
    <row r="13" spans="1:5" x14ac:dyDescent="0.3">
      <c r="A13" s="561" t="s">
        <v>254</v>
      </c>
      <c r="B13" s="562" t="s">
        <v>310</v>
      </c>
      <c r="C13" s="576"/>
      <c r="D13" s="564"/>
      <c r="E13" s="577"/>
    </row>
    <row r="14" spans="1:5" x14ac:dyDescent="0.3">
      <c r="A14" s="542"/>
      <c r="B14" s="566" t="s">
        <v>311</v>
      </c>
      <c r="C14" s="47">
        <f>'32_Inputs_GrowthRetention'!B2</f>
        <v>0</v>
      </c>
      <c r="D14" s="566" t="s">
        <v>312</v>
      </c>
      <c r="E14" s="400" t="s">
        <v>796</v>
      </c>
    </row>
    <row r="15" spans="1:5" x14ac:dyDescent="0.3">
      <c r="A15" s="542"/>
      <c r="B15" s="566" t="s">
        <v>313</v>
      </c>
      <c r="C15" s="48">
        <f>'32_Inputs_GrowthRetention'!B14</f>
        <v>250000</v>
      </c>
      <c r="D15" s="566" t="s">
        <v>524</v>
      </c>
      <c r="E15" s="400" t="s">
        <v>797</v>
      </c>
    </row>
    <row r="16" spans="1:5" x14ac:dyDescent="0.3">
      <c r="A16" s="542"/>
      <c r="B16" s="566" t="s">
        <v>314</v>
      </c>
      <c r="C16" s="48">
        <f>'32_Inputs_GrowthRetention'!B15</f>
        <v>700000</v>
      </c>
      <c r="D16" s="566" t="s">
        <v>315</v>
      </c>
      <c r="E16" s="400" t="s">
        <v>798</v>
      </c>
    </row>
    <row r="17" spans="1:5" x14ac:dyDescent="0.3">
      <c r="A17" s="542"/>
      <c r="B17" s="566" t="s">
        <v>316</v>
      </c>
      <c r="C17" s="48">
        <f>'32_Inputs_GrowthRetention'!B16</f>
        <v>1500000</v>
      </c>
      <c r="D17" s="566" t="s">
        <v>525</v>
      </c>
      <c r="E17" s="400" t="s">
        <v>799</v>
      </c>
    </row>
    <row r="18" spans="1:5" x14ac:dyDescent="0.3">
      <c r="A18" s="542"/>
      <c r="B18" s="566" t="s">
        <v>317</v>
      </c>
      <c r="C18" s="49">
        <f>'32_Inputs_GrowthRetention'!B17</f>
        <v>0.02</v>
      </c>
      <c r="D18" s="566" t="s">
        <v>526</v>
      </c>
      <c r="E18" s="400" t="s">
        <v>800</v>
      </c>
    </row>
    <row r="19" spans="1:5" ht="27.6" x14ac:dyDescent="0.3">
      <c r="A19" s="542"/>
      <c r="B19" s="566" t="s">
        <v>318</v>
      </c>
      <c r="C19" s="48">
        <f>'32_Inputs_GrowthRetention'!B12</f>
        <v>120000</v>
      </c>
      <c r="D19" s="566" t="s">
        <v>319</v>
      </c>
      <c r="E19" s="400" t="s">
        <v>801</v>
      </c>
    </row>
    <row r="20" spans="1:5" x14ac:dyDescent="0.3">
      <c r="A20" s="542"/>
      <c r="B20" s="566" t="s">
        <v>320</v>
      </c>
      <c r="C20" s="49">
        <f>'32_Inputs_GrowthRetention'!B4</f>
        <v>3.5000000000000003E-2</v>
      </c>
      <c r="D20" s="566" t="s">
        <v>527</v>
      </c>
      <c r="E20" s="400" t="s">
        <v>802</v>
      </c>
    </row>
    <row r="21" spans="1:5" x14ac:dyDescent="0.3">
      <c r="A21" s="542"/>
      <c r="B21" s="566" t="s">
        <v>321</v>
      </c>
      <c r="C21" s="49">
        <f>'32_Inputs_GrowthRetention'!B5</f>
        <v>0.34787963925176613</v>
      </c>
      <c r="D21" s="578" t="s">
        <v>528</v>
      </c>
      <c r="E21" s="400" t="s">
        <v>803</v>
      </c>
    </row>
    <row r="22" spans="1:5" ht="27.6" x14ac:dyDescent="0.3">
      <c r="A22" s="542"/>
      <c r="B22" s="566" t="s">
        <v>322</v>
      </c>
      <c r="C22" s="49">
        <f>'32_Inputs_GrowthRetention'!B6</f>
        <v>3.0000000000000001E-3</v>
      </c>
      <c r="D22" s="566" t="s">
        <v>529</v>
      </c>
      <c r="E22" s="400" t="s">
        <v>804</v>
      </c>
    </row>
    <row r="23" spans="1:5" ht="28.2" thickBot="1" x14ac:dyDescent="0.35">
      <c r="A23" s="545"/>
      <c r="B23" s="570" t="s">
        <v>323</v>
      </c>
      <c r="C23" s="50">
        <f>'32_Inputs_GrowthRetention'!B7</f>
        <v>0.85</v>
      </c>
      <c r="D23" s="570" t="s">
        <v>530</v>
      </c>
      <c r="E23" s="401" t="s">
        <v>805</v>
      </c>
    </row>
    <row r="24" spans="1:5" ht="15" thickBot="1" x14ac:dyDescent="0.35">
      <c r="A24" s="46"/>
      <c r="B24" s="573"/>
      <c r="C24" s="574"/>
      <c r="D24" s="573"/>
      <c r="E24" s="575"/>
    </row>
    <row r="25" spans="1:5" x14ac:dyDescent="0.3">
      <c r="A25" s="561" t="s">
        <v>255</v>
      </c>
      <c r="B25" s="562" t="s">
        <v>324</v>
      </c>
      <c r="C25" s="576"/>
      <c r="D25" s="564"/>
      <c r="E25" s="577"/>
    </row>
    <row r="26" spans="1:5" x14ac:dyDescent="0.3">
      <c r="A26" s="542"/>
      <c r="B26" s="566" t="s">
        <v>325</v>
      </c>
      <c r="C26" s="48">
        <f>'32_Inputs_GrowthRetention'!B9</f>
        <v>110</v>
      </c>
      <c r="D26" s="566" t="s">
        <v>531</v>
      </c>
      <c r="E26" s="400" t="s">
        <v>806</v>
      </c>
    </row>
    <row r="27" spans="1:5" ht="27.6" x14ac:dyDescent="0.3">
      <c r="A27" s="542"/>
      <c r="B27" s="566" t="s">
        <v>326</v>
      </c>
      <c r="C27" s="49">
        <f>'32_Inputs_GrowthRetention'!B10</f>
        <v>-5.0000000000000001E-3</v>
      </c>
      <c r="D27" s="566" t="s">
        <v>532</v>
      </c>
      <c r="E27" s="400" t="s">
        <v>807</v>
      </c>
    </row>
    <row r="28" spans="1:5" ht="28.2" thickBot="1" x14ac:dyDescent="0.35">
      <c r="A28" s="545"/>
      <c r="B28" s="570" t="s">
        <v>327</v>
      </c>
      <c r="C28" s="51">
        <f>'32_Inputs_GrowthRetention'!B11</f>
        <v>80</v>
      </c>
      <c r="D28" s="570" t="s">
        <v>533</v>
      </c>
      <c r="E28" s="401" t="s">
        <v>808</v>
      </c>
    </row>
    <row r="29" spans="1:5" ht="15" thickBot="1" x14ac:dyDescent="0.35">
      <c r="A29" s="46"/>
      <c r="B29" s="573"/>
      <c r="C29" s="574"/>
      <c r="D29" s="573"/>
      <c r="E29" s="575"/>
    </row>
    <row r="30" spans="1:5" x14ac:dyDescent="0.3">
      <c r="A30" s="561" t="s">
        <v>256</v>
      </c>
      <c r="B30" s="562" t="s">
        <v>328</v>
      </c>
      <c r="C30" s="576"/>
      <c r="D30" s="564"/>
      <c r="E30" s="577"/>
    </row>
    <row r="31" spans="1:5" ht="27.6" x14ac:dyDescent="0.3">
      <c r="A31" s="542"/>
      <c r="B31" s="566" t="s">
        <v>329</v>
      </c>
      <c r="C31" s="48">
        <f>'31_Inputs_UnitEconomics'!B2</f>
        <v>900</v>
      </c>
      <c r="D31" s="566" t="s">
        <v>558</v>
      </c>
      <c r="E31" s="399" t="s">
        <v>733</v>
      </c>
    </row>
    <row r="32" spans="1:5" ht="27.6" x14ac:dyDescent="0.3">
      <c r="A32" s="542"/>
      <c r="B32" s="566" t="s">
        <v>330</v>
      </c>
      <c r="C32" s="52">
        <f>'31_Inputs_UnitEconomics'!B3</f>
        <v>1.2E-2</v>
      </c>
      <c r="D32" s="566" t="s">
        <v>559</v>
      </c>
      <c r="E32" s="399" t="s">
        <v>734</v>
      </c>
    </row>
    <row r="33" spans="1:5" ht="27.6" x14ac:dyDescent="0.3">
      <c r="A33" s="542"/>
      <c r="B33" s="566" t="s">
        <v>331</v>
      </c>
      <c r="C33" s="52">
        <f>'31_Inputs_UnitEconomics'!B4</f>
        <v>3.5000000000000001E-3</v>
      </c>
      <c r="D33" s="566" t="s">
        <v>577</v>
      </c>
      <c r="E33" s="399" t="s">
        <v>735</v>
      </c>
    </row>
    <row r="34" spans="1:5" ht="28.2" thickBot="1" x14ac:dyDescent="0.35">
      <c r="A34" s="545"/>
      <c r="B34" s="570" t="s">
        <v>332</v>
      </c>
      <c r="C34" s="53">
        <f>'31_Inputs_UnitEconomics'!B5</f>
        <v>1.5E-3</v>
      </c>
      <c r="D34" s="570" t="s">
        <v>333</v>
      </c>
      <c r="E34" s="402" t="s">
        <v>736</v>
      </c>
    </row>
    <row r="35" spans="1:5" ht="15" thickBot="1" x14ac:dyDescent="0.35">
      <c r="A35" s="46"/>
      <c r="B35" s="573"/>
      <c r="C35" s="574"/>
      <c r="D35" s="573"/>
      <c r="E35" s="575"/>
    </row>
    <row r="36" spans="1:5" x14ac:dyDescent="0.3">
      <c r="A36" s="561" t="s">
        <v>257</v>
      </c>
      <c r="B36" s="562" t="s">
        <v>334</v>
      </c>
      <c r="C36" s="576"/>
      <c r="D36" s="564"/>
      <c r="E36" s="577"/>
    </row>
    <row r="37" spans="1:5" ht="27.6" x14ac:dyDescent="0.3">
      <c r="A37" s="542"/>
      <c r="B37" s="566" t="s">
        <v>335</v>
      </c>
      <c r="C37" s="54">
        <f>'31_Inputs_UnitEconomics'!B7</f>
        <v>8</v>
      </c>
      <c r="D37" s="566" t="s">
        <v>534</v>
      </c>
      <c r="E37" s="399" t="s">
        <v>737</v>
      </c>
    </row>
    <row r="38" spans="1:5" ht="27.6" x14ac:dyDescent="0.3">
      <c r="A38" s="542"/>
      <c r="B38" s="566" t="s">
        <v>336</v>
      </c>
      <c r="C38" s="55">
        <f>'31_Inputs_UnitEconomics'!B8</f>
        <v>0.18</v>
      </c>
      <c r="D38" s="566" t="s">
        <v>535</v>
      </c>
      <c r="E38" s="399" t="s">
        <v>738</v>
      </c>
    </row>
    <row r="39" spans="1:5" ht="15" thickBot="1" x14ac:dyDescent="0.35">
      <c r="A39" s="545"/>
      <c r="B39" s="570" t="s">
        <v>337</v>
      </c>
      <c r="C39" s="51">
        <f>'31_Inputs_UnitEconomics'!B9</f>
        <v>25</v>
      </c>
      <c r="D39" s="570" t="s">
        <v>338</v>
      </c>
      <c r="E39" s="402" t="s">
        <v>739</v>
      </c>
    </row>
    <row r="40" spans="1:5" ht="15" thickBot="1" x14ac:dyDescent="0.35">
      <c r="A40" s="46"/>
      <c r="B40" s="573"/>
      <c r="C40" s="574"/>
      <c r="D40" s="573"/>
      <c r="E40" s="575"/>
    </row>
    <row r="41" spans="1:5" x14ac:dyDescent="0.3">
      <c r="A41" s="561" t="s">
        <v>258</v>
      </c>
      <c r="B41" s="562" t="s">
        <v>339</v>
      </c>
      <c r="C41" s="576"/>
      <c r="D41" s="564"/>
      <c r="E41" s="577"/>
    </row>
    <row r="42" spans="1:5" ht="27.6" x14ac:dyDescent="0.3">
      <c r="A42" s="542"/>
      <c r="B42" s="566" t="s">
        <v>303</v>
      </c>
      <c r="C42" s="567">
        <f>'31_Inputs_UnitEconomics'!B15</f>
        <v>9</v>
      </c>
      <c r="D42" s="566" t="s">
        <v>637</v>
      </c>
      <c r="E42" s="399" t="s">
        <v>732</v>
      </c>
    </row>
    <row r="43" spans="1:5" ht="27.6" x14ac:dyDescent="0.3">
      <c r="A43" s="542"/>
      <c r="B43" s="566" t="s">
        <v>340</v>
      </c>
      <c r="C43" s="55">
        <f>'31_Inputs_UnitEconomics'!B11</f>
        <v>0.06</v>
      </c>
      <c r="D43" s="566" t="s">
        <v>536</v>
      </c>
      <c r="E43" s="399" t="s">
        <v>740</v>
      </c>
    </row>
    <row r="44" spans="1:5" ht="27.6" x14ac:dyDescent="0.3">
      <c r="A44" s="542"/>
      <c r="B44" s="566" t="s">
        <v>341</v>
      </c>
      <c r="C44" s="48">
        <f>'31_Inputs_UnitEconomics'!B12</f>
        <v>1800</v>
      </c>
      <c r="D44" s="566" t="s">
        <v>560</v>
      </c>
      <c r="E44" s="399" t="s">
        <v>741</v>
      </c>
    </row>
    <row r="45" spans="1:5" ht="27.6" x14ac:dyDescent="0.3">
      <c r="A45" s="542"/>
      <c r="B45" s="566" t="s">
        <v>342</v>
      </c>
      <c r="C45" s="49">
        <f>'31_Inputs_UnitEconomics'!B13</f>
        <v>0.03</v>
      </c>
      <c r="D45" s="566" t="s">
        <v>537</v>
      </c>
      <c r="E45" s="399" t="s">
        <v>742</v>
      </c>
    </row>
    <row r="46" spans="1:5" ht="27.6" x14ac:dyDescent="0.3">
      <c r="A46" s="542"/>
      <c r="B46" s="566" t="s">
        <v>343</v>
      </c>
      <c r="C46" s="52">
        <f>'31_Inputs_UnitEconomics'!B14</f>
        <v>1.0999999999999999E-2</v>
      </c>
      <c r="D46" s="566" t="s">
        <v>538</v>
      </c>
      <c r="E46" s="399" t="s">
        <v>743</v>
      </c>
    </row>
    <row r="47" spans="1:5" ht="28.2" thickBot="1" x14ac:dyDescent="0.35">
      <c r="A47" s="545"/>
      <c r="B47" s="570" t="s">
        <v>344</v>
      </c>
      <c r="C47" s="53">
        <f>'31_Inputs_UnitEconomics'!B16</f>
        <v>8.3333333333333329E-2</v>
      </c>
      <c r="D47" s="579" t="s">
        <v>539</v>
      </c>
      <c r="E47" s="402" t="s">
        <v>744</v>
      </c>
    </row>
    <row r="48" spans="1:5" ht="15" thickBot="1" x14ac:dyDescent="0.35">
      <c r="A48" s="46"/>
      <c r="B48" s="573"/>
      <c r="C48" s="574"/>
      <c r="D48" s="573"/>
      <c r="E48" s="575"/>
    </row>
    <row r="49" spans="1:5" x14ac:dyDescent="0.3">
      <c r="A49" s="561" t="s">
        <v>345</v>
      </c>
      <c r="B49" s="562" t="s">
        <v>346</v>
      </c>
      <c r="C49" s="576"/>
      <c r="D49" s="564"/>
      <c r="E49" s="577"/>
    </row>
    <row r="50" spans="1:5" x14ac:dyDescent="0.3">
      <c r="A50" s="542"/>
      <c r="B50" s="566" t="s">
        <v>347</v>
      </c>
      <c r="C50" s="47">
        <f>'33_Inputs_Opex_Headcount'!C8</f>
        <v>28</v>
      </c>
      <c r="D50" s="566" t="s">
        <v>540</v>
      </c>
      <c r="E50" s="400" t="str">
        <f>HYPERLINK("#'33_Inputs_Opex_Headcount'!C8","33_Inputs_Opex_Headcount!C8")</f>
        <v>33_Inputs_Opex_Headcount!C8</v>
      </c>
    </row>
    <row r="51" spans="1:5" x14ac:dyDescent="0.3">
      <c r="A51" s="542"/>
      <c r="B51" s="566" t="s">
        <v>348</v>
      </c>
      <c r="C51" s="55">
        <f>'33_Inputs_Opex_Headcount'!G8</f>
        <v>0.15</v>
      </c>
      <c r="D51" s="566" t="s">
        <v>561</v>
      </c>
      <c r="E51" s="400" t="str">
        <f>HYPERLINK("#'33_Inputs_Opex_Headcount'!G8","33_Inputs_Opex_Headcount!G8")</f>
        <v>33_Inputs_Opex_Headcount!G8</v>
      </c>
    </row>
    <row r="52" spans="1:5" ht="27.6" x14ac:dyDescent="0.3">
      <c r="A52" s="542"/>
      <c r="B52" s="566" t="s">
        <v>349</v>
      </c>
      <c r="C52" s="567" t="s">
        <v>350</v>
      </c>
      <c r="D52" s="566" t="s">
        <v>351</v>
      </c>
      <c r="E52" s="569"/>
    </row>
    <row r="53" spans="1:5" ht="27.6" x14ac:dyDescent="0.3">
      <c r="A53" s="542"/>
      <c r="B53" s="566" t="s">
        <v>352</v>
      </c>
      <c r="C53" s="48">
        <f>'34_Inputs_Opex_NonPeople'!H7</f>
        <v>310000</v>
      </c>
      <c r="D53" s="566" t="s">
        <v>541</v>
      </c>
      <c r="E53" s="400" t="str">
        <f>HYPERLINK("#'34_Inputs_Opex_NonPeople'!H7","34_Inputs_Opex_NonPeople!H7")</f>
        <v>34_Inputs_Opex_NonPeople!H7</v>
      </c>
    </row>
    <row r="54" spans="1:5" ht="15" thickBot="1" x14ac:dyDescent="0.35">
      <c r="A54" s="545"/>
      <c r="B54" s="570" t="s">
        <v>353</v>
      </c>
      <c r="C54" s="56">
        <f>'31_Inputs_UnitEconomics'!B18</f>
        <v>1.2</v>
      </c>
      <c r="D54" s="570" t="s">
        <v>354</v>
      </c>
      <c r="E54" s="402" t="s">
        <v>745</v>
      </c>
    </row>
    <row r="55" spans="1:5" ht="15" thickBot="1" x14ac:dyDescent="0.35">
      <c r="A55" s="46"/>
      <c r="B55" s="573"/>
      <c r="C55" s="574"/>
      <c r="D55" s="573"/>
      <c r="E55" s="575"/>
    </row>
    <row r="56" spans="1:5" x14ac:dyDescent="0.3">
      <c r="A56" s="561" t="s">
        <v>355</v>
      </c>
      <c r="B56" s="562" t="s">
        <v>356</v>
      </c>
      <c r="C56" s="576"/>
      <c r="D56" s="580"/>
      <c r="E56" s="581"/>
    </row>
    <row r="57" spans="1:5" x14ac:dyDescent="0.3">
      <c r="A57" s="542"/>
      <c r="B57" s="566" t="s">
        <v>357</v>
      </c>
      <c r="C57" s="48">
        <f>'36_Inputs_Funding'!B2</f>
        <v>6500000</v>
      </c>
      <c r="D57" s="582" t="s">
        <v>562</v>
      </c>
      <c r="E57" s="403" t="str">
        <f>HYPERLINK("#'36_Inputs_Funding'!B2","36_Inputs_Funding!B2")</f>
        <v>36_Inputs_Funding!B2</v>
      </c>
    </row>
    <row r="58" spans="1:5" x14ac:dyDescent="0.3">
      <c r="A58" s="542"/>
      <c r="B58" s="566" t="s">
        <v>358</v>
      </c>
      <c r="C58" s="567">
        <f>'36_Inputs_Funding'!B13</f>
        <v>12</v>
      </c>
      <c r="D58" s="582" t="s">
        <v>359</v>
      </c>
      <c r="E58" s="403" t="str">
        <f>HYPERLINK("#'36_Inputs_Funding'!B13","36_Inputs_Funding!B13")</f>
        <v>36_Inputs_Funding!B13</v>
      </c>
    </row>
    <row r="59" spans="1:5" ht="27.6" x14ac:dyDescent="0.3">
      <c r="A59" s="542"/>
      <c r="B59" s="566" t="s">
        <v>360</v>
      </c>
      <c r="C59" s="48">
        <f>'36_Inputs_Funding'!C13</f>
        <v>10000000</v>
      </c>
      <c r="D59" s="582" t="s">
        <v>361</v>
      </c>
      <c r="E59" s="403" t="str">
        <f>HYPERLINK("#'36_Inputs_Funding'!C13","36_Inputs_Funding!C13")</f>
        <v>36_Inputs_Funding!C13</v>
      </c>
    </row>
    <row r="60" spans="1:5" x14ac:dyDescent="0.3">
      <c r="A60" s="542"/>
      <c r="B60" s="566" t="s">
        <v>362</v>
      </c>
      <c r="C60" s="567">
        <f>'36_Inputs_Funding'!B14</f>
        <v>19</v>
      </c>
      <c r="D60" s="582" t="s">
        <v>542</v>
      </c>
      <c r="E60" s="403" t="str">
        <f>HYPERLINK("#'36_Inputs_Funding'!B14","36_Inputs_Funding!B14")</f>
        <v>36_Inputs_Funding!B14</v>
      </c>
    </row>
    <row r="61" spans="1:5" x14ac:dyDescent="0.3">
      <c r="A61" s="542"/>
      <c r="B61" s="566" t="s">
        <v>363</v>
      </c>
      <c r="C61" s="48">
        <f>'36_Inputs_Funding'!C14</f>
        <v>40000000</v>
      </c>
      <c r="D61" s="582" t="s">
        <v>364</v>
      </c>
      <c r="E61" s="403" t="str">
        <f>HYPERLINK("#'36_Inputs_Funding'!C14","36_Inputs_Funding!C14")</f>
        <v>36_Inputs_Funding!C14</v>
      </c>
    </row>
    <row r="62" spans="1:5" ht="27.6" x14ac:dyDescent="0.3">
      <c r="A62" s="542"/>
      <c r="B62" s="566" t="s">
        <v>365</v>
      </c>
      <c r="C62" s="48">
        <f>'36_Inputs_Funding'!B5</f>
        <v>4000000</v>
      </c>
      <c r="D62" s="582" t="s">
        <v>638</v>
      </c>
      <c r="E62" s="403" t="str">
        <f>HYPERLINK("#'36_Inputs_Funding'!B5","36_Inputs_Funding!B5")</f>
        <v>36_Inputs_Funding!B5</v>
      </c>
    </row>
    <row r="63" spans="1:5" ht="27.6" x14ac:dyDescent="0.3">
      <c r="A63" s="542"/>
      <c r="B63" s="566" t="s">
        <v>366</v>
      </c>
      <c r="C63" s="49">
        <f>'36_Inputs_Funding'!B10</f>
        <v>0.1</v>
      </c>
      <c r="D63" s="582" t="s">
        <v>586</v>
      </c>
      <c r="E63" s="403" t="str">
        <f>HYPERLINK("#'36_Inputs_Funding'!B10","36_Inputs_Funding!B10")</f>
        <v>36_Inputs_Funding!B10</v>
      </c>
    </row>
    <row r="64" spans="1:5" ht="28.2" thickBot="1" x14ac:dyDescent="0.35">
      <c r="A64" s="545"/>
      <c r="B64" s="570" t="s">
        <v>367</v>
      </c>
      <c r="C64" s="50">
        <f>'37_Inputs_Tax'!B2</f>
        <v>0.09</v>
      </c>
      <c r="D64" s="583" t="s">
        <v>543</v>
      </c>
      <c r="E64" s="404" t="str">
        <f>HYPERLINK("#'37_Inputs_Tax'!B2","37_Inputs_Tax!B2")</f>
        <v>37_Inputs_Tax!B2</v>
      </c>
    </row>
    <row r="65" spans="1:5" ht="15" thickBot="1" x14ac:dyDescent="0.35">
      <c r="A65" s="46"/>
      <c r="B65" s="573"/>
      <c r="C65" s="574"/>
      <c r="D65" s="573"/>
      <c r="E65" s="575"/>
    </row>
    <row r="66" spans="1:5" x14ac:dyDescent="0.3">
      <c r="A66" s="561" t="s">
        <v>368</v>
      </c>
      <c r="B66" s="562" t="s">
        <v>369</v>
      </c>
      <c r="C66" s="576"/>
      <c r="D66" s="580"/>
      <c r="E66" s="581"/>
    </row>
    <row r="67" spans="1:5" ht="41.4" x14ac:dyDescent="0.3">
      <c r="A67" s="542"/>
      <c r="B67" s="566" t="s">
        <v>370</v>
      </c>
      <c r="C67" s="57">
        <f>'02_Valuation'!B5</f>
        <v>15</v>
      </c>
      <c r="D67" s="582" t="s">
        <v>632</v>
      </c>
      <c r="E67" s="405" t="s">
        <v>639</v>
      </c>
    </row>
    <row r="68" spans="1:5" x14ac:dyDescent="0.3">
      <c r="A68" s="542"/>
      <c r="B68" s="566" t="s">
        <v>371</v>
      </c>
      <c r="C68" s="57">
        <f>'02_Valuation'!B6</f>
        <v>5</v>
      </c>
      <c r="D68" s="582" t="s">
        <v>563</v>
      </c>
      <c r="E68" s="405" t="s">
        <v>640</v>
      </c>
    </row>
    <row r="69" spans="1:5" x14ac:dyDescent="0.3">
      <c r="A69" s="542"/>
      <c r="B69" s="566" t="s">
        <v>372</v>
      </c>
      <c r="C69" s="567" t="str">
        <f>'21_Scenarios'!C9&amp;" / "&amp;'21_Scenarios'!D9</f>
        <v>0.85 / 1.1</v>
      </c>
      <c r="D69" s="582" t="s">
        <v>544</v>
      </c>
      <c r="E69" s="403" t="str">
        <f>HYPERLINK("#'21_Scenarios'!C9","21_Scenarios!C9, 21_Scenarios!D9")</f>
        <v>21_Scenarios!C9, 21_Scenarios!D9</v>
      </c>
    </row>
    <row r="70" spans="1:5" x14ac:dyDescent="0.3">
      <c r="A70" s="542"/>
      <c r="B70" s="566" t="s">
        <v>373</v>
      </c>
      <c r="C70" s="567" t="str">
        <f>'21_Scenarios'!C10&amp;" / "&amp;'21_Scenarios'!D10</f>
        <v>1.4 / 0.9</v>
      </c>
      <c r="D70" s="582" t="s">
        <v>545</v>
      </c>
      <c r="E70" s="403" t="str">
        <f>HYPERLINK("#'21_Scenarios'!C10","21_Scenarios!C10, 21_Scenarios!D10")</f>
        <v>21_Scenarios!C10, 21_Scenarios!D10</v>
      </c>
    </row>
    <row r="71" spans="1:5" ht="27.6" x14ac:dyDescent="0.3">
      <c r="A71" s="542"/>
      <c r="B71" s="566" t="s">
        <v>374</v>
      </c>
      <c r="C71" s="567" t="str">
        <f>'21_Scenarios'!C11&amp;" / "&amp;'21_Scenarios'!D11</f>
        <v>0.7 / 1.2</v>
      </c>
      <c r="D71" s="582" t="s">
        <v>546</v>
      </c>
      <c r="E71" s="403" t="str">
        <f>HYPERLINK("#'21_Scenarios'!C11","21_Scenarios!C11, 21_Scenarios!D11")</f>
        <v>21_Scenarios!C11, 21_Scenarios!D11</v>
      </c>
    </row>
    <row r="72" spans="1:5" ht="15" thickBot="1" x14ac:dyDescent="0.35">
      <c r="A72" s="545"/>
      <c r="B72" s="570" t="s">
        <v>375</v>
      </c>
      <c r="C72" s="571" t="str">
        <f>'21_Scenarios'!C12&amp;" / "&amp;'21_Scenarios'!D12</f>
        <v>0.9 / 1.1</v>
      </c>
      <c r="D72" s="583" t="s">
        <v>547</v>
      </c>
      <c r="E72" s="404" t="str">
        <f>HYPERLINK("#'21_Scenarios'!C12","21_Scenarios!C12, 21_Scenarios!D12")</f>
        <v>21_Scenarios!C12, 21_Scenarios!D12</v>
      </c>
    </row>
    <row r="73" spans="1:5" ht="15" thickBot="1" x14ac:dyDescent="0.35">
      <c r="A73" s="46"/>
      <c r="B73" s="573"/>
      <c r="C73" s="574"/>
      <c r="D73" s="573"/>
      <c r="E73" s="575"/>
    </row>
    <row r="74" spans="1:5" x14ac:dyDescent="0.3">
      <c r="A74" s="561" t="s">
        <v>376</v>
      </c>
      <c r="B74" s="562" t="s">
        <v>377</v>
      </c>
      <c r="C74" s="576"/>
      <c r="D74" s="580"/>
      <c r="E74" s="581"/>
    </row>
    <row r="75" spans="1:5" ht="27.6" x14ac:dyDescent="0.3">
      <c r="A75" s="542"/>
      <c r="B75" s="566" t="s">
        <v>294</v>
      </c>
      <c r="C75" s="48">
        <f>'03_KPIs'!AK4</f>
        <v>11737752.478387916</v>
      </c>
      <c r="D75" s="584" t="s">
        <v>587</v>
      </c>
      <c r="E75" s="403" t="str">
        <f>HYPERLINK("#'03_KPIs'!AK4","03_KPIs!AK4")</f>
        <v>03_KPIs!AK4</v>
      </c>
    </row>
    <row r="76" spans="1:5" ht="27.6" x14ac:dyDescent="0.3">
      <c r="A76" s="542"/>
      <c r="B76" s="566" t="s">
        <v>295</v>
      </c>
      <c r="C76" s="48">
        <f>'03_KPIs'!AK5</f>
        <v>34306211.832317397</v>
      </c>
      <c r="D76" s="584" t="s">
        <v>588</v>
      </c>
      <c r="E76" s="403" t="str">
        <f>HYPERLINK("#'03_KPIs'!AK5","03_KPIs!AK5")</f>
        <v>03_KPIs!AK5</v>
      </c>
    </row>
    <row r="77" spans="1:5" ht="27.6" x14ac:dyDescent="0.3">
      <c r="A77" s="542"/>
      <c r="B77" s="566" t="s">
        <v>199</v>
      </c>
      <c r="C77" s="49">
        <f>'03_KPIs'!AK10</f>
        <v>0.81422046071052501</v>
      </c>
      <c r="D77" s="584" t="s">
        <v>548</v>
      </c>
      <c r="E77" s="403" t="str">
        <f>HYPERLINK("#'03_KPIs'!AK10","03_KPIs!AK10")</f>
        <v>03_KPIs!AK10</v>
      </c>
    </row>
    <row r="78" spans="1:5" ht="27.6" x14ac:dyDescent="0.3">
      <c r="A78" s="542"/>
      <c r="B78" s="566" t="s">
        <v>200</v>
      </c>
      <c r="C78" s="49">
        <f>'03_KPIs'!AK11</f>
        <v>-3.4334320778735133E-2</v>
      </c>
      <c r="D78" s="584" t="s">
        <v>549</v>
      </c>
      <c r="E78" s="403" t="str">
        <f>HYPERLINK("#'03_KPIs'!AK11","03_KPIs!AK11")</f>
        <v>03_KPIs!AK11</v>
      </c>
    </row>
    <row r="79" spans="1:5" ht="27.6" x14ac:dyDescent="0.3">
      <c r="A79" s="542"/>
      <c r="B79" s="566" t="s">
        <v>202</v>
      </c>
      <c r="C79" s="58">
        <f>'03_KPIs'!AK13</f>
        <v>0.10529473341083936</v>
      </c>
      <c r="D79" s="584" t="s">
        <v>550</v>
      </c>
      <c r="E79" s="403" t="str">
        <f>HYPERLINK("#'03_KPIs'!AK13","03_KPIs!AK13")</f>
        <v>03_KPIs!AK13</v>
      </c>
    </row>
    <row r="80" spans="1:5" x14ac:dyDescent="0.3">
      <c r="A80" s="542"/>
      <c r="B80" s="566" t="s">
        <v>378</v>
      </c>
      <c r="C80" s="59">
        <f>'03_KPIs'!AK14</f>
        <v>34.706488144874228</v>
      </c>
      <c r="D80" s="584" t="s">
        <v>551</v>
      </c>
      <c r="E80" s="403" t="str">
        <f>HYPERLINK("#'03_KPIs'!AK14","03_KPIs!AK14")</f>
        <v>03_KPIs!AK14</v>
      </c>
    </row>
    <row r="81" spans="1:5" x14ac:dyDescent="0.3">
      <c r="A81" s="542"/>
      <c r="B81" s="566" t="s">
        <v>379</v>
      </c>
      <c r="C81" s="57">
        <f>'03_KPIs'!AK9</f>
        <v>6.1050340186193068</v>
      </c>
      <c r="D81" s="584" t="s">
        <v>552</v>
      </c>
      <c r="E81" s="403" t="str">
        <f>HYPERLINK("#'03_KPIs'!AK9","03_KPIs!AK9")</f>
        <v>03_KPIs!AK9</v>
      </c>
    </row>
    <row r="82" spans="1:5" ht="27.6" x14ac:dyDescent="0.3">
      <c r="A82" s="542"/>
      <c r="B82" s="566" t="s">
        <v>380</v>
      </c>
      <c r="C82" s="60">
        <f>'03_KPIs'!AK8</f>
        <v>4.6799786019685747</v>
      </c>
      <c r="D82" s="584" t="s">
        <v>553</v>
      </c>
      <c r="E82" s="403" t="str">
        <f>HYPERLINK("#'03_KPIs'!AK8","03_KPIs!AK8")</f>
        <v>03_KPIs!AK8</v>
      </c>
    </row>
    <row r="83" spans="1:5" ht="15" thickBot="1" x14ac:dyDescent="0.35">
      <c r="A83" s="545"/>
      <c r="B83" s="570" t="s">
        <v>206</v>
      </c>
      <c r="C83" s="51">
        <f>'03_KPIs'!AK17</f>
        <v>13349252.65605847</v>
      </c>
      <c r="D83" s="583" t="s">
        <v>564</v>
      </c>
      <c r="E83" s="404" t="str">
        <f>HYPERLINK("#'03_KPIs'!AK17","03_KPIs!AK17")</f>
        <v>03_KPIs!AK17</v>
      </c>
    </row>
    <row r="84" spans="1:5" ht="15" thickBot="1" x14ac:dyDescent="0.35">
      <c r="A84" s="46"/>
      <c r="B84" s="46"/>
      <c r="C84" s="585"/>
      <c r="D84" s="46"/>
      <c r="E84" s="586"/>
    </row>
    <row r="85" spans="1:5" x14ac:dyDescent="0.3">
      <c r="A85" s="587" t="s">
        <v>384</v>
      </c>
      <c r="B85" s="588" t="s">
        <v>385</v>
      </c>
      <c r="C85" s="589"/>
      <c r="D85" s="590"/>
      <c r="E85" s="591"/>
    </row>
    <row r="86" spans="1:5" ht="27.6" x14ac:dyDescent="0.3">
      <c r="A86" s="592"/>
      <c r="B86" s="593" t="s">
        <v>386</v>
      </c>
      <c r="C86" s="61">
        <f>'35_Inputs_Capex_WC'!B6</f>
        <v>12</v>
      </c>
      <c r="D86" s="594" t="s">
        <v>387</v>
      </c>
      <c r="E86" s="406" t="str">
        <f>HYPERLINK("#'35_Inputs_Capex_WC'!B6","35_Inputs_Capex_WC!B6")</f>
        <v>35_Inputs_Capex_WC!B6</v>
      </c>
    </row>
    <row r="87" spans="1:5" ht="27.6" x14ac:dyDescent="0.3">
      <c r="A87" s="592"/>
      <c r="B87" s="593" t="s">
        <v>388</v>
      </c>
      <c r="C87" s="61">
        <f>'35_Inputs_Capex_WC'!B7</f>
        <v>25</v>
      </c>
      <c r="D87" s="594" t="s">
        <v>389</v>
      </c>
      <c r="E87" s="406" t="str">
        <f>HYPERLINK("#'35_Inputs_Capex_WC'!B7","35_Inputs_Capex_WC!B7")</f>
        <v>35_Inputs_Capex_WC!B7</v>
      </c>
    </row>
    <row r="88" spans="1:5" ht="41.4" x14ac:dyDescent="0.3">
      <c r="A88" s="592"/>
      <c r="B88" s="593" t="s">
        <v>390</v>
      </c>
      <c r="C88" s="62">
        <f>'35_Inputs_Capex_WC'!B8</f>
        <v>1</v>
      </c>
      <c r="D88" s="594" t="s">
        <v>554</v>
      </c>
      <c r="E88" s="406" t="str">
        <f>HYPERLINK("#'35_Inputs_Capex_WC'!B8","35_Inputs_Capex_WC!B8")</f>
        <v>35_Inputs_Capex_WC!B8</v>
      </c>
    </row>
    <row r="89" spans="1:5" ht="55.2" x14ac:dyDescent="0.3">
      <c r="A89" s="592"/>
      <c r="B89" s="593" t="s">
        <v>391</v>
      </c>
      <c r="C89" s="63">
        <f>'35_Inputs_Capex_WC'!B2</f>
        <v>0.08</v>
      </c>
      <c r="D89" s="594" t="s">
        <v>392</v>
      </c>
      <c r="E89" s="406" t="str">
        <f>HYPERLINK("#'35_Inputs_Capex_WC'!B2","35_Inputs_Capex_WC!B2")</f>
        <v>35_Inputs_Capex_WC!B2</v>
      </c>
    </row>
    <row r="90" spans="1:5" ht="27.6" x14ac:dyDescent="0.3">
      <c r="A90" s="592"/>
      <c r="B90" s="593" t="s">
        <v>393</v>
      </c>
      <c r="C90" s="64">
        <f>'35_Inputs_Capex_WC'!B3</f>
        <v>25000</v>
      </c>
      <c r="D90" s="594" t="s">
        <v>555</v>
      </c>
      <c r="E90" s="406" t="str">
        <f>HYPERLINK("#'35_Inputs_Capex_WC'!B3","35_Inputs_Capex_WC!B3")</f>
        <v>35_Inputs_Capex_WC!B3</v>
      </c>
    </row>
    <row r="91" spans="1:5" ht="42" thickBot="1" x14ac:dyDescent="0.35">
      <c r="A91" s="595"/>
      <c r="B91" s="596" t="s">
        <v>394</v>
      </c>
      <c r="C91" s="65">
        <f>'35_Inputs_Capex_WC'!B4</f>
        <v>3</v>
      </c>
      <c r="D91" s="597" t="s">
        <v>395</v>
      </c>
      <c r="E91" s="407" t="str">
        <f>HYPERLINK("#'35_Inputs_Capex_WC'!B4","35_Inputs_Capex_WC!B4")</f>
        <v>35_Inputs_Capex_WC!B4</v>
      </c>
    </row>
    <row r="92" spans="1:5" ht="15" thickBot="1" x14ac:dyDescent="0.35">
      <c r="A92" s="46"/>
      <c r="B92" s="46"/>
      <c r="C92" s="585"/>
      <c r="D92" s="598"/>
      <c r="E92" s="586"/>
    </row>
    <row r="93" spans="1:5" x14ac:dyDescent="0.3">
      <c r="A93" s="587" t="s">
        <v>396</v>
      </c>
      <c r="B93" s="588" t="s">
        <v>397</v>
      </c>
      <c r="C93" s="589"/>
      <c r="D93" s="590"/>
      <c r="E93" s="591"/>
    </row>
    <row r="94" spans="1:5" ht="27.6" x14ac:dyDescent="0.3">
      <c r="A94" s="592"/>
      <c r="B94" s="593" t="s">
        <v>398</v>
      </c>
      <c r="C94" s="599" t="str">
        <f>'21_Scenarios'!C2&amp;" / "&amp;'21_Scenarios'!D2</f>
        <v>0.6 / 1.25</v>
      </c>
      <c r="D94" s="594" t="s">
        <v>399</v>
      </c>
      <c r="E94" s="406" t="str">
        <f>HYPERLINK("#'21_Scenarios'!C2","21_Scenarios!C2, 21_Scenarios!D2")</f>
        <v>21_Scenarios!C2, 21_Scenarios!D2</v>
      </c>
    </row>
    <row r="95" spans="1:5" ht="27.6" x14ac:dyDescent="0.3">
      <c r="A95" s="592"/>
      <c r="B95" s="593" t="s">
        <v>400</v>
      </c>
      <c r="C95" s="599" t="str">
        <f>'21_Scenarios'!C3&amp;" / "&amp;'21_Scenarios'!D3</f>
        <v>1.35 / 0.8</v>
      </c>
      <c r="D95" s="594" t="s">
        <v>401</v>
      </c>
      <c r="E95" s="406" t="str">
        <f>HYPERLINK("#'21_Scenarios'!C3","21_Scenarios!C3, 21_Scenarios!D3")</f>
        <v>21_Scenarios!C3, 21_Scenarios!D3</v>
      </c>
    </row>
    <row r="96" spans="1:5" ht="27.6" x14ac:dyDescent="0.3">
      <c r="A96" s="592"/>
      <c r="B96" s="593" t="s">
        <v>402</v>
      </c>
      <c r="C96" s="599" t="str">
        <f>'21_Scenarios'!C4&amp;" / "&amp;'21_Scenarios'!D4</f>
        <v>1.2 / 0.9</v>
      </c>
      <c r="D96" s="594" t="s">
        <v>403</v>
      </c>
      <c r="E96" s="406" t="str">
        <f>HYPERLINK("#'21_Scenarios'!C4","21_Scenarios!C4, 21_Scenarios!D4")</f>
        <v>21_Scenarios!C4, 21_Scenarios!D4</v>
      </c>
    </row>
    <row r="97" spans="1:5" ht="27.6" x14ac:dyDescent="0.3">
      <c r="A97" s="592"/>
      <c r="B97" s="593" t="s">
        <v>404</v>
      </c>
      <c r="C97" s="599" t="str">
        <f>'21_Scenarios'!C5&amp;" / "&amp;'21_Scenarios'!D5</f>
        <v>0.9 / 1.05</v>
      </c>
      <c r="D97" s="594" t="s">
        <v>405</v>
      </c>
      <c r="E97" s="406" t="str">
        <f>HYPERLINK("#'21_Scenarios'!C5","21_Scenarios!C5, 21_Scenarios!D5")</f>
        <v>21_Scenarios!C5, 21_Scenarios!D5</v>
      </c>
    </row>
    <row r="98" spans="1:5" ht="27.6" x14ac:dyDescent="0.3">
      <c r="A98" s="592"/>
      <c r="B98" s="593" t="s">
        <v>406</v>
      </c>
      <c r="C98" s="599" t="str">
        <f>'21_Scenarios'!C6&amp;" / "&amp;'21_Scenarios'!D6</f>
        <v>1.5 / 0.8</v>
      </c>
      <c r="D98" s="594" t="s">
        <v>407</v>
      </c>
      <c r="E98" s="406" t="str">
        <f>HYPERLINK("#'21_Scenarios'!C6","21_Scenarios!C6, 21_Scenarios!D6")</f>
        <v>21_Scenarios!C6, 21_Scenarios!D6</v>
      </c>
    </row>
    <row r="99" spans="1:5" ht="28.2" thickBot="1" x14ac:dyDescent="0.35">
      <c r="A99" s="595"/>
      <c r="B99" s="596" t="s">
        <v>408</v>
      </c>
      <c r="C99" s="600" t="str">
        <f>'21_Scenarios'!C7&amp;" / "&amp;'21_Scenarios'!D7</f>
        <v>0.7 / 1.2</v>
      </c>
      <c r="D99" s="597" t="s">
        <v>409</v>
      </c>
      <c r="E99" s="407" t="str">
        <f>HYPERLINK("#'21_Scenarios'!C7","21_Scenarios!C7, 21_Scenarios!D7")</f>
        <v>21_Scenarios!C7, 21_Scenarios!D7</v>
      </c>
    </row>
    <row r="100" spans="1:5" ht="15" thickBot="1" x14ac:dyDescent="0.35">
      <c r="A100" s="46"/>
      <c r="B100" s="46"/>
      <c r="C100" s="585"/>
      <c r="D100" s="598"/>
      <c r="E100" s="586"/>
    </row>
    <row r="101" spans="1:5" x14ac:dyDescent="0.3">
      <c r="A101" s="587" t="s">
        <v>410</v>
      </c>
      <c r="B101" s="588" t="s">
        <v>411</v>
      </c>
      <c r="C101" s="589"/>
      <c r="D101" s="590"/>
      <c r="E101" s="591"/>
    </row>
    <row r="102" spans="1:5" x14ac:dyDescent="0.3">
      <c r="A102" s="592"/>
      <c r="B102" s="593" t="s">
        <v>412</v>
      </c>
      <c r="C102" s="599" t="str">
        <f>"M"&amp;'36_Inputs_Funding'!B6&amp;" / "&amp;TEXT('36_Inputs_Funding'!B7,"$#,##0")</f>
        <v>M4 / $1,000,000</v>
      </c>
      <c r="D102" s="594" t="s">
        <v>634</v>
      </c>
      <c r="E102" s="406" t="str">
        <f>HYPERLINK("#'36_Inputs_Funding'!B6","36_Inputs_Funding!B6, 36_Inputs_Funding!B7")</f>
        <v>36_Inputs_Funding!B6, 36_Inputs_Funding!B7</v>
      </c>
    </row>
    <row r="103" spans="1:5" x14ac:dyDescent="0.3">
      <c r="A103" s="592"/>
      <c r="B103" s="593" t="s">
        <v>413</v>
      </c>
      <c r="C103" s="599" t="str">
        <f>"M"&amp;'36_Inputs_Funding'!B8&amp;" / "&amp;TEXT('36_Inputs_Funding'!B9,"$#,##0")</f>
        <v>M5 / $2,000,000</v>
      </c>
      <c r="D103" s="594" t="s">
        <v>635</v>
      </c>
      <c r="E103" s="406" t="str">
        <f>HYPERLINK("#'36_Inputs_Funding'!B8","36_Inputs_Funding!B8, 36_Inputs_Funding!B9")</f>
        <v>36_Inputs_Funding!B8, 36_Inputs_Funding!B9</v>
      </c>
    </row>
    <row r="104" spans="1:5" ht="28.2" thickBot="1" x14ac:dyDescent="0.35">
      <c r="A104" s="595"/>
      <c r="B104" s="596" t="s">
        <v>414</v>
      </c>
      <c r="C104" s="600" t="s">
        <v>633</v>
      </c>
      <c r="D104" s="597" t="s">
        <v>636</v>
      </c>
      <c r="E104" s="601"/>
    </row>
    <row r="105" spans="1:5" ht="15" thickBot="1" x14ac:dyDescent="0.35">
      <c r="A105" s="46"/>
      <c r="B105" s="46"/>
      <c r="C105" s="11"/>
      <c r="D105" s="598"/>
      <c r="E105" s="602"/>
    </row>
    <row r="106" spans="1:5" x14ac:dyDescent="0.3">
      <c r="A106" s="603" t="s">
        <v>421</v>
      </c>
      <c r="B106" s="604" t="s">
        <v>609</v>
      </c>
      <c r="C106" s="605"/>
      <c r="D106" s="606"/>
      <c r="E106" s="607"/>
    </row>
    <row r="107" spans="1:5" ht="41.4" x14ac:dyDescent="0.3">
      <c r="A107" s="592"/>
      <c r="B107" s="297" t="s">
        <v>641</v>
      </c>
      <c r="C107" s="608" t="str">
        <f>TEXT('36_Inputs_Funding'!C4,"$#,##0")&amp;" / M"&amp;'36_Inputs_Funding'!B4</f>
        <v>$8,000,000 / M7</v>
      </c>
      <c r="D107" s="609" t="s">
        <v>642</v>
      </c>
      <c r="E107" s="610"/>
    </row>
    <row r="108" spans="1:5" ht="42" thickBot="1" x14ac:dyDescent="0.35">
      <c r="A108" s="595"/>
      <c r="B108" s="611" t="s">
        <v>643</v>
      </c>
      <c r="C108" s="612" t="str">
        <f>TEXT('02_Valuation'!B34,"0%")&amp;" discount"</f>
        <v>20% discount</v>
      </c>
      <c r="D108" s="613" t="s">
        <v>644</v>
      </c>
      <c r="E108" s="614"/>
    </row>
    <row r="109" spans="1:5" ht="15" thickBot="1" x14ac:dyDescent="0.35">
      <c r="A109" s="46"/>
      <c r="B109" s="46"/>
      <c r="C109" s="585"/>
      <c r="D109" s="598"/>
      <c r="E109" s="586"/>
    </row>
    <row r="110" spans="1:5" x14ac:dyDescent="0.3">
      <c r="A110" s="587" t="s">
        <v>658</v>
      </c>
      <c r="B110" s="615" t="s">
        <v>422</v>
      </c>
      <c r="C110" s="616"/>
      <c r="D110" s="606"/>
      <c r="E110" s="617"/>
    </row>
    <row r="111" spans="1:5" ht="41.4" x14ac:dyDescent="0.3">
      <c r="A111" s="592"/>
      <c r="B111" s="297" t="s">
        <v>415</v>
      </c>
      <c r="C111" s="394">
        <f>'03_KPIs'!AK18</f>
        <v>1.3228350988968514</v>
      </c>
      <c r="D111" s="618" t="s">
        <v>423</v>
      </c>
      <c r="E111" s="408" t="str">
        <f>HYPERLINK("#'03_KPIs'!AK18","03_KPIs!AK18")</f>
        <v>03_KPIs!AK18</v>
      </c>
    </row>
    <row r="112" spans="1:5" ht="41.4" x14ac:dyDescent="0.3">
      <c r="A112" s="592"/>
      <c r="B112" s="297" t="s">
        <v>416</v>
      </c>
      <c r="C112" s="394">
        <f>'03_KPIs'!AK19</f>
        <v>0.65212036074823387</v>
      </c>
      <c r="D112" s="618" t="s">
        <v>578</v>
      </c>
      <c r="E112" s="408" t="str">
        <f>HYPERLINK("#'03_KPIs'!AK19","03_KPIs!AK19")</f>
        <v>03_KPIs!AK19</v>
      </c>
    </row>
    <row r="113" spans="1:5" ht="27.6" x14ac:dyDescent="0.3">
      <c r="A113" s="592"/>
      <c r="B113" s="297" t="s">
        <v>417</v>
      </c>
      <c r="C113" s="395">
        <f>'03_KPIs'!AK20</f>
        <v>1.1999999999999999E-2</v>
      </c>
      <c r="D113" s="618" t="s">
        <v>579</v>
      </c>
      <c r="E113" s="408" t="str">
        <f>HYPERLINK("#'03_KPIs'!AK20","03_KPIs!AK20")</f>
        <v>03_KPIs!AK20</v>
      </c>
    </row>
    <row r="114" spans="1:5" ht="41.4" x14ac:dyDescent="0.3">
      <c r="A114" s="592"/>
      <c r="B114" s="297" t="s">
        <v>418</v>
      </c>
      <c r="C114" s="396">
        <f>'03_KPIs'!AK21</f>
        <v>9.0489250082243622</v>
      </c>
      <c r="D114" s="618" t="s">
        <v>580</v>
      </c>
      <c r="E114" s="408" t="str">
        <f>HYPERLINK("#'03_KPIs'!AK21","03_KPIs!AK21")</f>
        <v>03_KPIs!AK21</v>
      </c>
    </row>
    <row r="115" spans="1:5" ht="41.4" x14ac:dyDescent="0.3">
      <c r="A115" s="592"/>
      <c r="B115" s="297" t="s">
        <v>419</v>
      </c>
      <c r="C115" s="397">
        <f>'03_KPIs'!AK22</f>
        <v>0.83374573089381621</v>
      </c>
      <c r="D115" s="618" t="s">
        <v>424</v>
      </c>
      <c r="E115" s="408" t="str">
        <f>HYPERLINK("#'03_KPIs'!AK22","03_KPIs!AK22")</f>
        <v>03_KPIs!AK22</v>
      </c>
    </row>
    <row r="116" spans="1:5" ht="28.2" thickBot="1" x14ac:dyDescent="0.35">
      <c r="A116" s="595"/>
      <c r="B116" s="611" t="s">
        <v>425</v>
      </c>
      <c r="C116" s="398">
        <f>'03_KPIs'!AK23</f>
        <v>0.61269321816638833</v>
      </c>
      <c r="D116" s="619" t="s">
        <v>426</v>
      </c>
      <c r="E116" s="409" t="str">
        <f>HYPERLINK("#'03_KPIs'!AK23","03_KPIs!AK23")</f>
        <v>03_KPIs!AK23</v>
      </c>
    </row>
    <row r="117" spans="1:5" ht="15" thickBot="1" x14ac:dyDescent="0.35">
      <c r="A117" s="77"/>
      <c r="B117" s="77"/>
      <c r="C117" s="77"/>
      <c r="D117" s="77"/>
      <c r="E117" s="77"/>
    </row>
    <row r="118" spans="1:5" x14ac:dyDescent="0.3">
      <c r="A118" s="620" t="s">
        <v>702</v>
      </c>
      <c r="B118" s="604" t="s">
        <v>659</v>
      </c>
      <c r="C118" s="621"/>
      <c r="D118" s="621"/>
      <c r="E118" s="622"/>
    </row>
    <row r="119" spans="1:5" ht="55.2" x14ac:dyDescent="0.3">
      <c r="A119" s="623"/>
      <c r="B119" s="297" t="s">
        <v>660</v>
      </c>
      <c r="C119" s="410">
        <f>'31_Inputs_UnitEconomics'!B3</f>
        <v>1.2E-2</v>
      </c>
      <c r="D119" s="609" t="s">
        <v>661</v>
      </c>
      <c r="E119" s="624" t="s">
        <v>734</v>
      </c>
    </row>
    <row r="120" spans="1:5" ht="42" thickBot="1" x14ac:dyDescent="0.35">
      <c r="A120" s="625"/>
      <c r="B120" s="611" t="s">
        <v>662</v>
      </c>
      <c r="C120" s="626">
        <f>'21_Scenarios'!B35</f>
        <v>-3458956.2471466865</v>
      </c>
      <c r="D120" s="627" t="s">
        <v>664</v>
      </c>
      <c r="E120" s="628" t="s">
        <v>663</v>
      </c>
    </row>
    <row r="121" spans="1:5" ht="15" thickBot="1" x14ac:dyDescent="0.35">
      <c r="A121" s="77"/>
      <c r="B121" s="77"/>
      <c r="C121" s="77"/>
      <c r="D121" s="77"/>
      <c r="E121" s="77"/>
    </row>
    <row r="122" spans="1:5" x14ac:dyDescent="0.3">
      <c r="A122" s="620" t="s">
        <v>709</v>
      </c>
      <c r="B122" s="604" t="s">
        <v>703</v>
      </c>
      <c r="C122" s="621"/>
      <c r="D122" s="621"/>
      <c r="E122" s="622"/>
    </row>
    <row r="123" spans="1:5" ht="82.8" x14ac:dyDescent="0.3">
      <c r="A123" s="623"/>
      <c r="B123" s="297" t="s">
        <v>704</v>
      </c>
      <c r="C123" s="411">
        <f>'31_Inputs_UnitEconomics'!B14</f>
        <v>1.0999999999999999E-2</v>
      </c>
      <c r="D123" s="609" t="s">
        <v>705</v>
      </c>
      <c r="E123" s="624" t="s">
        <v>743</v>
      </c>
    </row>
    <row r="124" spans="1:5" ht="42" thickBot="1" x14ac:dyDescent="0.35">
      <c r="A124" s="625"/>
      <c r="B124" s="611" t="s">
        <v>706</v>
      </c>
      <c r="C124" s="626">
        <f>'21_Scenarios'!B67</f>
        <v>-31649.44966139218</v>
      </c>
      <c r="D124" s="627" t="s">
        <v>707</v>
      </c>
      <c r="E124" s="628" t="s">
        <v>708</v>
      </c>
    </row>
    <row r="125" spans="1:5" ht="15" thickBot="1" x14ac:dyDescent="0.35">
      <c r="A125" s="77"/>
      <c r="B125" s="77"/>
      <c r="C125" s="77"/>
      <c r="D125" s="77"/>
      <c r="E125" s="77"/>
    </row>
    <row r="126" spans="1:5" x14ac:dyDescent="0.3">
      <c r="A126" s="620" t="s">
        <v>719</v>
      </c>
      <c r="B126" s="604" t="s">
        <v>710</v>
      </c>
      <c r="C126" s="621"/>
      <c r="D126" s="621"/>
      <c r="E126" s="622"/>
    </row>
    <row r="127" spans="1:5" ht="82.8" x14ac:dyDescent="0.3">
      <c r="A127" s="623"/>
      <c r="B127" s="297" t="s">
        <v>711</v>
      </c>
      <c r="C127" s="629"/>
      <c r="D127" s="609" t="s">
        <v>712</v>
      </c>
      <c r="E127" s="624" t="s">
        <v>713</v>
      </c>
    </row>
    <row r="128" spans="1:5" ht="69" x14ac:dyDescent="0.3">
      <c r="A128" s="623"/>
      <c r="B128" s="297" t="s">
        <v>714</v>
      </c>
      <c r="C128" s="629"/>
      <c r="D128" s="609" t="s">
        <v>715</v>
      </c>
      <c r="E128" s="624" t="s">
        <v>716</v>
      </c>
    </row>
    <row r="129" spans="1:5" ht="28.2" thickBot="1" x14ac:dyDescent="0.35">
      <c r="A129" s="625"/>
      <c r="B129" s="611" t="s">
        <v>717</v>
      </c>
      <c r="C129" s="630"/>
      <c r="D129" s="627" t="s">
        <v>718</v>
      </c>
      <c r="E129" s="631"/>
    </row>
    <row r="130" spans="1:5" ht="15" thickBot="1" x14ac:dyDescent="0.35">
      <c r="A130" s="77"/>
      <c r="B130" s="77"/>
      <c r="C130" s="77"/>
      <c r="D130" s="77"/>
      <c r="E130" s="77"/>
    </row>
    <row r="131" spans="1:5" x14ac:dyDescent="0.3">
      <c r="A131" s="620" t="s">
        <v>746</v>
      </c>
      <c r="B131" s="604" t="s">
        <v>720</v>
      </c>
      <c r="C131" s="621"/>
      <c r="D131" s="621"/>
      <c r="E131" s="622"/>
    </row>
    <row r="132" spans="1:5" ht="41.4" x14ac:dyDescent="0.3">
      <c r="A132" s="623"/>
      <c r="B132" s="297" t="s">
        <v>721</v>
      </c>
      <c r="C132" s="629"/>
      <c r="D132" s="609" t="s">
        <v>722</v>
      </c>
      <c r="E132" s="624" t="s">
        <v>723</v>
      </c>
    </row>
    <row r="133" spans="1:5" ht="55.2" x14ac:dyDescent="0.3">
      <c r="A133" s="623"/>
      <c r="B133" s="297" t="s">
        <v>724</v>
      </c>
      <c r="C133" s="629"/>
      <c r="D133" s="632" t="s">
        <v>725</v>
      </c>
      <c r="E133" s="633"/>
    </row>
    <row r="134" spans="1:5" ht="28.2" thickBot="1" x14ac:dyDescent="0.35">
      <c r="A134" s="625"/>
      <c r="B134" s="611" t="s">
        <v>726</v>
      </c>
      <c r="C134" s="630"/>
      <c r="D134" s="613" t="s">
        <v>727</v>
      </c>
      <c r="E134" s="631"/>
    </row>
    <row r="135" spans="1:5" ht="15" thickBot="1" x14ac:dyDescent="0.35">
      <c r="A135" s="77"/>
      <c r="B135" s="77"/>
      <c r="C135" s="77"/>
      <c r="D135" s="77"/>
      <c r="E135" s="77"/>
    </row>
    <row r="136" spans="1:5" x14ac:dyDescent="0.3">
      <c r="A136" s="634" t="s">
        <v>754</v>
      </c>
      <c r="B136" s="635" t="s">
        <v>747</v>
      </c>
      <c r="C136" s="621"/>
      <c r="D136" s="621"/>
      <c r="E136" s="622"/>
    </row>
    <row r="137" spans="1:5" ht="55.2" x14ac:dyDescent="0.3">
      <c r="A137" s="623"/>
      <c r="B137" s="636" t="s">
        <v>748</v>
      </c>
      <c r="C137" s="629"/>
      <c r="D137" s="637" t="s">
        <v>749</v>
      </c>
      <c r="E137" s="638" t="s">
        <v>732</v>
      </c>
    </row>
    <row r="138" spans="1:5" ht="55.2" x14ac:dyDescent="0.3">
      <c r="A138" s="623"/>
      <c r="B138" s="636" t="s">
        <v>750</v>
      </c>
      <c r="C138" s="629"/>
      <c r="D138" s="639" t="s">
        <v>751</v>
      </c>
      <c r="E138" s="633"/>
    </row>
    <row r="139" spans="1:5" ht="28.2" thickBot="1" x14ac:dyDescent="0.35">
      <c r="A139" s="625"/>
      <c r="B139" s="640" t="s">
        <v>752</v>
      </c>
      <c r="C139" s="630"/>
      <c r="D139" s="641" t="s">
        <v>753</v>
      </c>
      <c r="E139" s="631"/>
    </row>
    <row r="140" spans="1:5" ht="15" thickBot="1" x14ac:dyDescent="0.35">
      <c r="A140" s="77"/>
      <c r="B140" s="77"/>
      <c r="C140" s="77"/>
      <c r="D140" s="77"/>
      <c r="E140" s="77"/>
    </row>
    <row r="141" spans="1:5" x14ac:dyDescent="0.3">
      <c r="A141" s="634" t="s">
        <v>794</v>
      </c>
      <c r="B141" s="635" t="s">
        <v>755</v>
      </c>
      <c r="C141" s="621"/>
      <c r="D141" s="621"/>
      <c r="E141" s="622"/>
    </row>
    <row r="142" spans="1:5" ht="41.4" x14ac:dyDescent="0.3">
      <c r="A142" s="623"/>
      <c r="B142" s="636" t="s">
        <v>756</v>
      </c>
      <c r="C142" s="629"/>
      <c r="D142" s="637" t="s">
        <v>757</v>
      </c>
      <c r="E142" s="633"/>
    </row>
    <row r="143" spans="1:5" ht="82.8" x14ac:dyDescent="0.3">
      <c r="A143" s="623"/>
      <c r="B143" s="636" t="s">
        <v>758</v>
      </c>
      <c r="C143" s="629"/>
      <c r="D143" s="637" t="s">
        <v>759</v>
      </c>
      <c r="E143" s="633"/>
    </row>
    <row r="144" spans="1:5" ht="69.599999999999994" thickBot="1" x14ac:dyDescent="0.35">
      <c r="A144" s="625"/>
      <c r="B144" s="640" t="s">
        <v>760</v>
      </c>
      <c r="C144" s="630"/>
      <c r="D144" s="641" t="s">
        <v>761</v>
      </c>
      <c r="E144" s="631"/>
    </row>
    <row r="145" spans="1:5" x14ac:dyDescent="0.3">
      <c r="A145" s="77"/>
      <c r="B145" s="77"/>
      <c r="C145" s="77"/>
      <c r="D145" s="77"/>
      <c r="E145" s="77"/>
    </row>
    <row r="146" spans="1:5" x14ac:dyDescent="0.3">
      <c r="A146" s="46"/>
      <c r="B146" s="46"/>
      <c r="C146" s="585"/>
      <c r="D146" s="46"/>
      <c r="E146" s="586"/>
    </row>
    <row r="147" spans="1:5" x14ac:dyDescent="0.3">
      <c r="A147" s="46"/>
      <c r="B147" s="642" t="s">
        <v>381</v>
      </c>
      <c r="C147" s="585"/>
      <c r="D147" s="46"/>
      <c r="E147" s="586"/>
    </row>
    <row r="148" spans="1:5" x14ac:dyDescent="0.3">
      <c r="A148" s="46"/>
      <c r="B148" s="643" t="s">
        <v>581</v>
      </c>
      <c r="C148" s="585"/>
      <c r="D148" s="46"/>
      <c r="E148" s="586"/>
    </row>
    <row r="149" spans="1:5" x14ac:dyDescent="0.3">
      <c r="A149" s="46"/>
      <c r="B149" s="644" t="s">
        <v>582</v>
      </c>
      <c r="C149" s="585"/>
      <c r="D149" s="46"/>
      <c r="E149" s="586"/>
    </row>
    <row r="150" spans="1:5" x14ac:dyDescent="0.3">
      <c r="A150" s="46"/>
      <c r="B150" s="644" t="s">
        <v>583</v>
      </c>
      <c r="C150" s="585"/>
      <c r="D150" s="46"/>
      <c r="E150" s="586"/>
    </row>
    <row r="151" spans="1:5" x14ac:dyDescent="0.3">
      <c r="A151" s="46"/>
      <c r="B151" s="46"/>
      <c r="C151" s="585"/>
      <c r="D151" s="46"/>
      <c r="E151" s="586"/>
    </row>
    <row r="152" spans="1:5" ht="55.2" x14ac:dyDescent="0.3">
      <c r="A152" s="46"/>
      <c r="B152" s="645" t="s">
        <v>576</v>
      </c>
      <c r="C152" s="646"/>
      <c r="D152" s="598"/>
      <c r="E152" s="647"/>
    </row>
  </sheetData>
  <hyperlinks>
    <hyperlink ref="E67" location="'02_Valuation'!B5" display="02_Valuation!B5" xr:uid="{741AB6BB-6128-491B-936E-953A9DE40000}"/>
    <hyperlink ref="E68" location="'02_Valuation'!B6" display="02_Valuation!B6" xr:uid="{248DCC29-5D40-48E3-B2D2-D3338B478DE0}"/>
    <hyperlink ref="E8" location="'31_Inputs_UnitEconomics'!B15" display="31_Inputs_UnitEconomics!B15" xr:uid="{1410FFC4-913D-4A48-822E-E3C5DBAF587F}"/>
    <hyperlink ref="E31" location="'31_Inputs_UnitEconomics'!B2" display="31_Inputs_UnitEconomics!B2" xr:uid="{3ACCF0AA-B938-4642-9931-18CEF7FF3BB9}"/>
    <hyperlink ref="E32" location="'31_Inputs_UnitEconomics'!B3" display="31_Inputs_UnitEconomics!B3" xr:uid="{631DAAB6-EFA4-4419-97C1-73D4944A89ED}"/>
    <hyperlink ref="E33" location="'31_Inputs_UnitEconomics'!B4" display="31_Inputs_UnitEconomics!B4" xr:uid="{E4D1D167-EC2A-427F-923D-971A6E3772A9}"/>
    <hyperlink ref="E34" location="'31_Inputs_UnitEconomics'!B5" display="31_Inputs_UnitEconomics!B5" xr:uid="{35F04946-3D2C-479F-B949-3E2EDDE73709}"/>
    <hyperlink ref="E37" location="'31_Inputs_UnitEconomics'!B7" display="31_Inputs_UnitEconomics!B7" xr:uid="{97B26396-ECF8-42AE-9BC4-360EDF289B29}"/>
    <hyperlink ref="E38" location="'31_Inputs_UnitEconomics'!B8" display="31_Inputs_UnitEconomics!B8" xr:uid="{98AA1ADA-2918-4FEC-8A20-7C81DB60D222}"/>
    <hyperlink ref="E39" location="'31_Inputs_UnitEconomics'!B9" display="31_Inputs_UnitEconomics!B9" xr:uid="{73E87BD5-689E-4321-9438-8A9E6B7DC502}"/>
    <hyperlink ref="E42" location="'31_Inputs_UnitEconomics'!B15" display="31_Inputs_UnitEconomics!B15" xr:uid="{D927D073-460A-460E-82D4-C57AD88C6104}"/>
    <hyperlink ref="E43" location="'31_Inputs_UnitEconomics'!B11" display="31_Inputs_UnitEconomics!B11" xr:uid="{B9D138EB-1B7B-4498-805F-FB00175D24E2}"/>
    <hyperlink ref="E44" location="'31_Inputs_UnitEconomics'!B12" display="31_Inputs_UnitEconomics!B12" xr:uid="{8B21D26A-52B8-46CD-AFDB-EF006DE7D49E}"/>
    <hyperlink ref="E45" location="'31_Inputs_UnitEconomics'!B13" display="31_Inputs_UnitEconomics!B13" xr:uid="{0BD0928F-0EBE-4B92-8D51-562F71E0B156}"/>
    <hyperlink ref="E46" location="'31_Inputs_UnitEconomics'!B14" display="31_Inputs_UnitEconomics!B14" xr:uid="{D7951024-935D-4E3E-B4B2-ACBBE6E039FB}"/>
    <hyperlink ref="E47" location="'31_Inputs_UnitEconomics'!B16" display="31_Inputs_UnitEconomics!B16" xr:uid="{B512B308-20DE-43D3-9248-2424B8E492D2}"/>
    <hyperlink ref="E54" location="'31_Inputs_UnitEconomics'!B18" display="31_Inputs_UnitEconomics!B18" xr:uid="{A45E5489-ACA5-4504-8514-58DDCBFC3F61}"/>
    <hyperlink ref="E137" location="'31_Inputs_UnitEconomics'!B15" display="31_Inputs_UnitEconomics!B15" xr:uid="{CB451A98-ADE6-40C4-B448-33CE186237AC}"/>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5A4613-449E-4982-B8CC-C7FF95573E4A}">
  <sheetPr>
    <tabColor rgb="FF2E8B8B"/>
  </sheetPr>
  <dimension ref="A1:C18"/>
  <sheetViews>
    <sheetView workbookViewId="0">
      <pane ySplit="1" topLeftCell="A2" activePane="bottomLeft" state="frozen"/>
      <selection pane="bottomLeft" activeCell="B2" sqref="B2"/>
    </sheetView>
  </sheetViews>
  <sheetFormatPr defaultRowHeight="14.4" x14ac:dyDescent="0.3"/>
  <cols>
    <col min="1" max="1" width="25.5546875" bestFit="1" customWidth="1"/>
    <col min="2" max="2" width="8.5546875" bestFit="1" customWidth="1"/>
    <col min="3" max="3" width="8.33203125" bestFit="1" customWidth="1"/>
    <col min="4" max="5" width="20.33203125" customWidth="1"/>
  </cols>
  <sheetData>
    <row r="1" spans="1:3" ht="24" customHeight="1" thickBot="1" x14ac:dyDescent="0.35">
      <c r="A1" s="648" t="s">
        <v>81</v>
      </c>
      <c r="B1" s="648" t="s">
        <v>53</v>
      </c>
      <c r="C1" s="180" t="s">
        <v>132</v>
      </c>
    </row>
    <row r="2" spans="1:3" ht="15" thickBot="1" x14ac:dyDescent="0.35">
      <c r="A2" s="649" t="s">
        <v>82</v>
      </c>
      <c r="B2" s="650">
        <v>900</v>
      </c>
      <c r="C2" s="651">
        <f>B2*INDEX('21_Scenarios'!$B$9:$D$9,MATCH('01_Dashboard'!$B$29,'21_Scenarios'!$B$1:$D$1,0))</f>
        <v>900</v>
      </c>
    </row>
    <row r="3" spans="1:3" ht="15" thickBot="1" x14ac:dyDescent="0.35">
      <c r="A3" s="652" t="s">
        <v>83</v>
      </c>
      <c r="B3" s="412">
        <v>1.2E-2</v>
      </c>
      <c r="C3" s="414">
        <f>B3*INDEX('21_Scenarios'!$B$5:$D$5,MATCH('01_Dashboard'!$B$29,'21_Scenarios'!$B$1:$D$1,0))</f>
        <v>1.2E-2</v>
      </c>
    </row>
    <row r="4" spans="1:3" ht="15" thickBot="1" x14ac:dyDescent="0.35">
      <c r="A4" s="652" t="s">
        <v>84</v>
      </c>
      <c r="B4" s="412">
        <v>3.5000000000000001E-3</v>
      </c>
      <c r="C4" s="416"/>
    </row>
    <row r="5" spans="1:3" ht="15" thickBot="1" x14ac:dyDescent="0.35">
      <c r="A5" s="653" t="s">
        <v>85</v>
      </c>
      <c r="B5" s="417">
        <v>1.5E-3</v>
      </c>
      <c r="C5" s="415">
        <f>B5*INDEX('21_Scenarios'!$B$10:$D$10,MATCH('01_Dashboard'!$B$29,'21_Scenarios'!$B$1:$D$1,0))</f>
        <v>1.5E-3</v>
      </c>
    </row>
    <row r="6" spans="1:3" ht="15" thickBot="1" x14ac:dyDescent="0.35">
      <c r="A6" s="654" t="s">
        <v>86</v>
      </c>
      <c r="B6" s="655"/>
      <c r="C6" s="554"/>
    </row>
    <row r="7" spans="1:3" x14ac:dyDescent="0.3">
      <c r="A7" s="656" t="s">
        <v>87</v>
      </c>
      <c r="B7" s="657">
        <v>8</v>
      </c>
      <c r="C7" s="658"/>
    </row>
    <row r="8" spans="1:3" x14ac:dyDescent="0.3">
      <c r="A8" s="652" t="s">
        <v>88</v>
      </c>
      <c r="B8" s="413">
        <v>0.18</v>
      </c>
      <c r="C8" s="659"/>
    </row>
    <row r="9" spans="1:3" ht="15" thickBot="1" x14ac:dyDescent="0.35">
      <c r="A9" s="660" t="s">
        <v>89</v>
      </c>
      <c r="B9" s="661">
        <v>25</v>
      </c>
      <c r="C9" s="662"/>
    </row>
    <row r="10" spans="1:3" ht="15" thickBot="1" x14ac:dyDescent="0.35">
      <c r="A10" s="654" t="s">
        <v>90</v>
      </c>
      <c r="B10" s="655"/>
      <c r="C10" s="554"/>
    </row>
    <row r="11" spans="1:3" ht="15" thickBot="1" x14ac:dyDescent="0.35">
      <c r="A11" s="656" t="s">
        <v>91</v>
      </c>
      <c r="B11" s="419">
        <v>0.06</v>
      </c>
      <c r="C11" s="420">
        <f>B11*INDEX('21_Scenarios'!$B$11:$D$11,MATCH('01_Dashboard'!$B$29,'21_Scenarios'!$B$1:$D$1,0))</f>
        <v>0.06</v>
      </c>
    </row>
    <row r="12" spans="1:3" x14ac:dyDescent="0.3">
      <c r="A12" s="652" t="s">
        <v>92</v>
      </c>
      <c r="B12" s="663">
        <v>1800</v>
      </c>
      <c r="C12" s="658"/>
    </row>
    <row r="13" spans="1:3" ht="15" thickBot="1" x14ac:dyDescent="0.35">
      <c r="A13" s="652" t="s">
        <v>93</v>
      </c>
      <c r="B13" s="413">
        <v>0.03</v>
      </c>
      <c r="C13" s="662"/>
    </row>
    <row r="14" spans="1:3" ht="15" thickBot="1" x14ac:dyDescent="0.35">
      <c r="A14" s="652" t="s">
        <v>94</v>
      </c>
      <c r="B14" s="412">
        <v>1.0999999999999999E-2</v>
      </c>
      <c r="C14" s="415">
        <f>B14*INDEX('21_Scenarios'!$B$12:$D$12,MATCH('01_Dashboard'!$B$29,'21_Scenarios'!$B$1:$D$1,0))</f>
        <v>1.0999999999999999E-2</v>
      </c>
    </row>
    <row r="15" spans="1:3" ht="15" thickBot="1" x14ac:dyDescent="0.35">
      <c r="A15" s="652" t="s">
        <v>147</v>
      </c>
      <c r="B15" s="664">
        <v>9</v>
      </c>
      <c r="C15" s="166">
        <f>B15</f>
        <v>9</v>
      </c>
    </row>
    <row r="16" spans="1:3" ht="15" thickBot="1" x14ac:dyDescent="0.35">
      <c r="A16" s="660" t="s">
        <v>166</v>
      </c>
      <c r="B16" s="418">
        <f>1/12</f>
        <v>8.3333333333333329E-2</v>
      </c>
      <c r="C16" s="665"/>
    </row>
    <row r="17" spans="1:3" ht="15" thickBot="1" x14ac:dyDescent="0.35">
      <c r="A17" s="666" t="s">
        <v>159</v>
      </c>
      <c r="B17" s="655"/>
      <c r="C17" s="554"/>
    </row>
    <row r="18" spans="1:3" ht="28.2" thickBot="1" x14ac:dyDescent="0.35">
      <c r="A18" s="667" t="s">
        <v>160</v>
      </c>
      <c r="B18" s="668">
        <v>1.2</v>
      </c>
      <c r="C18" s="658"/>
    </row>
  </sheetData>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3C06B7-AB87-47EE-8787-6542CF529E7B}">
  <sheetPr>
    <tabColor rgb="FF2E8B8B"/>
  </sheetPr>
  <dimension ref="A1:C17"/>
  <sheetViews>
    <sheetView workbookViewId="0">
      <selection activeCell="E22" sqref="E22"/>
    </sheetView>
  </sheetViews>
  <sheetFormatPr defaultRowHeight="14.4" x14ac:dyDescent="0.3"/>
  <cols>
    <col min="1" max="1" width="21.33203125" bestFit="1" customWidth="1"/>
    <col min="2" max="3" width="12" bestFit="1" customWidth="1"/>
    <col min="4" max="4" width="18.5546875" customWidth="1"/>
    <col min="5" max="6" width="20.33203125" customWidth="1"/>
  </cols>
  <sheetData>
    <row r="1" spans="1:3" ht="24" customHeight="1" thickBot="1" x14ac:dyDescent="0.35">
      <c r="A1" s="669" t="s">
        <v>75</v>
      </c>
      <c r="B1" s="670" t="s">
        <v>53</v>
      </c>
      <c r="C1" s="240" t="s">
        <v>132</v>
      </c>
    </row>
    <row r="2" spans="1:3" ht="15" thickBot="1" x14ac:dyDescent="0.35">
      <c r="A2" s="649" t="s">
        <v>76</v>
      </c>
      <c r="B2" s="312">
        <v>0</v>
      </c>
      <c r="C2" s="671"/>
    </row>
    <row r="3" spans="1:3" ht="15" thickBot="1" x14ac:dyDescent="0.35">
      <c r="A3" s="654" t="s">
        <v>80</v>
      </c>
      <c r="B3" s="672" t="s">
        <v>53</v>
      </c>
      <c r="C3" s="654" t="s">
        <v>132</v>
      </c>
    </row>
    <row r="4" spans="1:3" x14ac:dyDescent="0.3">
      <c r="A4" s="656" t="s">
        <v>77</v>
      </c>
      <c r="B4" s="241">
        <v>3.5000000000000003E-2</v>
      </c>
      <c r="C4" s="242">
        <f>B4*INDEX('21_Scenarios'!$B$3:$D$3,MATCH('01_Dashboard'!$B$29,'21_Scenarios'!$B$1:$D$1,0))</f>
        <v>3.5000000000000003E-2</v>
      </c>
    </row>
    <row r="5" spans="1:3" ht="15" thickBot="1" x14ac:dyDescent="0.35">
      <c r="A5" s="652" t="s">
        <v>208</v>
      </c>
      <c r="B5" s="313">
        <f>1-((1-B4)^12)</f>
        <v>0.34787963925176613</v>
      </c>
      <c r="C5" s="314">
        <f>1-((1-C4)^12)</f>
        <v>0.34787963925176613</v>
      </c>
    </row>
    <row r="6" spans="1:3" x14ac:dyDescent="0.3">
      <c r="A6" s="652" t="s">
        <v>78</v>
      </c>
      <c r="B6" s="313">
        <v>3.0000000000000001E-3</v>
      </c>
      <c r="C6" s="673"/>
    </row>
    <row r="7" spans="1:3" ht="15" thickBot="1" x14ac:dyDescent="0.35">
      <c r="A7" s="660" t="s">
        <v>79</v>
      </c>
      <c r="B7" s="315">
        <v>0.85</v>
      </c>
      <c r="C7" s="674"/>
    </row>
    <row r="8" spans="1:3" ht="15" thickBot="1" x14ac:dyDescent="0.35">
      <c r="A8" s="205" t="s">
        <v>95</v>
      </c>
      <c r="B8" s="672"/>
      <c r="C8" s="654" t="s">
        <v>132</v>
      </c>
    </row>
    <row r="9" spans="1:3" ht="15" thickBot="1" x14ac:dyDescent="0.35">
      <c r="A9" s="675" t="s">
        <v>96</v>
      </c>
      <c r="B9" s="676">
        <v>110</v>
      </c>
      <c r="C9" s="677">
        <f>B9*INDEX('21_Scenarios'!$B$4:$D$4,MATCH('01_Dashboard'!$B$29,'21_Scenarios'!$B$1:$D$1,0))</f>
        <v>110</v>
      </c>
    </row>
    <row r="10" spans="1:3" x14ac:dyDescent="0.3">
      <c r="A10" s="506" t="s">
        <v>97</v>
      </c>
      <c r="B10" s="243">
        <v>-5.0000000000000001E-3</v>
      </c>
      <c r="C10" s="673"/>
    </row>
    <row r="11" spans="1:3" x14ac:dyDescent="0.3">
      <c r="A11" s="506" t="s">
        <v>98</v>
      </c>
      <c r="B11" s="678">
        <v>80</v>
      </c>
      <c r="C11" s="679"/>
    </row>
    <row r="12" spans="1:3" ht="15" thickBot="1" x14ac:dyDescent="0.35">
      <c r="A12" s="680" t="s">
        <v>99</v>
      </c>
      <c r="B12" s="681">
        <v>120000</v>
      </c>
      <c r="C12" s="674"/>
    </row>
    <row r="13" spans="1:3" ht="15" thickBot="1" x14ac:dyDescent="0.35">
      <c r="A13" s="666" t="s">
        <v>271</v>
      </c>
      <c r="B13" s="654"/>
      <c r="C13" s="654" t="s">
        <v>132</v>
      </c>
    </row>
    <row r="14" spans="1:3" x14ac:dyDescent="0.3">
      <c r="A14" s="682" t="s">
        <v>272</v>
      </c>
      <c r="B14" s="683">
        <v>250000</v>
      </c>
      <c r="C14" s="684">
        <f>B14*INDEX('21_Scenarios'!$B$2:$D$2,MATCH('01_Dashboard'!$B$29,'21_Scenarios'!$B$1:$D$1,0))</f>
        <v>250000</v>
      </c>
    </row>
    <row r="15" spans="1:3" x14ac:dyDescent="0.3">
      <c r="A15" s="685" t="s">
        <v>273</v>
      </c>
      <c r="B15" s="683">
        <v>700000</v>
      </c>
      <c r="C15" s="683">
        <f>B15*INDEX('21_Scenarios'!$B$2:$D$2,MATCH('01_Dashboard'!$B$29,'21_Scenarios'!$B$1:$D$1,0))</f>
        <v>700000</v>
      </c>
    </row>
    <row r="16" spans="1:3" ht="15" thickBot="1" x14ac:dyDescent="0.35">
      <c r="A16" s="685" t="s">
        <v>274</v>
      </c>
      <c r="B16" s="683">
        <v>1500000</v>
      </c>
      <c r="C16" s="686">
        <f>B16*INDEX('21_Scenarios'!$B$2:$D$2,MATCH('01_Dashboard'!$B$29,'21_Scenarios'!$B$1:$D$1,0))</f>
        <v>1500000</v>
      </c>
    </row>
    <row r="17" spans="1:3" ht="15" thickBot="1" x14ac:dyDescent="0.35">
      <c r="A17" s="687" t="s">
        <v>275</v>
      </c>
      <c r="B17" s="316">
        <v>0.02</v>
      </c>
      <c r="C17" s="673"/>
    </row>
  </sheetData>
  <pageMargins left="0.7" right="0.7" top="0.75" bottom="0.75" header="0.3" footer="0.3"/>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C2857C-57D9-41B2-A156-EFD2AA6FE09E}">
  <sheetPr>
    <tabColor rgb="FF2E8B8B"/>
  </sheetPr>
  <dimension ref="A1:AN100"/>
  <sheetViews>
    <sheetView workbookViewId="0">
      <pane ySplit="2" topLeftCell="A3" activePane="bottomLeft" state="frozen"/>
      <selection pane="bottomLeft" activeCell="K8" sqref="K8"/>
    </sheetView>
  </sheetViews>
  <sheetFormatPr defaultRowHeight="14.4" x14ac:dyDescent="0.3"/>
  <cols>
    <col min="1" max="1" width="24.77734375" customWidth="1"/>
    <col min="2" max="2" width="10" bestFit="1" customWidth="1"/>
    <col min="3" max="3" width="10.44140625" bestFit="1" customWidth="1"/>
    <col min="4" max="4" width="7.5546875" bestFit="1" customWidth="1"/>
    <col min="5" max="5" width="8.6640625" bestFit="1" customWidth="1"/>
    <col min="6" max="6" width="7.44140625" bestFit="1" customWidth="1"/>
    <col min="7" max="7" width="11.33203125" bestFit="1" customWidth="1"/>
    <col min="8" max="20" width="7.44140625" bestFit="1" customWidth="1"/>
    <col min="21" max="37" width="8.88671875" bestFit="1" customWidth="1"/>
  </cols>
  <sheetData>
    <row r="1" spans="1:37" ht="24" customHeight="1" x14ac:dyDescent="0.3">
      <c r="A1" s="230" t="s">
        <v>107</v>
      </c>
      <c r="B1" s="244"/>
      <c r="C1" s="244"/>
      <c r="D1" s="240"/>
      <c r="E1" s="126"/>
      <c r="F1" s="126"/>
      <c r="G1" s="126"/>
      <c r="H1" s="126"/>
      <c r="I1" s="126"/>
      <c r="J1" s="126"/>
      <c r="K1" s="126"/>
      <c r="L1" s="126"/>
      <c r="M1" s="126"/>
      <c r="N1" s="126"/>
      <c r="O1" s="126"/>
      <c r="P1" s="126"/>
      <c r="Q1" s="126"/>
      <c r="R1" s="126"/>
      <c r="S1" s="126"/>
      <c r="T1" s="126"/>
      <c r="U1" s="126"/>
      <c r="V1" s="126"/>
      <c r="W1" s="126"/>
      <c r="X1" s="126"/>
      <c r="Y1" s="126"/>
      <c r="Z1" s="126"/>
      <c r="AA1" s="126"/>
      <c r="AB1" s="126"/>
      <c r="AC1" s="126"/>
      <c r="AD1" s="126"/>
      <c r="AE1" s="126"/>
      <c r="AF1" s="126"/>
      <c r="AG1" s="126"/>
      <c r="AH1" s="126"/>
      <c r="AI1" s="126"/>
      <c r="AJ1" s="126"/>
      <c r="AK1" s="126"/>
    </row>
    <row r="2" spans="1:37" ht="27.6" x14ac:dyDescent="0.3">
      <c r="A2" s="245"/>
      <c r="B2" s="246" t="s">
        <v>100</v>
      </c>
      <c r="C2" s="246" t="s">
        <v>101</v>
      </c>
      <c r="D2" s="246" t="s">
        <v>108</v>
      </c>
      <c r="E2" s="246" t="s">
        <v>157</v>
      </c>
      <c r="F2" s="184"/>
      <c r="G2" s="184"/>
      <c r="H2" s="184"/>
      <c r="I2" s="184"/>
      <c r="J2" s="184"/>
      <c r="K2" s="184"/>
      <c r="L2" s="184"/>
      <c r="M2" s="184"/>
      <c r="N2" s="184"/>
      <c r="O2" s="184"/>
      <c r="P2" s="184"/>
      <c r="Q2" s="184"/>
      <c r="R2" s="184"/>
      <c r="S2" s="184"/>
      <c r="T2" s="184"/>
      <c r="U2" s="184"/>
      <c r="V2" s="184"/>
      <c r="W2" s="184"/>
      <c r="X2" s="184"/>
      <c r="Y2" s="184"/>
      <c r="Z2" s="184"/>
      <c r="AA2" s="184"/>
      <c r="AB2" s="184"/>
      <c r="AC2" s="184"/>
      <c r="AD2" s="184"/>
      <c r="AE2" s="184"/>
      <c r="AF2" s="184"/>
      <c r="AG2" s="184"/>
      <c r="AH2" s="184"/>
      <c r="AI2" s="184"/>
      <c r="AJ2" s="184"/>
      <c r="AK2" s="184"/>
    </row>
    <row r="3" spans="1:37" x14ac:dyDescent="0.3">
      <c r="A3" s="245"/>
      <c r="B3" s="247" t="s">
        <v>102</v>
      </c>
      <c r="C3" s="247">
        <v>12</v>
      </c>
      <c r="D3" s="248">
        <v>26000</v>
      </c>
      <c r="E3" s="249">
        <f>D3*C3</f>
        <v>312000</v>
      </c>
      <c r="F3" s="184"/>
      <c r="G3" s="184"/>
      <c r="H3" s="184"/>
      <c r="I3" s="184"/>
      <c r="J3" s="184"/>
      <c r="K3" s="184"/>
      <c r="L3" s="184"/>
      <c r="M3" s="184"/>
      <c r="N3" s="184"/>
      <c r="O3" s="184"/>
      <c r="P3" s="184"/>
      <c r="Q3" s="184"/>
      <c r="R3" s="184"/>
      <c r="S3" s="184"/>
      <c r="T3" s="184"/>
      <c r="U3" s="184"/>
      <c r="V3" s="184"/>
      <c r="W3" s="184"/>
      <c r="X3" s="184"/>
      <c r="Y3" s="184"/>
      <c r="Z3" s="184"/>
      <c r="AA3" s="184"/>
      <c r="AB3" s="184"/>
      <c r="AC3" s="184"/>
      <c r="AD3" s="184"/>
      <c r="AE3" s="184"/>
      <c r="AF3" s="184"/>
      <c r="AG3" s="184"/>
      <c r="AH3" s="184"/>
      <c r="AI3" s="184"/>
      <c r="AJ3" s="184"/>
      <c r="AK3" s="184"/>
    </row>
    <row r="4" spans="1:37" x14ac:dyDescent="0.3">
      <c r="A4" s="245"/>
      <c r="B4" s="247" t="s">
        <v>103</v>
      </c>
      <c r="C4" s="247">
        <v>3</v>
      </c>
      <c r="D4" s="248">
        <v>22000</v>
      </c>
      <c r="E4" s="249">
        <f>D4*C4</f>
        <v>66000</v>
      </c>
      <c r="F4" s="184"/>
      <c r="G4" s="184"/>
      <c r="H4" s="184"/>
      <c r="I4" s="184"/>
      <c r="J4" s="184"/>
      <c r="K4" s="184"/>
      <c r="L4" s="184"/>
      <c r="M4" s="184"/>
      <c r="N4" s="184"/>
      <c r="O4" s="184"/>
      <c r="P4" s="184"/>
      <c r="Q4" s="184"/>
      <c r="R4" s="184"/>
      <c r="S4" s="184"/>
      <c r="T4" s="184"/>
      <c r="U4" s="184"/>
      <c r="V4" s="184"/>
      <c r="W4" s="184"/>
      <c r="X4" s="184"/>
      <c r="Y4" s="184"/>
      <c r="Z4" s="184"/>
      <c r="AA4" s="184"/>
      <c r="AB4" s="184"/>
      <c r="AC4" s="184"/>
      <c r="AD4" s="184"/>
      <c r="AE4" s="184"/>
      <c r="AF4" s="184"/>
      <c r="AG4" s="184"/>
      <c r="AH4" s="184"/>
      <c r="AI4" s="184"/>
      <c r="AJ4" s="184"/>
      <c r="AK4" s="184"/>
    </row>
    <row r="5" spans="1:37" x14ac:dyDescent="0.3">
      <c r="A5" s="245"/>
      <c r="B5" s="247" t="s">
        <v>104</v>
      </c>
      <c r="C5" s="247">
        <v>5</v>
      </c>
      <c r="D5" s="248">
        <v>18000</v>
      </c>
      <c r="E5" s="249">
        <f>D5*C5</f>
        <v>90000</v>
      </c>
      <c r="F5" s="184"/>
      <c r="G5" s="184"/>
      <c r="H5" s="184"/>
      <c r="I5" s="184"/>
      <c r="J5" s="184"/>
      <c r="K5" s="184"/>
      <c r="L5" s="184"/>
      <c r="M5" s="184"/>
      <c r="N5" s="184"/>
      <c r="O5" s="184"/>
      <c r="P5" s="184"/>
      <c r="Q5" s="184"/>
      <c r="R5" s="184"/>
      <c r="S5" s="184"/>
      <c r="T5" s="184"/>
      <c r="U5" s="184"/>
      <c r="V5" s="184"/>
      <c r="W5" s="184"/>
      <c r="X5" s="184"/>
      <c r="Y5" s="184"/>
      <c r="Z5" s="184"/>
      <c r="AA5" s="184"/>
      <c r="AB5" s="184"/>
      <c r="AC5" s="184"/>
      <c r="AD5" s="184"/>
      <c r="AE5" s="184"/>
      <c r="AF5" s="184"/>
      <c r="AG5" s="184"/>
      <c r="AH5" s="184"/>
      <c r="AI5" s="184"/>
      <c r="AJ5" s="184"/>
      <c r="AK5" s="184"/>
    </row>
    <row r="6" spans="1:37" x14ac:dyDescent="0.3">
      <c r="A6" s="245"/>
      <c r="B6" s="247" t="s">
        <v>105</v>
      </c>
      <c r="C6" s="247">
        <v>4</v>
      </c>
      <c r="D6" s="248">
        <v>12000</v>
      </c>
      <c r="E6" s="249">
        <f>D6*C6</f>
        <v>48000</v>
      </c>
      <c r="F6" s="184"/>
      <c r="G6" s="184"/>
      <c r="H6" s="184"/>
      <c r="I6" s="184"/>
      <c r="J6" s="184"/>
      <c r="K6" s="184"/>
      <c r="L6" s="184"/>
      <c r="M6" s="184"/>
      <c r="N6" s="184"/>
      <c r="O6" s="184"/>
      <c r="P6" s="184"/>
      <c r="Q6" s="184"/>
      <c r="R6" s="184"/>
      <c r="S6" s="184"/>
      <c r="T6" s="184"/>
      <c r="U6" s="184"/>
      <c r="V6" s="184"/>
      <c r="W6" s="184"/>
      <c r="X6" s="184"/>
      <c r="Y6" s="184"/>
      <c r="Z6" s="184"/>
      <c r="AA6" s="184"/>
      <c r="AB6" s="184"/>
      <c r="AC6" s="184"/>
      <c r="AD6" s="184"/>
      <c r="AE6" s="184"/>
      <c r="AF6" s="184"/>
      <c r="AG6" s="184"/>
      <c r="AH6" s="184"/>
      <c r="AI6" s="184"/>
      <c r="AJ6" s="184"/>
      <c r="AK6" s="184"/>
    </row>
    <row r="7" spans="1:37" x14ac:dyDescent="0.3">
      <c r="A7" s="250"/>
      <c r="B7" s="247" t="s">
        <v>106</v>
      </c>
      <c r="C7" s="251">
        <v>4</v>
      </c>
      <c r="D7" s="252">
        <v>20000</v>
      </c>
      <c r="E7" s="249">
        <f>D7*C7</f>
        <v>80000</v>
      </c>
      <c r="F7" s="184"/>
      <c r="G7" s="249" t="s">
        <v>109</v>
      </c>
      <c r="H7" s="184"/>
      <c r="I7" s="77"/>
      <c r="J7" s="184"/>
      <c r="K7" s="184"/>
      <c r="L7" s="184"/>
      <c r="M7" s="184"/>
      <c r="N7" s="184"/>
      <c r="O7" s="184"/>
      <c r="P7" s="184"/>
      <c r="Q7" s="184"/>
      <c r="R7" s="184"/>
      <c r="S7" s="184"/>
      <c r="T7" s="184"/>
      <c r="U7" s="184"/>
      <c r="V7" s="184"/>
      <c r="W7" s="184"/>
      <c r="X7" s="184"/>
      <c r="Y7" s="184"/>
      <c r="Z7" s="184"/>
      <c r="AA7" s="184"/>
      <c r="AB7" s="184"/>
      <c r="AC7" s="184"/>
      <c r="AD7" s="184"/>
      <c r="AE7" s="184"/>
      <c r="AF7" s="184"/>
      <c r="AG7" s="184"/>
      <c r="AH7" s="184"/>
      <c r="AI7" s="184"/>
      <c r="AJ7" s="184"/>
      <c r="AK7" s="184"/>
    </row>
    <row r="8" spans="1:37" x14ac:dyDescent="0.3">
      <c r="A8" s="46"/>
      <c r="B8" s="184"/>
      <c r="C8" s="249">
        <f>SUM(C3:C7)</f>
        <v>28</v>
      </c>
      <c r="D8" s="253">
        <f>E8/C8</f>
        <v>21285.714285714286</v>
      </c>
      <c r="E8" s="249">
        <f>SUM(E3:E7)</f>
        <v>596000</v>
      </c>
      <c r="F8" s="184"/>
      <c r="G8" s="254">
        <v>0.15</v>
      </c>
      <c r="H8" s="184"/>
      <c r="I8" s="77"/>
      <c r="J8" s="184"/>
      <c r="K8" s="184"/>
      <c r="L8" s="184"/>
      <c r="M8" s="184"/>
      <c r="N8" s="184"/>
      <c r="O8" s="184"/>
      <c r="P8" s="184"/>
      <c r="Q8" s="184"/>
      <c r="R8" s="184"/>
      <c r="S8" s="184"/>
      <c r="T8" s="184"/>
      <c r="U8" s="184"/>
      <c r="V8" s="184"/>
      <c r="W8" s="184"/>
      <c r="X8" s="184"/>
      <c r="Y8" s="184"/>
      <c r="Z8" s="184"/>
      <c r="AA8" s="184"/>
      <c r="AB8" s="184"/>
      <c r="AC8" s="184"/>
      <c r="AD8" s="184"/>
      <c r="AE8" s="184"/>
      <c r="AF8" s="184"/>
      <c r="AG8" s="184"/>
      <c r="AH8" s="184"/>
      <c r="AI8" s="184"/>
      <c r="AJ8" s="184"/>
      <c r="AK8" s="184"/>
    </row>
    <row r="9" spans="1:37" x14ac:dyDescent="0.3">
      <c r="A9" s="46"/>
      <c r="B9" s="184"/>
      <c r="C9" s="184"/>
      <c r="D9" s="77"/>
      <c r="E9" s="184"/>
      <c r="F9" s="184"/>
      <c r="G9" s="184"/>
      <c r="H9" s="184"/>
      <c r="I9" s="184"/>
      <c r="J9" s="184"/>
      <c r="K9" s="184"/>
      <c r="L9" s="184"/>
      <c r="M9" s="184"/>
      <c r="N9" s="184"/>
      <c r="O9" s="184"/>
      <c r="P9" s="184"/>
      <c r="Q9" s="184"/>
      <c r="R9" s="184"/>
      <c r="S9" s="184"/>
      <c r="T9" s="184"/>
      <c r="U9" s="184"/>
      <c r="V9" s="184"/>
      <c r="W9" s="184"/>
      <c r="X9" s="184"/>
      <c r="Y9" s="184"/>
      <c r="Z9" s="184"/>
      <c r="AA9" s="184"/>
      <c r="AB9" s="184"/>
      <c r="AC9" s="184"/>
      <c r="AD9" s="184"/>
      <c r="AE9" s="184"/>
      <c r="AF9" s="184"/>
      <c r="AG9" s="184"/>
      <c r="AH9" s="184"/>
      <c r="AI9" s="184"/>
      <c r="AJ9" s="184"/>
      <c r="AK9" s="184"/>
    </row>
    <row r="10" spans="1:37" x14ac:dyDescent="0.3">
      <c r="A10" s="46"/>
      <c r="B10" s="184"/>
      <c r="C10" s="184"/>
      <c r="D10" s="184"/>
      <c r="E10" s="184"/>
      <c r="F10" s="184"/>
      <c r="G10" s="184"/>
      <c r="H10" s="184"/>
      <c r="I10" s="184"/>
      <c r="J10" s="184"/>
      <c r="K10" s="184"/>
      <c r="L10" s="184"/>
      <c r="M10" s="184"/>
      <c r="N10" s="184"/>
      <c r="O10" s="184"/>
      <c r="P10" s="184"/>
      <c r="Q10" s="184"/>
      <c r="R10" s="184"/>
      <c r="S10" s="184"/>
      <c r="T10" s="184"/>
      <c r="U10" s="184"/>
      <c r="V10" s="184"/>
      <c r="W10" s="184"/>
      <c r="X10" s="184"/>
      <c r="Y10" s="184"/>
      <c r="Z10" s="184"/>
      <c r="AA10" s="184"/>
      <c r="AB10" s="184"/>
      <c r="AC10" s="184"/>
      <c r="AD10" s="184"/>
      <c r="AE10" s="184"/>
      <c r="AF10" s="184"/>
      <c r="AG10" s="184"/>
      <c r="AH10" s="184"/>
      <c r="AI10" s="184"/>
      <c r="AJ10" s="184"/>
      <c r="AK10" s="184"/>
    </row>
    <row r="11" spans="1:37" x14ac:dyDescent="0.3">
      <c r="A11" s="46"/>
      <c r="B11" s="184"/>
      <c r="C11" s="184"/>
      <c r="D11" s="184"/>
      <c r="E11" s="184"/>
      <c r="F11" s="184"/>
      <c r="G11" s="184"/>
      <c r="H11" s="184"/>
      <c r="I11" s="184"/>
      <c r="J11" s="184"/>
      <c r="K11" s="184"/>
      <c r="L11" s="184"/>
      <c r="M11" s="184"/>
      <c r="N11" s="184"/>
      <c r="O11" s="184"/>
      <c r="P11" s="184"/>
      <c r="Q11" s="184"/>
      <c r="R11" s="184"/>
      <c r="S11" s="184"/>
      <c r="T11" s="184"/>
      <c r="U11" s="184"/>
      <c r="V11" s="184"/>
      <c r="W11" s="184"/>
      <c r="X11" s="184"/>
      <c r="Y11" s="184"/>
      <c r="Z11" s="184"/>
      <c r="AA11" s="184"/>
      <c r="AB11" s="184"/>
      <c r="AC11" s="184"/>
      <c r="AD11" s="184"/>
      <c r="AE11" s="184"/>
      <c r="AF11" s="184"/>
      <c r="AG11" s="184"/>
      <c r="AH11" s="184"/>
      <c r="AI11" s="184"/>
      <c r="AJ11" s="184"/>
      <c r="AK11" s="184"/>
    </row>
    <row r="12" spans="1:37" ht="15" thickBot="1" x14ac:dyDescent="0.35">
      <c r="A12" s="10" t="s">
        <v>277</v>
      </c>
      <c r="B12" s="11"/>
      <c r="C12" s="11"/>
      <c r="D12" s="11"/>
      <c r="E12" s="11"/>
      <c r="F12" s="11"/>
      <c r="G12" s="11"/>
      <c r="H12" s="11"/>
      <c r="I12" s="11"/>
      <c r="J12" s="11"/>
      <c r="K12" s="11"/>
      <c r="L12" s="1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row>
    <row r="13" spans="1:37" ht="15" thickBot="1" x14ac:dyDescent="0.35">
      <c r="A13" s="67" t="str">
        <f>'23_Time'!A2</f>
        <v>Month Label</v>
      </c>
      <c r="B13" s="68" t="str">
        <f>'23_Time'!B2</f>
        <v>M1</v>
      </c>
      <c r="C13" s="68" t="str">
        <f>'23_Time'!C2</f>
        <v>M2</v>
      </c>
      <c r="D13" s="68" t="str">
        <f>'23_Time'!D2</f>
        <v>M3</v>
      </c>
      <c r="E13" s="68" t="str">
        <f>'23_Time'!E2</f>
        <v>M4</v>
      </c>
      <c r="F13" s="68" t="str">
        <f>'23_Time'!F2</f>
        <v>M5</v>
      </c>
      <c r="G13" s="68" t="str">
        <f>'23_Time'!G2</f>
        <v>M6</v>
      </c>
      <c r="H13" s="68" t="str">
        <f>'23_Time'!H2</f>
        <v>M7</v>
      </c>
      <c r="I13" s="68" t="str">
        <f>'23_Time'!I2</f>
        <v>M8</v>
      </c>
      <c r="J13" s="68" t="str">
        <f>'23_Time'!J2</f>
        <v>M9</v>
      </c>
      <c r="K13" s="68" t="str">
        <f>'23_Time'!K2</f>
        <v>M10</v>
      </c>
      <c r="L13" s="68" t="str">
        <f>'23_Time'!L2</f>
        <v>M11</v>
      </c>
      <c r="M13" s="68" t="str">
        <f>'23_Time'!M2</f>
        <v>M12</v>
      </c>
      <c r="N13" s="68" t="str">
        <f>'23_Time'!N2</f>
        <v>M13</v>
      </c>
      <c r="O13" s="68" t="str">
        <f>'23_Time'!O2</f>
        <v>M14</v>
      </c>
      <c r="P13" s="68" t="str">
        <f>'23_Time'!P2</f>
        <v>M15</v>
      </c>
      <c r="Q13" s="68" t="str">
        <f>'23_Time'!Q2</f>
        <v>M16</v>
      </c>
      <c r="R13" s="68" t="str">
        <f>'23_Time'!R2</f>
        <v>M17</v>
      </c>
      <c r="S13" s="68" t="str">
        <f>'23_Time'!S2</f>
        <v>M18</v>
      </c>
      <c r="T13" s="68" t="str">
        <f>'23_Time'!T2</f>
        <v>M19</v>
      </c>
      <c r="U13" s="68" t="str">
        <f>'23_Time'!U2</f>
        <v>M20</v>
      </c>
      <c r="V13" s="68" t="str">
        <f>'23_Time'!V2</f>
        <v>M21</v>
      </c>
      <c r="W13" s="68" t="str">
        <f>'23_Time'!W2</f>
        <v>M22</v>
      </c>
      <c r="X13" s="68" t="str">
        <f>'23_Time'!X2</f>
        <v>M23</v>
      </c>
      <c r="Y13" s="68" t="str">
        <f>'23_Time'!Y2</f>
        <v>M24</v>
      </c>
      <c r="Z13" s="68" t="str">
        <f>'23_Time'!Z2</f>
        <v>M25</v>
      </c>
      <c r="AA13" s="68" t="str">
        <f>'23_Time'!AA2</f>
        <v>M26</v>
      </c>
      <c r="AB13" s="68" t="str">
        <f>'23_Time'!AB2</f>
        <v>M27</v>
      </c>
      <c r="AC13" s="68" t="str">
        <f>'23_Time'!AC2</f>
        <v>M28</v>
      </c>
      <c r="AD13" s="68" t="str">
        <f>'23_Time'!AD2</f>
        <v>M29</v>
      </c>
      <c r="AE13" s="68" t="str">
        <f>'23_Time'!AE2</f>
        <v>M30</v>
      </c>
      <c r="AF13" s="68" t="str">
        <f>'23_Time'!AF2</f>
        <v>M31</v>
      </c>
      <c r="AG13" s="68" t="str">
        <f>'23_Time'!AG2</f>
        <v>M32</v>
      </c>
      <c r="AH13" s="68" t="str">
        <f>'23_Time'!AH2</f>
        <v>M33</v>
      </c>
      <c r="AI13" s="68" t="str">
        <f>'23_Time'!AI2</f>
        <v>M34</v>
      </c>
      <c r="AJ13" s="68" t="str">
        <f>'23_Time'!AJ2</f>
        <v>M35</v>
      </c>
      <c r="AK13" s="69" t="str">
        <f>'23_Time'!AK2</f>
        <v>M36</v>
      </c>
    </row>
    <row r="14" spans="1:37" x14ac:dyDescent="0.3">
      <c r="A14" s="73" t="s">
        <v>102</v>
      </c>
      <c r="B14" s="11">
        <v>0</v>
      </c>
      <c r="C14" s="11">
        <v>0</v>
      </c>
      <c r="D14" s="11">
        <v>0</v>
      </c>
      <c r="E14" s="11">
        <v>0</v>
      </c>
      <c r="F14" s="11">
        <v>0</v>
      </c>
      <c r="G14" s="11">
        <v>0</v>
      </c>
      <c r="H14" s="11">
        <v>1</v>
      </c>
      <c r="I14" s="11">
        <v>1</v>
      </c>
      <c r="J14" s="11">
        <v>1</v>
      </c>
      <c r="K14" s="11">
        <v>1</v>
      </c>
      <c r="L14" s="11">
        <v>1</v>
      </c>
      <c r="M14" s="11">
        <v>1</v>
      </c>
      <c r="N14" s="11">
        <v>0</v>
      </c>
      <c r="O14" s="11">
        <v>0</v>
      </c>
      <c r="P14" s="11">
        <v>0</v>
      </c>
      <c r="Q14" s="11">
        <v>0</v>
      </c>
      <c r="R14" s="11">
        <v>0</v>
      </c>
      <c r="S14" s="11">
        <v>0</v>
      </c>
      <c r="T14" s="11">
        <v>0</v>
      </c>
      <c r="U14" s="11">
        <v>1</v>
      </c>
      <c r="V14" s="11">
        <v>1</v>
      </c>
      <c r="W14" s="11">
        <v>1</v>
      </c>
      <c r="X14" s="11">
        <v>1</v>
      </c>
      <c r="Y14" s="11">
        <v>1</v>
      </c>
      <c r="Z14" s="11">
        <v>0</v>
      </c>
      <c r="AA14" s="11">
        <v>0</v>
      </c>
      <c r="AB14" s="11">
        <v>1</v>
      </c>
      <c r="AC14" s="11">
        <v>0</v>
      </c>
      <c r="AD14" s="11">
        <v>0</v>
      </c>
      <c r="AE14" s="11">
        <v>1</v>
      </c>
      <c r="AF14" s="11">
        <v>0</v>
      </c>
      <c r="AG14" s="11">
        <v>0</v>
      </c>
      <c r="AH14" s="11">
        <v>1</v>
      </c>
      <c r="AI14" s="11">
        <v>0</v>
      </c>
      <c r="AJ14" s="11">
        <v>0</v>
      </c>
      <c r="AK14" s="66">
        <v>0</v>
      </c>
    </row>
    <row r="15" spans="1:37" x14ac:dyDescent="0.3">
      <c r="A15" s="74" t="s">
        <v>103</v>
      </c>
      <c r="B15" s="11">
        <v>0</v>
      </c>
      <c r="C15" s="11">
        <v>0</v>
      </c>
      <c r="D15" s="11">
        <v>0</v>
      </c>
      <c r="E15" s="11">
        <v>0</v>
      </c>
      <c r="F15" s="11">
        <v>0</v>
      </c>
      <c r="G15" s="11">
        <v>0</v>
      </c>
      <c r="H15" s="11">
        <v>1</v>
      </c>
      <c r="I15" s="11">
        <v>0</v>
      </c>
      <c r="J15" s="11">
        <v>1</v>
      </c>
      <c r="K15" s="11">
        <v>0</v>
      </c>
      <c r="L15" s="11">
        <v>1</v>
      </c>
      <c r="M15" s="11">
        <v>0</v>
      </c>
      <c r="N15" s="11">
        <v>0</v>
      </c>
      <c r="O15" s="11">
        <v>0</v>
      </c>
      <c r="P15" s="11">
        <v>0</v>
      </c>
      <c r="Q15" s="11">
        <v>0</v>
      </c>
      <c r="R15" s="11">
        <v>0</v>
      </c>
      <c r="S15" s="11">
        <v>0</v>
      </c>
      <c r="T15" s="11">
        <v>0</v>
      </c>
      <c r="U15" s="11">
        <v>1</v>
      </c>
      <c r="V15" s="11">
        <v>0</v>
      </c>
      <c r="W15" s="11">
        <v>1</v>
      </c>
      <c r="X15" s="11">
        <v>0</v>
      </c>
      <c r="Y15" s="11">
        <v>0</v>
      </c>
      <c r="Z15" s="11">
        <v>0</v>
      </c>
      <c r="AA15" s="11">
        <v>0</v>
      </c>
      <c r="AB15" s="11">
        <v>0</v>
      </c>
      <c r="AC15" s="11">
        <v>1</v>
      </c>
      <c r="AD15" s="11">
        <v>0</v>
      </c>
      <c r="AE15" s="11">
        <v>0</v>
      </c>
      <c r="AF15" s="11">
        <v>0</v>
      </c>
      <c r="AG15" s="11">
        <v>1</v>
      </c>
      <c r="AH15" s="11">
        <v>0</v>
      </c>
      <c r="AI15" s="11">
        <v>0</v>
      </c>
      <c r="AJ15" s="11">
        <v>0</v>
      </c>
      <c r="AK15" s="66">
        <v>0</v>
      </c>
    </row>
    <row r="16" spans="1:37" x14ac:dyDescent="0.3">
      <c r="A16" s="74" t="s">
        <v>104</v>
      </c>
      <c r="B16" s="11">
        <v>0</v>
      </c>
      <c r="C16" s="11">
        <v>0</v>
      </c>
      <c r="D16" s="11">
        <v>0</v>
      </c>
      <c r="E16" s="11">
        <v>0</v>
      </c>
      <c r="F16" s="11">
        <v>0</v>
      </c>
      <c r="G16" s="11">
        <v>0</v>
      </c>
      <c r="H16" s="11">
        <v>0</v>
      </c>
      <c r="I16" s="11">
        <v>1</v>
      </c>
      <c r="J16" s="11">
        <v>0</v>
      </c>
      <c r="K16" s="11">
        <v>1</v>
      </c>
      <c r="L16" s="11">
        <v>0</v>
      </c>
      <c r="M16" s="11">
        <v>1</v>
      </c>
      <c r="N16" s="11">
        <v>0</v>
      </c>
      <c r="O16" s="11">
        <v>0</v>
      </c>
      <c r="P16" s="11">
        <v>0</v>
      </c>
      <c r="Q16" s="11">
        <v>0</v>
      </c>
      <c r="R16" s="11">
        <v>0</v>
      </c>
      <c r="S16" s="11">
        <v>0</v>
      </c>
      <c r="T16" s="11">
        <v>0</v>
      </c>
      <c r="U16" s="11">
        <v>1</v>
      </c>
      <c r="V16" s="11">
        <v>1</v>
      </c>
      <c r="W16" s="11">
        <v>1</v>
      </c>
      <c r="X16" s="11">
        <v>1</v>
      </c>
      <c r="Y16" s="11">
        <v>1</v>
      </c>
      <c r="Z16" s="11">
        <v>1</v>
      </c>
      <c r="AA16" s="11">
        <v>0</v>
      </c>
      <c r="AB16" s="11">
        <v>1</v>
      </c>
      <c r="AC16" s="11">
        <v>0</v>
      </c>
      <c r="AD16" s="11">
        <v>1</v>
      </c>
      <c r="AE16" s="11">
        <v>0</v>
      </c>
      <c r="AF16" s="11">
        <v>1</v>
      </c>
      <c r="AG16" s="11">
        <v>0</v>
      </c>
      <c r="AH16" s="11">
        <v>1</v>
      </c>
      <c r="AI16" s="11">
        <v>0</v>
      </c>
      <c r="AJ16" s="11">
        <v>1</v>
      </c>
      <c r="AK16" s="66">
        <v>0</v>
      </c>
    </row>
    <row r="17" spans="1:40" x14ac:dyDescent="0.3">
      <c r="A17" s="74" t="s">
        <v>105</v>
      </c>
      <c r="B17" s="11">
        <v>0</v>
      </c>
      <c r="C17" s="11">
        <v>0</v>
      </c>
      <c r="D17" s="11">
        <v>0</v>
      </c>
      <c r="E17" s="11">
        <v>0</v>
      </c>
      <c r="F17" s="11">
        <v>0</v>
      </c>
      <c r="G17" s="11">
        <v>0</v>
      </c>
      <c r="H17" s="11">
        <v>0</v>
      </c>
      <c r="I17" s="11">
        <v>1</v>
      </c>
      <c r="J17" s="11">
        <v>0</v>
      </c>
      <c r="K17" s="11">
        <v>1</v>
      </c>
      <c r="L17" s="11">
        <v>0</v>
      </c>
      <c r="M17" s="11">
        <v>1</v>
      </c>
      <c r="N17" s="11">
        <v>0</v>
      </c>
      <c r="O17" s="11">
        <v>1</v>
      </c>
      <c r="P17" s="11">
        <v>0</v>
      </c>
      <c r="Q17" s="11">
        <v>0</v>
      </c>
      <c r="R17" s="11">
        <v>1</v>
      </c>
      <c r="S17" s="11">
        <v>0</v>
      </c>
      <c r="T17" s="11">
        <v>0</v>
      </c>
      <c r="U17" s="11">
        <v>1</v>
      </c>
      <c r="V17" s="11">
        <v>0</v>
      </c>
      <c r="W17" s="11">
        <v>0</v>
      </c>
      <c r="X17" s="11">
        <v>1</v>
      </c>
      <c r="Y17" s="11">
        <v>0</v>
      </c>
      <c r="Z17" s="11">
        <v>0</v>
      </c>
      <c r="AA17" s="11">
        <v>1</v>
      </c>
      <c r="AB17" s="11">
        <v>0</v>
      </c>
      <c r="AC17" s="11">
        <v>0</v>
      </c>
      <c r="AD17" s="11">
        <v>1</v>
      </c>
      <c r="AE17" s="11">
        <v>0</v>
      </c>
      <c r="AF17" s="11">
        <v>0</v>
      </c>
      <c r="AG17" s="11">
        <v>1</v>
      </c>
      <c r="AH17" s="11">
        <v>0</v>
      </c>
      <c r="AI17" s="11">
        <v>0</v>
      </c>
      <c r="AJ17" s="11">
        <v>1</v>
      </c>
      <c r="AK17" s="66">
        <v>0</v>
      </c>
    </row>
    <row r="18" spans="1:40" ht="15" thickBot="1" x14ac:dyDescent="0.35">
      <c r="A18" s="75" t="s">
        <v>106</v>
      </c>
      <c r="B18" s="11">
        <v>0</v>
      </c>
      <c r="C18" s="11">
        <v>0</v>
      </c>
      <c r="D18" s="11">
        <v>0</v>
      </c>
      <c r="E18" s="11">
        <v>0</v>
      </c>
      <c r="F18" s="11">
        <v>0</v>
      </c>
      <c r="G18" s="11">
        <v>0</v>
      </c>
      <c r="H18" s="11">
        <v>0</v>
      </c>
      <c r="I18" s="11">
        <v>1</v>
      </c>
      <c r="J18" s="11">
        <v>0</v>
      </c>
      <c r="K18" s="11">
        <v>0</v>
      </c>
      <c r="L18" s="11">
        <v>1</v>
      </c>
      <c r="M18" s="11">
        <v>0</v>
      </c>
      <c r="N18" s="11">
        <v>0</v>
      </c>
      <c r="O18" s="11">
        <v>0</v>
      </c>
      <c r="P18" s="11">
        <v>0</v>
      </c>
      <c r="Q18" s="11">
        <v>0</v>
      </c>
      <c r="R18" s="11">
        <v>0</v>
      </c>
      <c r="S18" s="11">
        <v>0</v>
      </c>
      <c r="T18" s="11">
        <v>0</v>
      </c>
      <c r="U18" s="11">
        <v>1</v>
      </c>
      <c r="V18" s="11">
        <v>0</v>
      </c>
      <c r="W18" s="11">
        <v>1</v>
      </c>
      <c r="X18" s="11">
        <v>0</v>
      </c>
      <c r="Y18" s="11">
        <v>0</v>
      </c>
      <c r="Z18" s="11">
        <v>0</v>
      </c>
      <c r="AA18" s="11">
        <v>0</v>
      </c>
      <c r="AB18" s="11">
        <v>0</v>
      </c>
      <c r="AC18" s="11">
        <v>0</v>
      </c>
      <c r="AD18" s="11">
        <v>0</v>
      </c>
      <c r="AE18" s="11">
        <v>1</v>
      </c>
      <c r="AF18" s="11">
        <v>0</v>
      </c>
      <c r="AG18" s="11">
        <v>0</v>
      </c>
      <c r="AH18" s="11">
        <v>0</v>
      </c>
      <c r="AI18" s="11">
        <v>0</v>
      </c>
      <c r="AJ18" s="11">
        <v>0</v>
      </c>
      <c r="AK18" s="66">
        <v>0</v>
      </c>
    </row>
    <row r="19" spans="1:40" ht="15" thickBot="1" x14ac:dyDescent="0.35">
      <c r="A19" s="70" t="s">
        <v>278</v>
      </c>
      <c r="B19" s="71">
        <f>SUM(B14:B18)</f>
        <v>0</v>
      </c>
      <c r="C19" s="71">
        <f t="shared" ref="C19:AK19" si="0">SUM(C14:C18)</f>
        <v>0</v>
      </c>
      <c r="D19" s="71">
        <f t="shared" si="0"/>
        <v>0</v>
      </c>
      <c r="E19" s="71">
        <f t="shared" si="0"/>
        <v>0</v>
      </c>
      <c r="F19" s="71">
        <f t="shared" si="0"/>
        <v>0</v>
      </c>
      <c r="G19" s="71">
        <f t="shared" si="0"/>
        <v>0</v>
      </c>
      <c r="H19" s="71">
        <f t="shared" si="0"/>
        <v>2</v>
      </c>
      <c r="I19" s="71">
        <f t="shared" si="0"/>
        <v>4</v>
      </c>
      <c r="J19" s="71">
        <f t="shared" si="0"/>
        <v>2</v>
      </c>
      <c r="K19" s="71">
        <f t="shared" si="0"/>
        <v>3</v>
      </c>
      <c r="L19" s="71">
        <f t="shared" si="0"/>
        <v>3</v>
      </c>
      <c r="M19" s="71">
        <f t="shared" si="0"/>
        <v>3</v>
      </c>
      <c r="N19" s="71">
        <f t="shared" si="0"/>
        <v>0</v>
      </c>
      <c r="O19" s="71">
        <f t="shared" si="0"/>
        <v>1</v>
      </c>
      <c r="P19" s="71">
        <f t="shared" si="0"/>
        <v>0</v>
      </c>
      <c r="Q19" s="71">
        <f t="shared" si="0"/>
        <v>0</v>
      </c>
      <c r="R19" s="71">
        <f t="shared" si="0"/>
        <v>1</v>
      </c>
      <c r="S19" s="71">
        <f t="shared" si="0"/>
        <v>0</v>
      </c>
      <c r="T19" s="71">
        <f t="shared" si="0"/>
        <v>0</v>
      </c>
      <c r="U19" s="71">
        <f t="shared" si="0"/>
        <v>5</v>
      </c>
      <c r="V19" s="71">
        <f t="shared" si="0"/>
        <v>2</v>
      </c>
      <c r="W19" s="71">
        <f t="shared" si="0"/>
        <v>4</v>
      </c>
      <c r="X19" s="71">
        <f t="shared" si="0"/>
        <v>3</v>
      </c>
      <c r="Y19" s="71">
        <f t="shared" si="0"/>
        <v>2</v>
      </c>
      <c r="Z19" s="71">
        <f t="shared" si="0"/>
        <v>1</v>
      </c>
      <c r="AA19" s="71">
        <f t="shared" si="0"/>
        <v>1</v>
      </c>
      <c r="AB19" s="71">
        <f t="shared" si="0"/>
        <v>2</v>
      </c>
      <c r="AC19" s="71">
        <f t="shared" si="0"/>
        <v>1</v>
      </c>
      <c r="AD19" s="71">
        <f t="shared" si="0"/>
        <v>2</v>
      </c>
      <c r="AE19" s="71">
        <f t="shared" si="0"/>
        <v>2</v>
      </c>
      <c r="AF19" s="71">
        <f t="shared" si="0"/>
        <v>1</v>
      </c>
      <c r="AG19" s="71">
        <f t="shared" si="0"/>
        <v>2</v>
      </c>
      <c r="AH19" s="71">
        <f t="shared" si="0"/>
        <v>2</v>
      </c>
      <c r="AI19" s="71">
        <f t="shared" si="0"/>
        <v>0</v>
      </c>
      <c r="AJ19" s="71">
        <f t="shared" si="0"/>
        <v>2</v>
      </c>
      <c r="AK19" s="72">
        <f t="shared" si="0"/>
        <v>0</v>
      </c>
    </row>
    <row r="20" spans="1:40" x14ac:dyDescent="0.3">
      <c r="A20" s="46"/>
      <c r="B20" s="184"/>
      <c r="C20" s="184"/>
      <c r="D20" s="184"/>
      <c r="E20" s="184"/>
      <c r="F20" s="184"/>
      <c r="G20" s="184"/>
      <c r="H20" s="184"/>
      <c r="I20" s="184"/>
      <c r="J20" s="184"/>
      <c r="K20" s="184"/>
      <c r="L20" s="184"/>
      <c r="M20" s="184"/>
      <c r="N20" s="184"/>
      <c r="O20" s="184"/>
      <c r="P20" s="184"/>
      <c r="Q20" s="184"/>
      <c r="R20" s="184"/>
      <c r="S20" s="184"/>
      <c r="T20" s="184"/>
      <c r="U20" s="184"/>
      <c r="V20" s="184"/>
      <c r="W20" s="184"/>
      <c r="X20" s="184"/>
      <c r="Y20" s="184"/>
      <c r="Z20" s="184"/>
      <c r="AA20" s="184"/>
      <c r="AB20" s="184"/>
      <c r="AC20" s="184"/>
      <c r="AD20" s="184"/>
      <c r="AE20" s="184"/>
      <c r="AF20" s="184"/>
      <c r="AG20" s="184"/>
      <c r="AH20" s="184"/>
      <c r="AI20" s="184"/>
      <c r="AJ20" s="184"/>
      <c r="AK20" s="184"/>
    </row>
    <row r="21" spans="1:40" x14ac:dyDescent="0.3">
      <c r="A21" s="46"/>
      <c r="B21" s="184"/>
      <c r="C21" s="184"/>
      <c r="D21" s="184"/>
      <c r="E21" s="184"/>
      <c r="F21" s="184"/>
      <c r="G21" s="184"/>
      <c r="H21" s="184"/>
      <c r="I21" s="184"/>
      <c r="J21" s="184"/>
      <c r="K21" s="184"/>
      <c r="L21" s="184"/>
      <c r="M21" s="184"/>
      <c r="N21" s="184"/>
      <c r="O21" s="184"/>
      <c r="P21" s="184"/>
      <c r="Q21" s="184"/>
      <c r="R21" s="184"/>
      <c r="S21" s="184"/>
      <c r="T21" s="184"/>
      <c r="U21" s="184"/>
      <c r="V21" s="184"/>
      <c r="W21" s="184"/>
      <c r="X21" s="184"/>
      <c r="Y21" s="184"/>
      <c r="Z21" s="184"/>
      <c r="AA21" s="184"/>
      <c r="AB21" s="184"/>
      <c r="AC21" s="184"/>
      <c r="AD21" s="184"/>
      <c r="AE21" s="184"/>
      <c r="AF21" s="184"/>
      <c r="AG21" s="184"/>
      <c r="AH21" s="184"/>
      <c r="AI21" s="184"/>
      <c r="AJ21" s="184"/>
      <c r="AK21" s="184"/>
    </row>
    <row r="22" spans="1:40" ht="15" thickBot="1" x14ac:dyDescent="0.35">
      <c r="A22" s="231" t="s">
        <v>279</v>
      </c>
      <c r="B22" s="184"/>
      <c r="C22" s="184"/>
      <c r="D22" s="184"/>
      <c r="E22" s="184"/>
      <c r="F22" s="184"/>
      <c r="G22" s="184"/>
      <c r="H22" s="184"/>
      <c r="I22" s="184"/>
      <c r="J22" s="184"/>
      <c r="K22" s="184"/>
      <c r="L22" s="184"/>
      <c r="M22" s="184"/>
      <c r="N22" s="184"/>
      <c r="O22" s="184"/>
      <c r="P22" s="184"/>
      <c r="Q22" s="184"/>
      <c r="R22" s="184"/>
      <c r="S22" s="184"/>
      <c r="T22" s="184"/>
      <c r="U22" s="184"/>
      <c r="V22" s="184"/>
      <c r="W22" s="184"/>
      <c r="X22" s="184"/>
      <c r="Y22" s="184"/>
      <c r="Z22" s="184"/>
      <c r="AA22" s="184"/>
      <c r="AB22" s="184"/>
      <c r="AC22" s="184"/>
      <c r="AD22" s="184"/>
      <c r="AE22" s="184"/>
      <c r="AF22" s="184"/>
      <c r="AG22" s="184"/>
      <c r="AH22" s="184"/>
      <c r="AI22" s="184"/>
      <c r="AJ22" s="184"/>
      <c r="AK22" s="184"/>
    </row>
    <row r="23" spans="1:40" x14ac:dyDescent="0.3">
      <c r="A23" s="213" t="s">
        <v>102</v>
      </c>
      <c r="B23" s="255">
        <f>$C$3+SUM($B$14:B14)</f>
        <v>12</v>
      </c>
      <c r="C23" s="255">
        <f>$C$3+SUM($B$14:C14)</f>
        <v>12</v>
      </c>
      <c r="D23" s="255">
        <f>$C$3+SUM($B$14:D14)</f>
        <v>12</v>
      </c>
      <c r="E23" s="255">
        <f>$C$3+SUM($B$14:E14)</f>
        <v>12</v>
      </c>
      <c r="F23" s="255">
        <f>$C$3+SUM($B$14:F14)</f>
        <v>12</v>
      </c>
      <c r="G23" s="255">
        <f>$C$3+SUM($B$14:G14)</f>
        <v>12</v>
      </c>
      <c r="H23" s="255">
        <f>$C$3+SUM($B$14:H14)</f>
        <v>13</v>
      </c>
      <c r="I23" s="255">
        <f>$C$3+SUM($B$14:I14)</f>
        <v>14</v>
      </c>
      <c r="J23" s="255">
        <f>$C$3+SUM($B$14:J14)</f>
        <v>15</v>
      </c>
      <c r="K23" s="255">
        <f>$C$3+SUM($B$14:K14)</f>
        <v>16</v>
      </c>
      <c r="L23" s="255">
        <f>$C$3+SUM($B$14:L14)</f>
        <v>17</v>
      </c>
      <c r="M23" s="255">
        <f>$C$3+SUM($B$14:M14)</f>
        <v>18</v>
      </c>
      <c r="N23" s="255">
        <f>$C$3+SUM($B$14:N14)</f>
        <v>18</v>
      </c>
      <c r="O23" s="255">
        <f>$C$3+SUM($B$14:O14)</f>
        <v>18</v>
      </c>
      <c r="P23" s="255">
        <f>$C$3+SUM($B$14:P14)</f>
        <v>18</v>
      </c>
      <c r="Q23" s="255">
        <f>$C$3+SUM($B$14:Q14)</f>
        <v>18</v>
      </c>
      <c r="R23" s="255">
        <f>$C$3+SUM($B$14:R14)</f>
        <v>18</v>
      </c>
      <c r="S23" s="255">
        <f>$C$3+SUM($B$14:S14)</f>
        <v>18</v>
      </c>
      <c r="T23" s="255">
        <f>$C$3+SUM($B$14:T14)</f>
        <v>18</v>
      </c>
      <c r="U23" s="255">
        <f>$C$3+SUM($B$14:U14)</f>
        <v>19</v>
      </c>
      <c r="V23" s="255">
        <f>$C$3+SUM($B$14:V14)</f>
        <v>20</v>
      </c>
      <c r="W23" s="255">
        <f>$C$3+SUM($B$14:W14)</f>
        <v>21</v>
      </c>
      <c r="X23" s="255">
        <f>$C$3+SUM($B$14:X14)</f>
        <v>22</v>
      </c>
      <c r="Y23" s="255">
        <f>$C$3+SUM($B$14:Y14)</f>
        <v>23</v>
      </c>
      <c r="Z23" s="255">
        <f>$C$3+SUM($B$14:Z14)</f>
        <v>23</v>
      </c>
      <c r="AA23" s="255">
        <f>$C$3+SUM($B$14:AA14)</f>
        <v>23</v>
      </c>
      <c r="AB23" s="255">
        <f>$C$3+SUM($B$14:AB14)</f>
        <v>24</v>
      </c>
      <c r="AC23" s="255">
        <f>$C$3+SUM($B$14:AC14)</f>
        <v>24</v>
      </c>
      <c r="AD23" s="255">
        <f>$C$3+SUM($B$14:AD14)</f>
        <v>24</v>
      </c>
      <c r="AE23" s="255">
        <f>$C$3+SUM($B$14:AE14)</f>
        <v>25</v>
      </c>
      <c r="AF23" s="255">
        <f>$C$3+SUM($B$14:AF14)</f>
        <v>25</v>
      </c>
      <c r="AG23" s="255">
        <f>$C$3+SUM($B$14:AG14)</f>
        <v>25</v>
      </c>
      <c r="AH23" s="255">
        <f>$C$3+SUM($B$14:AH14)</f>
        <v>26</v>
      </c>
      <c r="AI23" s="255">
        <f>$C$3+SUM($B$14:AI14)</f>
        <v>26</v>
      </c>
      <c r="AJ23" s="255">
        <f>$C$3+SUM($B$14:AJ14)</f>
        <v>26</v>
      </c>
      <c r="AK23" s="256">
        <f>$C$3+SUM($B$14:AK14)</f>
        <v>26</v>
      </c>
    </row>
    <row r="24" spans="1:40" x14ac:dyDescent="0.3">
      <c r="A24" s="101" t="s">
        <v>103</v>
      </c>
      <c r="B24" s="184">
        <f>$C$4+SUM($B$15:B15)</f>
        <v>3</v>
      </c>
      <c r="C24" s="184">
        <f>$C$4+SUM($B$15:C15)</f>
        <v>3</v>
      </c>
      <c r="D24" s="184">
        <f>$C$4+SUM($B$15:D15)</f>
        <v>3</v>
      </c>
      <c r="E24" s="184">
        <f>$C$4+SUM($B$15:E15)</f>
        <v>3</v>
      </c>
      <c r="F24" s="184">
        <f>$C$4+SUM($B$15:F15)</f>
        <v>3</v>
      </c>
      <c r="G24" s="184">
        <f>$C$4+SUM($B$15:G15)</f>
        <v>3</v>
      </c>
      <c r="H24" s="184">
        <f>$C$4+SUM($B$15:H15)</f>
        <v>4</v>
      </c>
      <c r="I24" s="184">
        <f>$C$4+SUM($B$15:I15)</f>
        <v>4</v>
      </c>
      <c r="J24" s="184">
        <f>$C$4+SUM($B$15:J15)</f>
        <v>5</v>
      </c>
      <c r="K24" s="184">
        <f>$C$4+SUM($B$15:K15)</f>
        <v>5</v>
      </c>
      <c r="L24" s="184">
        <f>$C$4+SUM($B$15:L15)</f>
        <v>6</v>
      </c>
      <c r="M24" s="184">
        <f>$C$4+SUM($B$15:M15)</f>
        <v>6</v>
      </c>
      <c r="N24" s="184">
        <f>$C$4+SUM($B$15:N15)</f>
        <v>6</v>
      </c>
      <c r="O24" s="184">
        <f>$C$4+SUM($B$15:O15)</f>
        <v>6</v>
      </c>
      <c r="P24" s="184">
        <f>$C$4+SUM($B$15:P15)</f>
        <v>6</v>
      </c>
      <c r="Q24" s="184">
        <f>$C$4+SUM($B$15:Q15)</f>
        <v>6</v>
      </c>
      <c r="R24" s="184">
        <f>$C$4+SUM($B$15:R15)</f>
        <v>6</v>
      </c>
      <c r="S24" s="184">
        <f>$C$4+SUM($B$15:S15)</f>
        <v>6</v>
      </c>
      <c r="T24" s="184">
        <f>$C$4+SUM($B$15:T15)</f>
        <v>6</v>
      </c>
      <c r="U24" s="184">
        <f>$C$4+SUM($B$15:U15)</f>
        <v>7</v>
      </c>
      <c r="V24" s="184">
        <f>$C$4+SUM($B$15:V15)</f>
        <v>7</v>
      </c>
      <c r="W24" s="184">
        <f>$C$4+SUM($B$15:W15)</f>
        <v>8</v>
      </c>
      <c r="X24" s="184">
        <f>$C$4+SUM($B$15:X15)</f>
        <v>8</v>
      </c>
      <c r="Y24" s="184">
        <f>$C$4+SUM($B$15:Y15)</f>
        <v>8</v>
      </c>
      <c r="Z24" s="184">
        <f>$C$4+SUM($B$15:Z15)</f>
        <v>8</v>
      </c>
      <c r="AA24" s="184">
        <f>$C$4+SUM($B$15:AA15)</f>
        <v>8</v>
      </c>
      <c r="AB24" s="184">
        <f>$C$4+SUM($B$15:AB15)</f>
        <v>8</v>
      </c>
      <c r="AC24" s="184">
        <f>$C$4+SUM($B$15:AC15)</f>
        <v>9</v>
      </c>
      <c r="AD24" s="184">
        <f>$C$4+SUM($B$15:AD15)</f>
        <v>9</v>
      </c>
      <c r="AE24" s="184">
        <f>$C$4+SUM($B$15:AE15)</f>
        <v>9</v>
      </c>
      <c r="AF24" s="184">
        <f>$C$4+SUM($B$15:AF15)</f>
        <v>9</v>
      </c>
      <c r="AG24" s="184">
        <f>$C$4+SUM($B$15:AG15)</f>
        <v>10</v>
      </c>
      <c r="AH24" s="184">
        <f>$C$4+SUM($B$15:AH15)</f>
        <v>10</v>
      </c>
      <c r="AI24" s="184">
        <f>$C$4+SUM($B$15:AI15)</f>
        <v>10</v>
      </c>
      <c r="AJ24" s="184">
        <f>$C$4+SUM($B$15:AJ15)</f>
        <v>10</v>
      </c>
      <c r="AK24" s="257">
        <f>$C$4+SUM($B$15:AK15)</f>
        <v>10</v>
      </c>
    </row>
    <row r="25" spans="1:40" x14ac:dyDescent="0.3">
      <c r="A25" s="101" t="s">
        <v>104</v>
      </c>
      <c r="B25" s="184">
        <f>$C$5+SUM($B$16:B16)</f>
        <v>5</v>
      </c>
      <c r="C25" s="184">
        <f>$C$5+SUM($B$16:C16)</f>
        <v>5</v>
      </c>
      <c r="D25" s="184">
        <f>$C$5+SUM($B$16:D16)</f>
        <v>5</v>
      </c>
      <c r="E25" s="184">
        <f>$C$5+SUM($B$16:E16)</f>
        <v>5</v>
      </c>
      <c r="F25" s="184">
        <f>$C$5+SUM($B$16:F16)</f>
        <v>5</v>
      </c>
      <c r="G25" s="184">
        <f>$C$5+SUM($B$16:G16)</f>
        <v>5</v>
      </c>
      <c r="H25" s="184">
        <f>$C$5+SUM($B$16:H16)</f>
        <v>5</v>
      </c>
      <c r="I25" s="184">
        <f>$C$5+SUM($B$16:I16)</f>
        <v>6</v>
      </c>
      <c r="J25" s="184">
        <f>$C$5+SUM($B$16:J16)</f>
        <v>6</v>
      </c>
      <c r="K25" s="184">
        <f>$C$5+SUM($B$16:K16)</f>
        <v>7</v>
      </c>
      <c r="L25" s="184">
        <f>$C$5+SUM($B$16:L16)</f>
        <v>7</v>
      </c>
      <c r="M25" s="184">
        <f>$C$5+SUM($B$16:M16)</f>
        <v>8</v>
      </c>
      <c r="N25" s="184">
        <f>$C$5+SUM($B$16:N16)</f>
        <v>8</v>
      </c>
      <c r="O25" s="184">
        <f>$C$5+SUM($B$16:O16)</f>
        <v>8</v>
      </c>
      <c r="P25" s="184">
        <f>$C$5+SUM($B$16:P16)</f>
        <v>8</v>
      </c>
      <c r="Q25" s="184">
        <f>$C$5+SUM($B$16:Q16)</f>
        <v>8</v>
      </c>
      <c r="R25" s="184">
        <f>$C$5+SUM($B$16:R16)</f>
        <v>8</v>
      </c>
      <c r="S25" s="184">
        <f>$C$5+SUM($B$16:S16)</f>
        <v>8</v>
      </c>
      <c r="T25" s="184">
        <f>$C$5+SUM($B$16:T16)</f>
        <v>8</v>
      </c>
      <c r="U25" s="184">
        <f>$C$5+SUM($B$16:U16)</f>
        <v>9</v>
      </c>
      <c r="V25" s="184">
        <f>$C$5+SUM($B$16:V16)</f>
        <v>10</v>
      </c>
      <c r="W25" s="184">
        <f>$C$5+SUM($B$16:W16)</f>
        <v>11</v>
      </c>
      <c r="X25" s="184">
        <f>$C$5+SUM($B$16:X16)</f>
        <v>12</v>
      </c>
      <c r="Y25" s="184">
        <f>$C$5+SUM($B$16:Y16)</f>
        <v>13</v>
      </c>
      <c r="Z25" s="184">
        <f>$C$5+SUM($B$16:Z16)</f>
        <v>14</v>
      </c>
      <c r="AA25" s="184">
        <f>$C$5+SUM($B$16:AA16)</f>
        <v>14</v>
      </c>
      <c r="AB25" s="184">
        <f>$C$5+SUM($B$16:AB16)</f>
        <v>15</v>
      </c>
      <c r="AC25" s="184">
        <f>$C$5+SUM($B$16:AC16)</f>
        <v>15</v>
      </c>
      <c r="AD25" s="184">
        <f>$C$5+SUM($B$16:AD16)</f>
        <v>16</v>
      </c>
      <c r="AE25" s="184">
        <f>$C$5+SUM($B$16:AE16)</f>
        <v>16</v>
      </c>
      <c r="AF25" s="184">
        <f>$C$5+SUM($B$16:AF16)</f>
        <v>17</v>
      </c>
      <c r="AG25" s="184">
        <f>$C$5+SUM($B$16:AG16)</f>
        <v>17</v>
      </c>
      <c r="AH25" s="184">
        <f>$C$5+SUM($B$16:AH16)</f>
        <v>18</v>
      </c>
      <c r="AI25" s="184">
        <f>$C$5+SUM($B$16:AI16)</f>
        <v>18</v>
      </c>
      <c r="AJ25" s="184">
        <f>$C$5+SUM($B$16:AJ16)</f>
        <v>19</v>
      </c>
      <c r="AK25" s="257">
        <f>$C$5+SUM($B$16:AK16)</f>
        <v>19</v>
      </c>
    </row>
    <row r="26" spans="1:40" x14ac:dyDescent="0.3">
      <c r="A26" s="101" t="s">
        <v>105</v>
      </c>
      <c r="B26" s="184">
        <f>$C$6+SUM($B$17:B17)</f>
        <v>4</v>
      </c>
      <c r="C26" s="184">
        <f>$C$6+SUM($B$17:C17)</f>
        <v>4</v>
      </c>
      <c r="D26" s="184">
        <f>$C$6+SUM($B$17:D17)</f>
        <v>4</v>
      </c>
      <c r="E26" s="184">
        <f>$C$6+SUM($B$17:E17)</f>
        <v>4</v>
      </c>
      <c r="F26" s="184">
        <f>$C$6+SUM($B$17:F17)</f>
        <v>4</v>
      </c>
      <c r="G26" s="184">
        <f>$C$6+SUM($B$17:G17)</f>
        <v>4</v>
      </c>
      <c r="H26" s="184">
        <f>$C$6+SUM($B$17:H17)</f>
        <v>4</v>
      </c>
      <c r="I26" s="184">
        <f>$C$6+SUM($B$17:I17)</f>
        <v>5</v>
      </c>
      <c r="J26" s="184">
        <f>$C$6+SUM($B$17:J17)</f>
        <v>5</v>
      </c>
      <c r="K26" s="184">
        <f>$C$6+SUM($B$17:K17)</f>
        <v>6</v>
      </c>
      <c r="L26" s="184">
        <f>$C$6+SUM($B$17:L17)</f>
        <v>6</v>
      </c>
      <c r="M26" s="184">
        <f>$C$6+SUM($B$17:M17)</f>
        <v>7</v>
      </c>
      <c r="N26" s="184">
        <f>$C$6+SUM($B$17:N17)</f>
        <v>7</v>
      </c>
      <c r="O26" s="184">
        <f>$C$6+SUM($B$17:O17)</f>
        <v>8</v>
      </c>
      <c r="P26" s="184">
        <f>$C$6+SUM($B$17:P17)</f>
        <v>8</v>
      </c>
      <c r="Q26" s="184">
        <f>$C$6+SUM($B$17:Q17)</f>
        <v>8</v>
      </c>
      <c r="R26" s="184">
        <f>$C$6+SUM($B$17:R17)</f>
        <v>9</v>
      </c>
      <c r="S26" s="184">
        <f>$C$6+SUM($B$17:S17)</f>
        <v>9</v>
      </c>
      <c r="T26" s="184">
        <f>$C$6+SUM($B$17:T17)</f>
        <v>9</v>
      </c>
      <c r="U26" s="184">
        <f>$C$6+SUM($B$17:U17)</f>
        <v>10</v>
      </c>
      <c r="V26" s="184">
        <f>$C$6+SUM($B$17:V17)</f>
        <v>10</v>
      </c>
      <c r="W26" s="184">
        <f>$C$6+SUM($B$17:W17)</f>
        <v>10</v>
      </c>
      <c r="X26" s="184">
        <f>$C$6+SUM($B$17:X17)</f>
        <v>11</v>
      </c>
      <c r="Y26" s="184">
        <f>$C$6+SUM($B$17:Y17)</f>
        <v>11</v>
      </c>
      <c r="Z26" s="184">
        <f>$C$6+SUM($B$17:Z17)</f>
        <v>11</v>
      </c>
      <c r="AA26" s="184">
        <f>$C$6+SUM($B$17:AA17)</f>
        <v>12</v>
      </c>
      <c r="AB26" s="184">
        <f>$C$6+SUM($B$17:AB17)</f>
        <v>12</v>
      </c>
      <c r="AC26" s="184">
        <f>$C$6+SUM($B$17:AC17)</f>
        <v>12</v>
      </c>
      <c r="AD26" s="184">
        <f>$C$6+SUM($B$17:AD17)</f>
        <v>13</v>
      </c>
      <c r="AE26" s="184">
        <f>$C$6+SUM($B$17:AE17)</f>
        <v>13</v>
      </c>
      <c r="AF26" s="184">
        <f>$C$6+SUM($B$17:AF17)</f>
        <v>13</v>
      </c>
      <c r="AG26" s="184">
        <f>$C$6+SUM($B$17:AG17)</f>
        <v>14</v>
      </c>
      <c r="AH26" s="184">
        <f>$C$6+SUM($B$17:AH17)</f>
        <v>14</v>
      </c>
      <c r="AI26" s="184">
        <f>$C$6+SUM($B$17:AI17)</f>
        <v>14</v>
      </c>
      <c r="AJ26" s="184">
        <f>$C$6+SUM($B$17:AJ17)</f>
        <v>15</v>
      </c>
      <c r="AK26" s="257">
        <f>$C$6+SUM($B$17:AK17)</f>
        <v>15</v>
      </c>
    </row>
    <row r="27" spans="1:40" ht="15" thickBot="1" x14ac:dyDescent="0.35">
      <c r="A27" s="101" t="s">
        <v>106</v>
      </c>
      <c r="B27" s="184">
        <f>$C$7+SUM($B$18:B18)</f>
        <v>4</v>
      </c>
      <c r="C27" s="184">
        <f>$C$7+SUM($B$18:C18)</f>
        <v>4</v>
      </c>
      <c r="D27" s="184">
        <f>$C$7+SUM($B$18:D18)</f>
        <v>4</v>
      </c>
      <c r="E27" s="184">
        <f>$C$7+SUM($B$18:E18)</f>
        <v>4</v>
      </c>
      <c r="F27" s="184">
        <f>$C$7+SUM($B$18:F18)</f>
        <v>4</v>
      </c>
      <c r="G27" s="184">
        <f>$C$7+SUM($B$18:G18)</f>
        <v>4</v>
      </c>
      <c r="H27" s="184">
        <f>$C$7+SUM($B$18:H18)</f>
        <v>4</v>
      </c>
      <c r="I27" s="184">
        <f>$C$7+SUM($B$18:I18)</f>
        <v>5</v>
      </c>
      <c r="J27" s="184">
        <f>$C$7+SUM($B$18:J18)</f>
        <v>5</v>
      </c>
      <c r="K27" s="184">
        <f>$C$7+SUM($B$18:K18)</f>
        <v>5</v>
      </c>
      <c r="L27" s="184">
        <f>$C$7+SUM($B$18:L18)</f>
        <v>6</v>
      </c>
      <c r="M27" s="184">
        <f>$C$7+SUM($B$18:M18)</f>
        <v>6</v>
      </c>
      <c r="N27" s="184">
        <f>$C$7+SUM($B$18:N18)</f>
        <v>6</v>
      </c>
      <c r="O27" s="184">
        <f>$C$7+SUM($B$18:O18)</f>
        <v>6</v>
      </c>
      <c r="P27" s="184">
        <f>$C$7+SUM($B$18:P18)</f>
        <v>6</v>
      </c>
      <c r="Q27" s="184">
        <f>$C$7+SUM($B$18:Q18)</f>
        <v>6</v>
      </c>
      <c r="R27" s="184">
        <f>$C$7+SUM($B$18:R18)</f>
        <v>6</v>
      </c>
      <c r="S27" s="184">
        <f>$C$7+SUM($B$18:S18)</f>
        <v>6</v>
      </c>
      <c r="T27" s="184">
        <f>$C$7+SUM($B$18:T18)</f>
        <v>6</v>
      </c>
      <c r="U27" s="184">
        <f>$C$7+SUM($B$18:U18)</f>
        <v>7</v>
      </c>
      <c r="V27" s="184">
        <f>$C$7+SUM($B$18:V18)</f>
        <v>7</v>
      </c>
      <c r="W27" s="184">
        <f>$C$7+SUM($B$18:W18)</f>
        <v>8</v>
      </c>
      <c r="X27" s="184">
        <f>$C$7+SUM($B$18:X18)</f>
        <v>8</v>
      </c>
      <c r="Y27" s="184">
        <f>$C$7+SUM($B$18:Y18)</f>
        <v>8</v>
      </c>
      <c r="Z27" s="184">
        <f>$C$7+SUM($B$18:Z18)</f>
        <v>8</v>
      </c>
      <c r="AA27" s="184">
        <f>$C$7+SUM($B$18:AA18)</f>
        <v>8</v>
      </c>
      <c r="AB27" s="184">
        <f>$C$7+SUM($B$18:AB18)</f>
        <v>8</v>
      </c>
      <c r="AC27" s="184">
        <f>$C$7+SUM($B$18:AC18)</f>
        <v>8</v>
      </c>
      <c r="AD27" s="184">
        <f>$C$7+SUM($B$18:AD18)</f>
        <v>8</v>
      </c>
      <c r="AE27" s="184">
        <f>$C$7+SUM($B$18:AE18)</f>
        <v>9</v>
      </c>
      <c r="AF27" s="184">
        <f>$C$7+SUM($B$18:AF18)</f>
        <v>9</v>
      </c>
      <c r="AG27" s="184">
        <f>$C$7+SUM($B$18:AG18)</f>
        <v>9</v>
      </c>
      <c r="AH27" s="184">
        <f>$C$7+SUM($B$18:AH18)</f>
        <v>9</v>
      </c>
      <c r="AI27" s="184">
        <f>$C$7+SUM($B$18:AI18)</f>
        <v>9</v>
      </c>
      <c r="AJ27" s="184">
        <f>$C$7+SUM($B$18:AJ18)</f>
        <v>9</v>
      </c>
      <c r="AK27" s="257">
        <f>$C$7+SUM($B$18:AK18)</f>
        <v>9</v>
      </c>
    </row>
    <row r="28" spans="1:40" ht="15" thickBot="1" x14ac:dyDescent="0.35">
      <c r="A28" s="258" t="s">
        <v>280</v>
      </c>
      <c r="B28" s="259">
        <f>SUM(B23:B27)</f>
        <v>28</v>
      </c>
      <c r="C28" s="259">
        <f t="shared" ref="C28:AK28" si="1">SUM(C23:C27)</f>
        <v>28</v>
      </c>
      <c r="D28" s="259">
        <f t="shared" si="1"/>
        <v>28</v>
      </c>
      <c r="E28" s="259">
        <f t="shared" si="1"/>
        <v>28</v>
      </c>
      <c r="F28" s="259">
        <f t="shared" si="1"/>
        <v>28</v>
      </c>
      <c r="G28" s="259">
        <f t="shared" si="1"/>
        <v>28</v>
      </c>
      <c r="H28" s="259">
        <f t="shared" si="1"/>
        <v>30</v>
      </c>
      <c r="I28" s="259">
        <f t="shared" si="1"/>
        <v>34</v>
      </c>
      <c r="J28" s="259">
        <f t="shared" si="1"/>
        <v>36</v>
      </c>
      <c r="K28" s="259">
        <f t="shared" si="1"/>
        <v>39</v>
      </c>
      <c r="L28" s="259">
        <f t="shared" si="1"/>
        <v>42</v>
      </c>
      <c r="M28" s="259">
        <f t="shared" si="1"/>
        <v>45</v>
      </c>
      <c r="N28" s="259">
        <f t="shared" si="1"/>
        <v>45</v>
      </c>
      <c r="O28" s="259">
        <f t="shared" si="1"/>
        <v>46</v>
      </c>
      <c r="P28" s="259">
        <f t="shared" si="1"/>
        <v>46</v>
      </c>
      <c r="Q28" s="259">
        <f t="shared" si="1"/>
        <v>46</v>
      </c>
      <c r="R28" s="259">
        <f t="shared" si="1"/>
        <v>47</v>
      </c>
      <c r="S28" s="259">
        <f t="shared" si="1"/>
        <v>47</v>
      </c>
      <c r="T28" s="259">
        <f t="shared" si="1"/>
        <v>47</v>
      </c>
      <c r="U28" s="259">
        <f t="shared" si="1"/>
        <v>52</v>
      </c>
      <c r="V28" s="259">
        <f t="shared" si="1"/>
        <v>54</v>
      </c>
      <c r="W28" s="259">
        <f t="shared" si="1"/>
        <v>58</v>
      </c>
      <c r="X28" s="259">
        <f t="shared" si="1"/>
        <v>61</v>
      </c>
      <c r="Y28" s="259">
        <f t="shared" si="1"/>
        <v>63</v>
      </c>
      <c r="Z28" s="259">
        <f t="shared" si="1"/>
        <v>64</v>
      </c>
      <c r="AA28" s="259">
        <f t="shared" si="1"/>
        <v>65</v>
      </c>
      <c r="AB28" s="259">
        <f t="shared" si="1"/>
        <v>67</v>
      </c>
      <c r="AC28" s="259">
        <f t="shared" si="1"/>
        <v>68</v>
      </c>
      <c r="AD28" s="259">
        <f t="shared" si="1"/>
        <v>70</v>
      </c>
      <c r="AE28" s="259">
        <f t="shared" si="1"/>
        <v>72</v>
      </c>
      <c r="AF28" s="259">
        <f t="shared" si="1"/>
        <v>73</v>
      </c>
      <c r="AG28" s="259">
        <f t="shared" si="1"/>
        <v>75</v>
      </c>
      <c r="AH28" s="259">
        <f t="shared" si="1"/>
        <v>77</v>
      </c>
      <c r="AI28" s="259">
        <f t="shared" si="1"/>
        <v>77</v>
      </c>
      <c r="AJ28" s="259">
        <f t="shared" si="1"/>
        <v>79</v>
      </c>
      <c r="AK28" s="260">
        <f t="shared" si="1"/>
        <v>79</v>
      </c>
    </row>
    <row r="29" spans="1:40" x14ac:dyDescent="0.3">
      <c r="A29" s="46"/>
      <c r="B29" s="184"/>
      <c r="C29" s="184"/>
      <c r="D29" s="184"/>
      <c r="E29" s="184"/>
      <c r="F29" s="184"/>
      <c r="G29" s="184"/>
      <c r="H29" s="184"/>
      <c r="I29" s="184"/>
      <c r="J29" s="184"/>
      <c r="K29" s="184"/>
      <c r="L29" s="184"/>
      <c r="M29" s="184"/>
      <c r="N29" s="184"/>
      <c r="O29" s="184"/>
      <c r="P29" s="184"/>
      <c r="Q29" s="184"/>
      <c r="R29" s="184"/>
      <c r="S29" s="184"/>
      <c r="T29" s="184"/>
      <c r="U29" s="184"/>
      <c r="V29" s="184"/>
      <c r="W29" s="184"/>
      <c r="X29" s="184"/>
      <c r="Y29" s="184"/>
      <c r="Z29" s="184"/>
      <c r="AA29" s="184"/>
      <c r="AB29" s="184"/>
      <c r="AC29" s="184"/>
      <c r="AD29" s="184"/>
      <c r="AE29" s="184"/>
      <c r="AF29" s="184"/>
      <c r="AG29" s="184"/>
      <c r="AH29" s="184"/>
      <c r="AI29" s="184"/>
      <c r="AJ29" s="184"/>
      <c r="AK29" s="184"/>
    </row>
    <row r="30" spans="1:40" ht="15" thickBot="1" x14ac:dyDescent="0.35">
      <c r="A30" s="231" t="s">
        <v>281</v>
      </c>
      <c r="B30" s="184"/>
      <c r="C30" s="184"/>
      <c r="D30" s="184"/>
      <c r="E30" s="184"/>
      <c r="F30" s="184"/>
      <c r="G30" s="184"/>
      <c r="H30" s="184"/>
      <c r="I30" s="184"/>
      <c r="J30" s="184"/>
      <c r="K30" s="184"/>
      <c r="L30" s="184"/>
      <c r="M30" s="184"/>
      <c r="N30" s="184"/>
      <c r="O30" s="184"/>
      <c r="P30" s="184"/>
      <c r="Q30" s="184"/>
      <c r="R30" s="184"/>
      <c r="S30" s="184"/>
      <c r="T30" s="184"/>
      <c r="U30" s="184"/>
      <c r="V30" s="184"/>
      <c r="W30" s="184"/>
      <c r="X30" s="184"/>
      <c r="Y30" s="184"/>
      <c r="Z30" s="184"/>
      <c r="AA30" s="184"/>
      <c r="AB30" s="184"/>
      <c r="AC30" s="184"/>
      <c r="AD30" s="184"/>
      <c r="AE30" s="184"/>
      <c r="AF30" s="184"/>
      <c r="AG30" s="184"/>
      <c r="AH30" s="184"/>
      <c r="AI30" s="184"/>
      <c r="AJ30" s="184"/>
      <c r="AK30" s="184"/>
    </row>
    <row r="31" spans="1:40" x14ac:dyDescent="0.3">
      <c r="A31" s="213" t="s">
        <v>282</v>
      </c>
      <c r="B31" s="261">
        <f>B23*$D$3+B24*$D$4</f>
        <v>378000</v>
      </c>
      <c r="C31" s="261">
        <f t="shared" ref="C31:AK31" si="2">C23*$D$3+C24*$D$4</f>
        <v>378000</v>
      </c>
      <c r="D31" s="261">
        <f t="shared" si="2"/>
        <v>378000</v>
      </c>
      <c r="E31" s="261">
        <f t="shared" si="2"/>
        <v>378000</v>
      </c>
      <c r="F31" s="261">
        <f t="shared" si="2"/>
        <v>378000</v>
      </c>
      <c r="G31" s="261">
        <f t="shared" si="2"/>
        <v>378000</v>
      </c>
      <c r="H31" s="261">
        <f t="shared" si="2"/>
        <v>426000</v>
      </c>
      <c r="I31" s="261">
        <f t="shared" si="2"/>
        <v>452000</v>
      </c>
      <c r="J31" s="261">
        <f t="shared" si="2"/>
        <v>500000</v>
      </c>
      <c r="K31" s="261">
        <f t="shared" si="2"/>
        <v>526000</v>
      </c>
      <c r="L31" s="261">
        <f t="shared" si="2"/>
        <v>574000</v>
      </c>
      <c r="M31" s="261">
        <f t="shared" si="2"/>
        <v>600000</v>
      </c>
      <c r="N31" s="261">
        <f t="shared" si="2"/>
        <v>600000</v>
      </c>
      <c r="O31" s="261">
        <f t="shared" si="2"/>
        <v>600000</v>
      </c>
      <c r="P31" s="261">
        <f t="shared" si="2"/>
        <v>600000</v>
      </c>
      <c r="Q31" s="261">
        <f t="shared" si="2"/>
        <v>600000</v>
      </c>
      <c r="R31" s="261">
        <f t="shared" si="2"/>
        <v>600000</v>
      </c>
      <c r="S31" s="261">
        <f t="shared" si="2"/>
        <v>600000</v>
      </c>
      <c r="T31" s="261">
        <f t="shared" si="2"/>
        <v>600000</v>
      </c>
      <c r="U31" s="261">
        <f t="shared" si="2"/>
        <v>648000</v>
      </c>
      <c r="V31" s="261">
        <f t="shared" si="2"/>
        <v>674000</v>
      </c>
      <c r="W31" s="261">
        <f t="shared" si="2"/>
        <v>722000</v>
      </c>
      <c r="X31" s="261">
        <f t="shared" si="2"/>
        <v>748000</v>
      </c>
      <c r="Y31" s="261">
        <f t="shared" si="2"/>
        <v>774000</v>
      </c>
      <c r="Z31" s="261">
        <f t="shared" si="2"/>
        <v>774000</v>
      </c>
      <c r="AA31" s="261">
        <f t="shared" si="2"/>
        <v>774000</v>
      </c>
      <c r="AB31" s="261">
        <f t="shared" si="2"/>
        <v>800000</v>
      </c>
      <c r="AC31" s="261">
        <f t="shared" si="2"/>
        <v>822000</v>
      </c>
      <c r="AD31" s="261">
        <f t="shared" si="2"/>
        <v>822000</v>
      </c>
      <c r="AE31" s="261">
        <f t="shared" si="2"/>
        <v>848000</v>
      </c>
      <c r="AF31" s="261">
        <f t="shared" si="2"/>
        <v>848000</v>
      </c>
      <c r="AG31" s="261">
        <f t="shared" si="2"/>
        <v>870000</v>
      </c>
      <c r="AH31" s="261">
        <f t="shared" si="2"/>
        <v>896000</v>
      </c>
      <c r="AI31" s="261">
        <f t="shared" si="2"/>
        <v>896000</v>
      </c>
      <c r="AJ31" s="261">
        <f t="shared" si="2"/>
        <v>896000</v>
      </c>
      <c r="AK31" s="262">
        <f t="shared" si="2"/>
        <v>896000</v>
      </c>
      <c r="AL31" s="2"/>
      <c r="AM31" s="2"/>
      <c r="AN31" s="2"/>
    </row>
    <row r="32" spans="1:40" x14ac:dyDescent="0.3">
      <c r="A32" s="263" t="s">
        <v>283</v>
      </c>
      <c r="B32" s="125">
        <f>B23*$D$3+B24*$D$4+B25*$D$5+B26*$D$6+B27*$D$7</f>
        <v>596000</v>
      </c>
      <c r="C32" s="125">
        <f t="shared" ref="C32:AK32" si="3">C23*$D$3+C24*$D$4+C25*$D$5+C26*$D$6+C27*$D$7</f>
        <v>596000</v>
      </c>
      <c r="D32" s="125">
        <f t="shared" si="3"/>
        <v>596000</v>
      </c>
      <c r="E32" s="125">
        <f t="shared" si="3"/>
        <v>596000</v>
      </c>
      <c r="F32" s="125">
        <f t="shared" si="3"/>
        <v>596000</v>
      </c>
      <c r="G32" s="125">
        <f t="shared" si="3"/>
        <v>596000</v>
      </c>
      <c r="H32" s="125">
        <f t="shared" si="3"/>
        <v>644000</v>
      </c>
      <c r="I32" s="125">
        <f t="shared" si="3"/>
        <v>720000</v>
      </c>
      <c r="J32" s="125">
        <f t="shared" si="3"/>
        <v>768000</v>
      </c>
      <c r="K32" s="125">
        <f t="shared" si="3"/>
        <v>824000</v>
      </c>
      <c r="L32" s="125">
        <f t="shared" si="3"/>
        <v>892000</v>
      </c>
      <c r="M32" s="125">
        <f t="shared" si="3"/>
        <v>948000</v>
      </c>
      <c r="N32" s="125">
        <f t="shared" si="3"/>
        <v>948000</v>
      </c>
      <c r="O32" s="125">
        <f t="shared" si="3"/>
        <v>960000</v>
      </c>
      <c r="P32" s="125">
        <f t="shared" si="3"/>
        <v>960000</v>
      </c>
      <c r="Q32" s="125">
        <f t="shared" si="3"/>
        <v>960000</v>
      </c>
      <c r="R32" s="125">
        <f t="shared" si="3"/>
        <v>972000</v>
      </c>
      <c r="S32" s="125">
        <f t="shared" si="3"/>
        <v>972000</v>
      </c>
      <c r="T32" s="125">
        <f t="shared" si="3"/>
        <v>972000</v>
      </c>
      <c r="U32" s="125">
        <f t="shared" si="3"/>
        <v>1070000</v>
      </c>
      <c r="V32" s="125">
        <f t="shared" si="3"/>
        <v>1114000</v>
      </c>
      <c r="W32" s="125">
        <f t="shared" si="3"/>
        <v>1200000</v>
      </c>
      <c r="X32" s="125">
        <f t="shared" si="3"/>
        <v>1256000</v>
      </c>
      <c r="Y32" s="125">
        <f t="shared" si="3"/>
        <v>1300000</v>
      </c>
      <c r="Z32" s="125">
        <f t="shared" si="3"/>
        <v>1318000</v>
      </c>
      <c r="AA32" s="125">
        <f t="shared" si="3"/>
        <v>1330000</v>
      </c>
      <c r="AB32" s="125">
        <f t="shared" si="3"/>
        <v>1374000</v>
      </c>
      <c r="AC32" s="125">
        <f t="shared" si="3"/>
        <v>1396000</v>
      </c>
      <c r="AD32" s="125">
        <f t="shared" si="3"/>
        <v>1426000</v>
      </c>
      <c r="AE32" s="125">
        <f t="shared" si="3"/>
        <v>1472000</v>
      </c>
      <c r="AF32" s="125">
        <f t="shared" si="3"/>
        <v>1490000</v>
      </c>
      <c r="AG32" s="125">
        <f t="shared" si="3"/>
        <v>1524000</v>
      </c>
      <c r="AH32" s="125">
        <f t="shared" si="3"/>
        <v>1568000</v>
      </c>
      <c r="AI32" s="125">
        <f t="shared" si="3"/>
        <v>1568000</v>
      </c>
      <c r="AJ32" s="125">
        <f t="shared" si="3"/>
        <v>1598000</v>
      </c>
      <c r="AK32" s="264">
        <f t="shared" si="3"/>
        <v>1598000</v>
      </c>
      <c r="AL32" s="2"/>
      <c r="AM32" s="2"/>
      <c r="AN32" s="2"/>
    </row>
    <row r="33" spans="1:40" ht="15" thickBot="1" x14ac:dyDescent="0.35">
      <c r="A33" s="265" t="s">
        <v>284</v>
      </c>
      <c r="B33" s="266">
        <f>B31/B32</f>
        <v>0.63422818791946312</v>
      </c>
      <c r="C33" s="266">
        <f t="shared" ref="C33:AK33" si="4">C31/C32</f>
        <v>0.63422818791946312</v>
      </c>
      <c r="D33" s="266">
        <f t="shared" si="4"/>
        <v>0.63422818791946312</v>
      </c>
      <c r="E33" s="266">
        <f t="shared" si="4"/>
        <v>0.63422818791946312</v>
      </c>
      <c r="F33" s="266">
        <f t="shared" si="4"/>
        <v>0.63422818791946312</v>
      </c>
      <c r="G33" s="266">
        <f t="shared" si="4"/>
        <v>0.63422818791946312</v>
      </c>
      <c r="H33" s="266">
        <f t="shared" si="4"/>
        <v>0.66149068322981364</v>
      </c>
      <c r="I33" s="266">
        <f t="shared" si="4"/>
        <v>0.62777777777777777</v>
      </c>
      <c r="J33" s="266">
        <f t="shared" si="4"/>
        <v>0.65104166666666663</v>
      </c>
      <c r="K33" s="266">
        <f t="shared" si="4"/>
        <v>0.63834951456310685</v>
      </c>
      <c r="L33" s="266">
        <f t="shared" si="4"/>
        <v>0.6434977578475336</v>
      </c>
      <c r="M33" s="266">
        <f t="shared" si="4"/>
        <v>0.63291139240506333</v>
      </c>
      <c r="N33" s="266">
        <f t="shared" si="4"/>
        <v>0.63291139240506333</v>
      </c>
      <c r="O33" s="266">
        <f t="shared" si="4"/>
        <v>0.625</v>
      </c>
      <c r="P33" s="266">
        <f t="shared" si="4"/>
        <v>0.625</v>
      </c>
      <c r="Q33" s="266">
        <f t="shared" si="4"/>
        <v>0.625</v>
      </c>
      <c r="R33" s="266">
        <f t="shared" si="4"/>
        <v>0.61728395061728392</v>
      </c>
      <c r="S33" s="266">
        <f t="shared" si="4"/>
        <v>0.61728395061728392</v>
      </c>
      <c r="T33" s="266">
        <f t="shared" si="4"/>
        <v>0.61728395061728392</v>
      </c>
      <c r="U33" s="266">
        <f t="shared" si="4"/>
        <v>0.60560747663551406</v>
      </c>
      <c r="V33" s="266">
        <f t="shared" si="4"/>
        <v>0.60502692998204666</v>
      </c>
      <c r="W33" s="266">
        <f t="shared" si="4"/>
        <v>0.60166666666666668</v>
      </c>
      <c r="X33" s="266">
        <f t="shared" si="4"/>
        <v>0.59554140127388533</v>
      </c>
      <c r="Y33" s="266">
        <f t="shared" si="4"/>
        <v>0.5953846153846154</v>
      </c>
      <c r="Z33" s="266">
        <f t="shared" si="4"/>
        <v>0.58725341426403643</v>
      </c>
      <c r="AA33" s="266">
        <f t="shared" si="4"/>
        <v>0.58195488721804511</v>
      </c>
      <c r="AB33" s="266">
        <f t="shared" si="4"/>
        <v>0.58224163027656473</v>
      </c>
      <c r="AC33" s="266">
        <f t="shared" si="4"/>
        <v>0.58882521489971351</v>
      </c>
      <c r="AD33" s="266">
        <f t="shared" si="4"/>
        <v>0.57643758765778397</v>
      </c>
      <c r="AE33" s="266">
        <f t="shared" si="4"/>
        <v>0.57608695652173914</v>
      </c>
      <c r="AF33" s="266">
        <f t="shared" si="4"/>
        <v>0.56912751677852347</v>
      </c>
      <c r="AG33" s="266">
        <f t="shared" si="4"/>
        <v>0.57086614173228345</v>
      </c>
      <c r="AH33" s="266">
        <f t="shared" si="4"/>
        <v>0.5714285714285714</v>
      </c>
      <c r="AI33" s="266">
        <f t="shared" si="4"/>
        <v>0.5714285714285714</v>
      </c>
      <c r="AJ33" s="266">
        <f t="shared" si="4"/>
        <v>0.56070087609511887</v>
      </c>
      <c r="AK33" s="267">
        <f t="shared" si="4"/>
        <v>0.56070087609511887</v>
      </c>
      <c r="AL33" s="3"/>
      <c r="AM33" s="3"/>
      <c r="AN33" s="3"/>
    </row>
    <row r="34" spans="1:40" x14ac:dyDescent="0.3">
      <c r="B34" s="5"/>
      <c r="C34" s="5"/>
      <c r="D34" s="5"/>
      <c r="E34" s="5"/>
      <c r="F34" s="5"/>
      <c r="G34" s="5"/>
      <c r="H34" s="5"/>
      <c r="I34" s="5"/>
      <c r="J34" s="5"/>
      <c r="K34" s="5"/>
      <c r="L34" s="5"/>
      <c r="M34" s="5"/>
      <c r="N34" s="5"/>
      <c r="O34" s="5"/>
      <c r="P34" s="5"/>
      <c r="Q34" s="5"/>
      <c r="R34" s="5"/>
      <c r="S34" s="5"/>
      <c r="T34" s="5"/>
      <c r="U34" s="5"/>
      <c r="V34" s="5"/>
      <c r="W34" s="5"/>
      <c r="X34" s="5"/>
      <c r="Y34" s="5"/>
      <c r="Z34" s="5"/>
      <c r="AA34" s="5"/>
      <c r="AB34" s="5"/>
      <c r="AC34" s="5"/>
      <c r="AD34" s="5"/>
      <c r="AE34" s="5"/>
      <c r="AF34" s="5"/>
      <c r="AG34" s="5"/>
      <c r="AH34" s="5"/>
      <c r="AI34" s="5"/>
      <c r="AJ34" s="5"/>
      <c r="AK34" s="5"/>
    </row>
    <row r="35" spans="1:40" x14ac:dyDescent="0.3">
      <c r="B35" s="5"/>
      <c r="C35" s="5"/>
      <c r="D35" s="5"/>
      <c r="E35" s="5"/>
      <c r="F35" s="5"/>
      <c r="G35" s="5"/>
      <c r="H35" s="5"/>
      <c r="I35" s="5"/>
      <c r="J35" s="5"/>
      <c r="K35" s="5"/>
      <c r="L35" s="5"/>
      <c r="M35" s="5"/>
      <c r="N35" s="5"/>
      <c r="O35" s="5"/>
      <c r="P35" s="5"/>
      <c r="Q35" s="5"/>
      <c r="R35" s="5"/>
      <c r="S35" s="5"/>
      <c r="T35" s="5"/>
      <c r="U35" s="5"/>
      <c r="V35" s="5"/>
      <c r="W35" s="5"/>
      <c r="X35" s="5"/>
      <c r="Y35" s="5"/>
      <c r="Z35" s="5"/>
      <c r="AA35" s="5"/>
      <c r="AB35" s="5"/>
      <c r="AC35" s="5"/>
      <c r="AD35" s="5"/>
      <c r="AE35" s="5"/>
      <c r="AF35" s="5"/>
      <c r="AG35" s="5"/>
      <c r="AH35" s="5"/>
      <c r="AI35" s="5"/>
      <c r="AJ35" s="5"/>
      <c r="AK35" s="5"/>
    </row>
    <row r="36" spans="1:40" x14ac:dyDescent="0.3">
      <c r="B36" s="5"/>
      <c r="C36" s="5"/>
      <c r="D36" s="5"/>
      <c r="E36" s="5"/>
      <c r="F36" s="5"/>
      <c r="G36" s="5"/>
      <c r="H36" s="5"/>
      <c r="I36" s="5"/>
      <c r="J36" s="5"/>
      <c r="K36" s="5"/>
      <c r="L36" s="5"/>
      <c r="M36" s="5"/>
      <c r="N36" s="5"/>
      <c r="O36" s="5"/>
      <c r="P36" s="5"/>
      <c r="Q36" s="5"/>
      <c r="R36" s="5"/>
      <c r="S36" s="5"/>
      <c r="T36" s="5"/>
      <c r="U36" s="5"/>
      <c r="V36" s="5"/>
      <c r="W36" s="5"/>
      <c r="X36" s="5"/>
      <c r="Y36" s="5"/>
      <c r="Z36" s="5"/>
      <c r="AA36" s="5"/>
      <c r="AB36" s="5"/>
      <c r="AC36" s="5"/>
      <c r="AD36" s="5"/>
      <c r="AE36" s="5"/>
      <c r="AF36" s="5"/>
      <c r="AG36" s="5"/>
      <c r="AH36" s="5"/>
      <c r="AI36" s="5"/>
      <c r="AJ36" s="5"/>
      <c r="AK36" s="5"/>
    </row>
    <row r="37" spans="1:40" x14ac:dyDescent="0.3">
      <c r="B37" s="5"/>
      <c r="C37" s="5"/>
      <c r="D37" s="5"/>
      <c r="E37" s="5"/>
      <c r="F37" s="5"/>
      <c r="G37" s="5"/>
      <c r="H37" s="5"/>
      <c r="I37" s="5"/>
      <c r="J37" s="5"/>
      <c r="K37" s="5"/>
      <c r="L37" s="5"/>
      <c r="M37" s="5"/>
      <c r="N37" s="5"/>
      <c r="O37" s="5"/>
      <c r="P37" s="5"/>
      <c r="Q37" s="5"/>
      <c r="R37" s="5"/>
      <c r="S37" s="5"/>
      <c r="T37" s="5"/>
      <c r="U37" s="5"/>
      <c r="V37" s="5"/>
      <c r="W37" s="5"/>
      <c r="X37" s="5"/>
      <c r="Y37" s="5"/>
      <c r="Z37" s="5"/>
      <c r="AA37" s="5"/>
      <c r="AB37" s="5"/>
      <c r="AC37" s="5"/>
      <c r="AD37" s="5"/>
      <c r="AE37" s="5"/>
      <c r="AF37" s="5"/>
      <c r="AG37" s="5"/>
      <c r="AH37" s="5"/>
      <c r="AI37" s="5"/>
      <c r="AJ37" s="5"/>
      <c r="AK37" s="5"/>
    </row>
    <row r="38" spans="1:40" x14ac:dyDescent="0.3">
      <c r="B38" s="5"/>
      <c r="C38" s="5"/>
      <c r="D38" s="5"/>
      <c r="E38" s="5"/>
      <c r="F38" s="5"/>
      <c r="G38" s="5"/>
      <c r="H38" s="5"/>
      <c r="I38" s="5"/>
      <c r="J38" s="5"/>
      <c r="K38" s="5"/>
      <c r="L38" s="5"/>
      <c r="M38" s="5"/>
      <c r="N38" s="5"/>
      <c r="O38" s="5"/>
      <c r="P38" s="5"/>
      <c r="Q38" s="5"/>
      <c r="R38" s="5"/>
      <c r="S38" s="5"/>
      <c r="T38" s="5"/>
      <c r="U38" s="5"/>
      <c r="V38" s="5"/>
      <c r="W38" s="5"/>
      <c r="X38" s="5"/>
      <c r="Y38" s="5"/>
      <c r="Z38" s="5"/>
      <c r="AA38" s="5"/>
      <c r="AB38" s="5"/>
      <c r="AC38" s="5"/>
      <c r="AD38" s="5"/>
      <c r="AE38" s="5"/>
      <c r="AF38" s="5"/>
      <c r="AG38" s="5"/>
      <c r="AH38" s="5"/>
      <c r="AI38" s="5"/>
      <c r="AJ38" s="5"/>
      <c r="AK38" s="5"/>
    </row>
    <row r="39" spans="1:40" x14ac:dyDescent="0.3">
      <c r="B39" s="5"/>
      <c r="C39" s="5"/>
      <c r="D39" s="5"/>
      <c r="E39" s="5"/>
      <c r="F39" s="5"/>
      <c r="G39" s="5"/>
      <c r="H39" s="5"/>
      <c r="I39" s="5"/>
      <c r="J39" s="5"/>
      <c r="K39" s="5"/>
      <c r="L39" s="5"/>
      <c r="M39" s="5"/>
      <c r="N39" s="5"/>
      <c r="O39" s="5"/>
      <c r="P39" s="5"/>
      <c r="Q39" s="5"/>
      <c r="R39" s="5"/>
      <c r="S39" s="5"/>
      <c r="T39" s="5"/>
      <c r="U39" s="5"/>
      <c r="V39" s="5"/>
      <c r="W39" s="5"/>
      <c r="X39" s="5"/>
      <c r="Y39" s="5"/>
      <c r="Z39" s="5"/>
      <c r="AA39" s="5"/>
      <c r="AB39" s="5"/>
      <c r="AC39" s="5"/>
      <c r="AD39" s="5"/>
      <c r="AE39" s="5"/>
      <c r="AF39" s="5"/>
      <c r="AG39" s="5"/>
      <c r="AH39" s="5"/>
      <c r="AI39" s="5"/>
      <c r="AJ39" s="5"/>
      <c r="AK39" s="5"/>
    </row>
    <row r="40" spans="1:40" x14ac:dyDescent="0.3">
      <c r="B40" s="5"/>
      <c r="C40" s="5"/>
      <c r="D40" s="5"/>
      <c r="E40" s="5"/>
      <c r="F40" s="5"/>
      <c r="G40" s="5"/>
      <c r="H40" s="5"/>
      <c r="I40" s="5"/>
      <c r="J40" s="5"/>
      <c r="K40" s="5"/>
      <c r="L40" s="5"/>
      <c r="M40" s="5"/>
      <c r="N40" s="5"/>
      <c r="O40" s="5"/>
      <c r="P40" s="5"/>
      <c r="Q40" s="5"/>
      <c r="R40" s="5"/>
      <c r="S40" s="5"/>
      <c r="T40" s="5"/>
      <c r="U40" s="5"/>
      <c r="V40" s="5"/>
      <c r="W40" s="5"/>
      <c r="X40" s="5"/>
      <c r="Y40" s="5"/>
      <c r="Z40" s="5"/>
      <c r="AA40" s="5"/>
      <c r="AB40" s="5"/>
      <c r="AC40" s="5"/>
      <c r="AD40" s="5"/>
      <c r="AE40" s="5"/>
      <c r="AF40" s="5"/>
      <c r="AG40" s="5"/>
      <c r="AH40" s="5"/>
      <c r="AI40" s="5"/>
      <c r="AJ40" s="5"/>
      <c r="AK40" s="5"/>
    </row>
    <row r="41" spans="1:40" x14ac:dyDescent="0.3">
      <c r="B41" s="5"/>
      <c r="C41" s="5"/>
      <c r="D41" s="5"/>
      <c r="E41" s="5"/>
      <c r="F41" s="5"/>
      <c r="G41" s="5"/>
      <c r="H41" s="5"/>
      <c r="I41" s="5"/>
      <c r="J41" s="5"/>
      <c r="K41" s="5"/>
      <c r="L41" s="5"/>
      <c r="M41" s="5"/>
      <c r="N41" s="5"/>
      <c r="O41" s="5"/>
      <c r="P41" s="5"/>
      <c r="Q41" s="5"/>
      <c r="R41" s="5"/>
      <c r="S41" s="5"/>
      <c r="T41" s="5"/>
      <c r="U41" s="5"/>
      <c r="V41" s="5"/>
      <c r="W41" s="5"/>
      <c r="X41" s="5"/>
      <c r="Y41" s="5"/>
      <c r="Z41" s="5"/>
      <c r="AA41" s="5"/>
      <c r="AB41" s="5"/>
      <c r="AC41" s="5"/>
      <c r="AD41" s="5"/>
      <c r="AE41" s="5"/>
      <c r="AF41" s="5"/>
      <c r="AG41" s="5"/>
      <c r="AH41" s="5"/>
      <c r="AI41" s="5"/>
      <c r="AJ41" s="5"/>
      <c r="AK41" s="5"/>
    </row>
    <row r="42" spans="1:40" x14ac:dyDescent="0.3">
      <c r="B42" s="5"/>
      <c r="C42" s="5"/>
      <c r="D42" s="5"/>
      <c r="E42" s="5"/>
      <c r="F42" s="5"/>
      <c r="G42" s="5"/>
      <c r="H42" s="5"/>
      <c r="I42" s="5"/>
      <c r="J42" s="5"/>
      <c r="K42" s="5"/>
      <c r="L42" s="5"/>
      <c r="M42" s="5"/>
      <c r="N42" s="5"/>
      <c r="O42" s="5"/>
      <c r="P42" s="5"/>
      <c r="Q42" s="5"/>
      <c r="R42" s="5"/>
      <c r="S42" s="5"/>
      <c r="T42" s="5"/>
      <c r="U42" s="5"/>
      <c r="V42" s="5"/>
      <c r="W42" s="5"/>
      <c r="X42" s="5"/>
      <c r="Y42" s="5"/>
      <c r="Z42" s="5"/>
      <c r="AA42" s="5"/>
      <c r="AB42" s="5"/>
      <c r="AC42" s="5"/>
      <c r="AD42" s="5"/>
      <c r="AE42" s="5"/>
      <c r="AF42" s="5"/>
      <c r="AG42" s="5"/>
      <c r="AH42" s="5"/>
      <c r="AI42" s="5"/>
      <c r="AJ42" s="5"/>
      <c r="AK42" s="5"/>
    </row>
    <row r="43" spans="1:40" x14ac:dyDescent="0.3">
      <c r="B43" s="5"/>
      <c r="C43" s="5"/>
      <c r="D43" s="5"/>
      <c r="E43" s="5"/>
      <c r="F43" s="5"/>
      <c r="G43" s="5"/>
      <c r="H43" s="5"/>
      <c r="I43" s="5"/>
      <c r="J43" s="5"/>
      <c r="K43" s="5"/>
      <c r="L43" s="5"/>
      <c r="M43" s="5"/>
      <c r="N43" s="5"/>
      <c r="O43" s="5"/>
      <c r="P43" s="5"/>
      <c r="Q43" s="5"/>
      <c r="R43" s="5"/>
      <c r="S43" s="5"/>
      <c r="T43" s="5"/>
      <c r="U43" s="5"/>
      <c r="V43" s="5"/>
      <c r="W43" s="5"/>
      <c r="X43" s="5"/>
      <c r="Y43" s="5"/>
      <c r="Z43" s="5"/>
      <c r="AA43" s="5"/>
      <c r="AB43" s="5"/>
      <c r="AC43" s="5"/>
      <c r="AD43" s="5"/>
      <c r="AE43" s="5"/>
      <c r="AF43" s="5"/>
      <c r="AG43" s="5"/>
      <c r="AH43" s="5"/>
      <c r="AI43" s="5"/>
      <c r="AJ43" s="5"/>
      <c r="AK43" s="5"/>
    </row>
    <row r="44" spans="1:40" x14ac:dyDescent="0.3">
      <c r="B44" s="5"/>
      <c r="C44" s="5"/>
      <c r="D44" s="5"/>
      <c r="E44" s="5"/>
      <c r="F44" s="5"/>
      <c r="G44" s="5"/>
      <c r="H44" s="5"/>
      <c r="I44" s="5"/>
      <c r="J44" s="5"/>
      <c r="K44" s="5"/>
      <c r="L44" s="5"/>
      <c r="M44" s="5"/>
      <c r="N44" s="5"/>
      <c r="O44" s="5"/>
      <c r="P44" s="5"/>
      <c r="Q44" s="5"/>
      <c r="R44" s="5"/>
      <c r="S44" s="5"/>
      <c r="T44" s="5"/>
      <c r="U44" s="5"/>
      <c r="V44" s="5"/>
      <c r="W44" s="5"/>
      <c r="X44" s="5"/>
      <c r="Y44" s="5"/>
      <c r="Z44" s="5"/>
      <c r="AA44" s="5"/>
      <c r="AB44" s="5"/>
      <c r="AC44" s="5"/>
      <c r="AD44" s="5"/>
      <c r="AE44" s="5"/>
      <c r="AF44" s="5"/>
      <c r="AG44" s="5"/>
      <c r="AH44" s="5"/>
      <c r="AI44" s="5"/>
      <c r="AJ44" s="5"/>
      <c r="AK44" s="5"/>
    </row>
    <row r="45" spans="1:40" x14ac:dyDescent="0.3">
      <c r="B45" s="5"/>
      <c r="C45" s="5"/>
      <c r="D45" s="5"/>
      <c r="E45" s="5"/>
      <c r="F45" s="5"/>
      <c r="G45" s="5"/>
      <c r="H45" s="5"/>
      <c r="I45" s="5"/>
      <c r="J45" s="5"/>
      <c r="K45" s="5"/>
      <c r="L45" s="5"/>
      <c r="M45" s="5"/>
      <c r="N45" s="5"/>
      <c r="O45" s="5"/>
      <c r="P45" s="5"/>
      <c r="Q45" s="5"/>
      <c r="R45" s="5"/>
      <c r="S45" s="5"/>
      <c r="T45" s="5"/>
      <c r="U45" s="5"/>
      <c r="V45" s="5"/>
      <c r="W45" s="5"/>
      <c r="X45" s="5"/>
      <c r="Y45" s="5"/>
      <c r="Z45" s="5"/>
      <c r="AA45" s="5"/>
      <c r="AB45" s="5"/>
      <c r="AC45" s="5"/>
      <c r="AD45" s="5"/>
      <c r="AE45" s="5"/>
      <c r="AF45" s="5"/>
      <c r="AG45" s="5"/>
      <c r="AH45" s="5"/>
      <c r="AI45" s="5"/>
      <c r="AJ45" s="5"/>
      <c r="AK45" s="5"/>
    </row>
    <row r="46" spans="1:40" x14ac:dyDescent="0.3">
      <c r="B46" s="5"/>
      <c r="C46" s="5"/>
      <c r="D46" s="5"/>
      <c r="E46" s="5"/>
      <c r="F46" s="5"/>
      <c r="G46" s="5"/>
      <c r="H46" s="5"/>
      <c r="I46" s="5"/>
      <c r="J46" s="5"/>
      <c r="K46" s="5"/>
      <c r="L46" s="5"/>
      <c r="M46" s="5"/>
      <c r="N46" s="5"/>
      <c r="O46" s="5"/>
      <c r="P46" s="5"/>
      <c r="Q46" s="5"/>
      <c r="R46" s="5"/>
      <c r="S46" s="5"/>
      <c r="T46" s="5"/>
      <c r="U46" s="5"/>
      <c r="V46" s="5"/>
      <c r="W46" s="5"/>
      <c r="X46" s="5"/>
      <c r="Y46" s="5"/>
      <c r="Z46" s="5"/>
      <c r="AA46" s="5"/>
      <c r="AB46" s="5"/>
      <c r="AC46" s="5"/>
      <c r="AD46" s="5"/>
      <c r="AE46" s="5"/>
      <c r="AF46" s="5"/>
      <c r="AG46" s="5"/>
      <c r="AH46" s="5"/>
      <c r="AI46" s="5"/>
      <c r="AJ46" s="5"/>
      <c r="AK46" s="5"/>
    </row>
    <row r="47" spans="1:40" x14ac:dyDescent="0.3">
      <c r="B47" s="5"/>
      <c r="C47" s="5"/>
      <c r="D47" s="5"/>
      <c r="E47" s="5"/>
      <c r="F47" s="5"/>
      <c r="G47" s="5"/>
      <c r="H47" s="5"/>
      <c r="I47" s="5"/>
      <c r="J47" s="5"/>
      <c r="K47" s="5"/>
      <c r="L47" s="5"/>
      <c r="M47" s="5"/>
      <c r="N47" s="5"/>
      <c r="O47" s="5"/>
      <c r="P47" s="5"/>
      <c r="Q47" s="5"/>
      <c r="R47" s="5"/>
      <c r="S47" s="5"/>
      <c r="T47" s="5"/>
      <c r="U47" s="5"/>
      <c r="V47" s="5"/>
      <c r="W47" s="5"/>
      <c r="X47" s="5"/>
      <c r="Y47" s="5"/>
      <c r="Z47" s="5"/>
      <c r="AA47" s="5"/>
      <c r="AB47" s="5"/>
      <c r="AC47" s="5"/>
      <c r="AD47" s="5"/>
      <c r="AE47" s="5"/>
      <c r="AF47" s="5"/>
      <c r="AG47" s="5"/>
      <c r="AH47" s="5"/>
      <c r="AI47" s="5"/>
      <c r="AJ47" s="5"/>
      <c r="AK47" s="5"/>
    </row>
    <row r="48" spans="1:40" x14ac:dyDescent="0.3">
      <c r="B48" s="5"/>
      <c r="C48" s="5"/>
      <c r="D48" s="5"/>
      <c r="E48" s="5"/>
      <c r="F48" s="5"/>
      <c r="G48" s="5"/>
      <c r="H48" s="5"/>
      <c r="I48" s="5"/>
      <c r="J48" s="5"/>
      <c r="K48" s="5"/>
      <c r="L48" s="5"/>
      <c r="M48" s="5"/>
      <c r="N48" s="5"/>
      <c r="O48" s="5"/>
      <c r="P48" s="5"/>
      <c r="Q48" s="5"/>
      <c r="R48" s="5"/>
      <c r="S48" s="5"/>
      <c r="T48" s="5"/>
      <c r="U48" s="5"/>
      <c r="V48" s="5"/>
      <c r="W48" s="5"/>
      <c r="X48" s="5"/>
      <c r="Y48" s="5"/>
      <c r="Z48" s="5"/>
      <c r="AA48" s="5"/>
      <c r="AB48" s="5"/>
      <c r="AC48" s="5"/>
      <c r="AD48" s="5"/>
      <c r="AE48" s="5"/>
      <c r="AF48" s="5"/>
      <c r="AG48" s="5"/>
      <c r="AH48" s="5"/>
      <c r="AI48" s="5"/>
      <c r="AJ48" s="5"/>
      <c r="AK48" s="5"/>
    </row>
    <row r="49" spans="2:37" x14ac:dyDescent="0.3">
      <c r="B49" s="5"/>
      <c r="C49" s="5"/>
      <c r="D49" s="5"/>
      <c r="E49" s="5"/>
      <c r="F49" s="5"/>
      <c r="G49" s="5"/>
      <c r="H49" s="5"/>
      <c r="I49" s="5"/>
      <c r="J49" s="5"/>
      <c r="K49" s="5"/>
      <c r="L49" s="5"/>
      <c r="M49" s="5"/>
      <c r="N49" s="5"/>
      <c r="O49" s="5"/>
      <c r="P49" s="5"/>
      <c r="Q49" s="5"/>
      <c r="R49" s="5"/>
      <c r="S49" s="5"/>
      <c r="T49" s="5"/>
      <c r="U49" s="5"/>
      <c r="V49" s="5"/>
      <c r="W49" s="5"/>
      <c r="X49" s="5"/>
      <c r="Y49" s="5"/>
      <c r="Z49" s="5"/>
      <c r="AA49" s="5"/>
      <c r="AB49" s="5"/>
      <c r="AC49" s="5"/>
      <c r="AD49" s="5"/>
      <c r="AE49" s="5"/>
      <c r="AF49" s="5"/>
      <c r="AG49" s="5"/>
      <c r="AH49" s="5"/>
      <c r="AI49" s="5"/>
      <c r="AJ49" s="5"/>
      <c r="AK49" s="5"/>
    </row>
    <row r="50" spans="2:37" x14ac:dyDescent="0.3">
      <c r="B50" s="5"/>
      <c r="C50" s="5"/>
      <c r="D50" s="5"/>
      <c r="E50" s="5"/>
      <c r="F50" s="5"/>
      <c r="G50" s="5"/>
      <c r="H50" s="5"/>
      <c r="I50" s="5"/>
      <c r="J50" s="5"/>
      <c r="K50" s="5"/>
      <c r="L50" s="5"/>
      <c r="M50" s="5"/>
      <c r="N50" s="5"/>
      <c r="O50" s="5"/>
      <c r="P50" s="5"/>
      <c r="Q50" s="5"/>
      <c r="R50" s="5"/>
      <c r="S50" s="5"/>
      <c r="T50" s="5"/>
      <c r="U50" s="5"/>
      <c r="V50" s="5"/>
      <c r="W50" s="5"/>
      <c r="X50" s="5"/>
      <c r="Y50" s="5"/>
      <c r="Z50" s="5"/>
      <c r="AA50" s="5"/>
      <c r="AB50" s="5"/>
      <c r="AC50" s="5"/>
      <c r="AD50" s="5"/>
      <c r="AE50" s="5"/>
      <c r="AF50" s="5"/>
      <c r="AG50" s="5"/>
      <c r="AH50" s="5"/>
      <c r="AI50" s="5"/>
      <c r="AJ50" s="5"/>
      <c r="AK50" s="5"/>
    </row>
    <row r="51" spans="2:37" x14ac:dyDescent="0.3">
      <c r="B51" s="5"/>
      <c r="C51" s="5"/>
      <c r="D51" s="5"/>
      <c r="E51" s="5"/>
      <c r="F51" s="5"/>
      <c r="G51" s="5"/>
      <c r="H51" s="5"/>
      <c r="I51" s="5"/>
      <c r="J51" s="5"/>
      <c r="K51" s="5"/>
      <c r="L51" s="5"/>
      <c r="M51" s="5"/>
      <c r="N51" s="5"/>
      <c r="O51" s="5"/>
      <c r="P51" s="5"/>
      <c r="Q51" s="5"/>
      <c r="R51" s="5"/>
      <c r="S51" s="5"/>
      <c r="T51" s="5"/>
      <c r="U51" s="5"/>
      <c r="V51" s="5"/>
      <c r="W51" s="5"/>
      <c r="X51" s="5"/>
      <c r="Y51" s="5"/>
      <c r="Z51" s="5"/>
      <c r="AA51" s="5"/>
      <c r="AB51" s="5"/>
      <c r="AC51" s="5"/>
      <c r="AD51" s="5"/>
      <c r="AE51" s="5"/>
      <c r="AF51" s="5"/>
      <c r="AG51" s="5"/>
      <c r="AH51" s="5"/>
      <c r="AI51" s="5"/>
      <c r="AJ51" s="5"/>
      <c r="AK51" s="5"/>
    </row>
    <row r="52" spans="2:37" x14ac:dyDescent="0.3">
      <c r="B52" s="5"/>
      <c r="C52" s="5"/>
      <c r="D52" s="5"/>
      <c r="E52" s="5"/>
      <c r="F52" s="5"/>
      <c r="G52" s="5"/>
      <c r="H52" s="5"/>
      <c r="I52" s="5"/>
      <c r="J52" s="5"/>
      <c r="K52" s="5"/>
      <c r="L52" s="5"/>
      <c r="M52" s="5"/>
      <c r="N52" s="5"/>
      <c r="O52" s="5"/>
      <c r="P52" s="5"/>
      <c r="Q52" s="5"/>
      <c r="R52" s="5"/>
      <c r="S52" s="5"/>
      <c r="T52" s="5"/>
      <c r="U52" s="5"/>
      <c r="V52" s="5"/>
      <c r="W52" s="5"/>
      <c r="X52" s="5"/>
      <c r="Y52" s="5"/>
      <c r="Z52" s="5"/>
      <c r="AA52" s="5"/>
      <c r="AB52" s="5"/>
      <c r="AC52" s="5"/>
      <c r="AD52" s="5"/>
      <c r="AE52" s="5"/>
      <c r="AF52" s="5"/>
      <c r="AG52" s="5"/>
      <c r="AH52" s="5"/>
      <c r="AI52" s="5"/>
      <c r="AJ52" s="5"/>
      <c r="AK52" s="5"/>
    </row>
    <row r="53" spans="2:37" x14ac:dyDescent="0.3">
      <c r="B53" s="5"/>
      <c r="C53" s="5"/>
      <c r="D53" s="5"/>
      <c r="E53" s="5"/>
      <c r="F53" s="5"/>
      <c r="G53" s="5"/>
      <c r="H53" s="5"/>
      <c r="I53" s="5"/>
      <c r="J53" s="5"/>
      <c r="K53" s="5"/>
      <c r="L53" s="5"/>
      <c r="M53" s="5"/>
      <c r="N53" s="5"/>
      <c r="O53" s="5"/>
      <c r="P53" s="5"/>
      <c r="Q53" s="5"/>
      <c r="R53" s="5"/>
      <c r="S53" s="5"/>
      <c r="T53" s="5"/>
      <c r="U53" s="5"/>
      <c r="V53" s="5"/>
      <c r="W53" s="5"/>
      <c r="X53" s="5"/>
      <c r="Y53" s="5"/>
      <c r="Z53" s="5"/>
      <c r="AA53" s="5"/>
      <c r="AB53" s="5"/>
      <c r="AC53" s="5"/>
      <c r="AD53" s="5"/>
      <c r="AE53" s="5"/>
      <c r="AF53" s="5"/>
      <c r="AG53" s="5"/>
      <c r="AH53" s="5"/>
      <c r="AI53" s="5"/>
      <c r="AJ53" s="5"/>
      <c r="AK53" s="5"/>
    </row>
    <row r="54" spans="2:37" x14ac:dyDescent="0.3">
      <c r="B54" s="5"/>
      <c r="C54" s="5"/>
      <c r="D54" s="5"/>
      <c r="E54" s="5"/>
      <c r="F54" s="5"/>
      <c r="G54" s="5"/>
      <c r="H54" s="5"/>
      <c r="I54" s="5"/>
      <c r="J54" s="5"/>
      <c r="K54" s="5"/>
      <c r="L54" s="5"/>
      <c r="M54" s="5"/>
      <c r="N54" s="5"/>
      <c r="O54" s="5"/>
      <c r="P54" s="5"/>
      <c r="Q54" s="5"/>
      <c r="R54" s="5"/>
      <c r="S54" s="5"/>
      <c r="T54" s="5"/>
      <c r="U54" s="5"/>
      <c r="V54" s="5"/>
      <c r="W54" s="5"/>
      <c r="X54" s="5"/>
      <c r="Y54" s="5"/>
      <c r="Z54" s="5"/>
      <c r="AA54" s="5"/>
      <c r="AB54" s="5"/>
      <c r="AC54" s="5"/>
      <c r="AD54" s="5"/>
      <c r="AE54" s="5"/>
      <c r="AF54" s="5"/>
      <c r="AG54" s="5"/>
      <c r="AH54" s="5"/>
      <c r="AI54" s="5"/>
      <c r="AJ54" s="5"/>
      <c r="AK54" s="5"/>
    </row>
    <row r="55" spans="2:37" x14ac:dyDescent="0.3">
      <c r="B55" s="5"/>
      <c r="C55" s="5"/>
      <c r="D55" s="5"/>
      <c r="E55" s="5"/>
      <c r="F55" s="5"/>
      <c r="G55" s="5"/>
      <c r="H55" s="5"/>
      <c r="I55" s="5"/>
      <c r="J55" s="5"/>
      <c r="K55" s="5"/>
      <c r="L55" s="5"/>
      <c r="M55" s="5"/>
      <c r="N55" s="5"/>
      <c r="O55" s="5"/>
      <c r="P55" s="5"/>
      <c r="Q55" s="5"/>
      <c r="R55" s="5"/>
      <c r="S55" s="5"/>
      <c r="T55" s="5"/>
      <c r="U55" s="5"/>
      <c r="V55" s="5"/>
      <c r="W55" s="5"/>
      <c r="X55" s="5"/>
      <c r="Y55" s="5"/>
      <c r="Z55" s="5"/>
      <c r="AA55" s="5"/>
      <c r="AB55" s="5"/>
      <c r="AC55" s="5"/>
      <c r="AD55" s="5"/>
      <c r="AE55" s="5"/>
      <c r="AF55" s="5"/>
      <c r="AG55" s="5"/>
      <c r="AH55" s="5"/>
      <c r="AI55" s="5"/>
      <c r="AJ55" s="5"/>
      <c r="AK55" s="5"/>
    </row>
    <row r="56" spans="2:37" x14ac:dyDescent="0.3">
      <c r="B56" s="5"/>
      <c r="C56" s="5"/>
      <c r="D56" s="5"/>
      <c r="E56" s="5"/>
      <c r="F56" s="5"/>
      <c r="G56" s="5"/>
      <c r="H56" s="5"/>
      <c r="I56" s="5"/>
      <c r="J56" s="5"/>
      <c r="K56" s="5"/>
      <c r="L56" s="5"/>
      <c r="M56" s="5"/>
      <c r="N56" s="5"/>
      <c r="O56" s="5"/>
      <c r="P56" s="5"/>
      <c r="Q56" s="5"/>
      <c r="R56" s="5"/>
      <c r="S56" s="5"/>
      <c r="T56" s="5"/>
      <c r="U56" s="5"/>
      <c r="V56" s="5"/>
      <c r="W56" s="5"/>
      <c r="X56" s="5"/>
      <c r="Y56" s="5"/>
      <c r="Z56" s="5"/>
      <c r="AA56" s="5"/>
      <c r="AB56" s="5"/>
      <c r="AC56" s="5"/>
      <c r="AD56" s="5"/>
      <c r="AE56" s="5"/>
      <c r="AF56" s="5"/>
      <c r="AG56" s="5"/>
      <c r="AH56" s="5"/>
      <c r="AI56" s="5"/>
      <c r="AJ56" s="5"/>
      <c r="AK56" s="5"/>
    </row>
    <row r="57" spans="2:37" x14ac:dyDescent="0.3">
      <c r="B57" s="5"/>
      <c r="C57" s="5"/>
      <c r="D57" s="5"/>
      <c r="E57" s="5"/>
      <c r="F57" s="5"/>
      <c r="G57" s="5"/>
      <c r="H57" s="5"/>
      <c r="I57" s="5"/>
      <c r="J57" s="5"/>
      <c r="K57" s="5"/>
      <c r="L57" s="5"/>
      <c r="M57" s="5"/>
      <c r="N57" s="5"/>
      <c r="O57" s="5"/>
      <c r="P57" s="5"/>
      <c r="Q57" s="5"/>
      <c r="R57" s="5"/>
      <c r="S57" s="5"/>
      <c r="T57" s="5"/>
      <c r="U57" s="5"/>
      <c r="V57" s="5"/>
      <c r="W57" s="5"/>
      <c r="X57" s="5"/>
      <c r="Y57" s="5"/>
      <c r="Z57" s="5"/>
      <c r="AA57" s="5"/>
      <c r="AB57" s="5"/>
      <c r="AC57" s="5"/>
      <c r="AD57" s="5"/>
      <c r="AE57" s="5"/>
      <c r="AF57" s="5"/>
      <c r="AG57" s="5"/>
      <c r="AH57" s="5"/>
      <c r="AI57" s="5"/>
      <c r="AJ57" s="5"/>
      <c r="AK57" s="5"/>
    </row>
    <row r="58" spans="2:37" x14ac:dyDescent="0.3">
      <c r="B58" s="5"/>
      <c r="C58" s="5"/>
      <c r="D58" s="5"/>
      <c r="E58" s="5"/>
      <c r="F58" s="5"/>
      <c r="G58" s="5"/>
      <c r="H58" s="5"/>
      <c r="I58" s="5"/>
      <c r="J58" s="5"/>
      <c r="K58" s="5"/>
      <c r="L58" s="5"/>
      <c r="M58" s="5"/>
      <c r="N58" s="5"/>
      <c r="O58" s="5"/>
      <c r="P58" s="5"/>
      <c r="Q58" s="5"/>
      <c r="R58" s="5"/>
      <c r="S58" s="5"/>
      <c r="T58" s="5"/>
      <c r="U58" s="5"/>
      <c r="V58" s="5"/>
      <c r="W58" s="5"/>
      <c r="X58" s="5"/>
      <c r="Y58" s="5"/>
      <c r="Z58" s="5"/>
      <c r="AA58" s="5"/>
      <c r="AB58" s="5"/>
      <c r="AC58" s="5"/>
      <c r="AD58" s="5"/>
      <c r="AE58" s="5"/>
      <c r="AF58" s="5"/>
      <c r="AG58" s="5"/>
      <c r="AH58" s="5"/>
      <c r="AI58" s="5"/>
      <c r="AJ58" s="5"/>
      <c r="AK58" s="5"/>
    </row>
    <row r="59" spans="2:37" x14ac:dyDescent="0.3">
      <c r="B59" s="5"/>
      <c r="C59" s="5"/>
      <c r="D59" s="5"/>
      <c r="E59" s="5"/>
      <c r="F59" s="5"/>
      <c r="G59" s="5"/>
      <c r="H59" s="5"/>
      <c r="I59" s="5"/>
      <c r="J59" s="5"/>
      <c r="K59" s="5"/>
      <c r="L59" s="5"/>
      <c r="M59" s="5"/>
      <c r="N59" s="5"/>
      <c r="O59" s="5"/>
      <c r="P59" s="5"/>
      <c r="Q59" s="5"/>
      <c r="R59" s="5"/>
      <c r="S59" s="5"/>
      <c r="T59" s="5"/>
      <c r="U59" s="5"/>
      <c r="V59" s="5"/>
      <c r="W59" s="5"/>
      <c r="X59" s="5"/>
      <c r="Y59" s="5"/>
      <c r="Z59" s="5"/>
      <c r="AA59" s="5"/>
      <c r="AB59" s="5"/>
      <c r="AC59" s="5"/>
      <c r="AD59" s="5"/>
      <c r="AE59" s="5"/>
      <c r="AF59" s="5"/>
      <c r="AG59" s="5"/>
      <c r="AH59" s="5"/>
      <c r="AI59" s="5"/>
      <c r="AJ59" s="5"/>
      <c r="AK59" s="5"/>
    </row>
    <row r="60" spans="2:37" x14ac:dyDescent="0.3">
      <c r="B60" s="5"/>
      <c r="C60" s="5"/>
      <c r="D60" s="5"/>
      <c r="E60" s="5"/>
      <c r="F60" s="5"/>
      <c r="G60" s="5"/>
      <c r="H60" s="5"/>
      <c r="I60" s="5"/>
      <c r="J60" s="5"/>
      <c r="K60" s="5"/>
      <c r="L60" s="5"/>
      <c r="M60" s="5"/>
      <c r="N60" s="5"/>
      <c r="O60" s="5"/>
      <c r="P60" s="5"/>
      <c r="Q60" s="5"/>
      <c r="R60" s="5"/>
      <c r="S60" s="5"/>
      <c r="T60" s="5"/>
      <c r="U60" s="5"/>
      <c r="V60" s="5"/>
      <c r="W60" s="5"/>
      <c r="X60" s="5"/>
      <c r="Y60" s="5"/>
      <c r="Z60" s="5"/>
      <c r="AA60" s="5"/>
      <c r="AB60" s="5"/>
      <c r="AC60" s="5"/>
      <c r="AD60" s="5"/>
      <c r="AE60" s="5"/>
      <c r="AF60" s="5"/>
      <c r="AG60" s="5"/>
      <c r="AH60" s="5"/>
      <c r="AI60" s="5"/>
      <c r="AJ60" s="5"/>
      <c r="AK60" s="5"/>
    </row>
    <row r="61" spans="2:37" x14ac:dyDescent="0.3">
      <c r="B61" s="5"/>
      <c r="C61" s="5"/>
      <c r="D61" s="5"/>
      <c r="E61" s="5"/>
      <c r="F61" s="5"/>
      <c r="G61" s="5"/>
      <c r="H61" s="5"/>
      <c r="I61" s="5"/>
      <c r="J61" s="5"/>
      <c r="K61" s="5"/>
      <c r="L61" s="5"/>
      <c r="M61" s="5"/>
      <c r="N61" s="5"/>
      <c r="O61" s="5"/>
      <c r="P61" s="5"/>
      <c r="Q61" s="5"/>
      <c r="R61" s="5"/>
      <c r="S61" s="5"/>
      <c r="T61" s="5"/>
      <c r="U61" s="5"/>
      <c r="V61" s="5"/>
      <c r="W61" s="5"/>
      <c r="X61" s="5"/>
      <c r="Y61" s="5"/>
      <c r="Z61" s="5"/>
      <c r="AA61" s="5"/>
      <c r="AB61" s="5"/>
      <c r="AC61" s="5"/>
      <c r="AD61" s="5"/>
      <c r="AE61" s="5"/>
      <c r="AF61" s="5"/>
      <c r="AG61" s="5"/>
      <c r="AH61" s="5"/>
      <c r="AI61" s="5"/>
      <c r="AJ61" s="5"/>
      <c r="AK61" s="5"/>
    </row>
    <row r="62" spans="2:37" x14ac:dyDescent="0.3">
      <c r="B62" s="5"/>
      <c r="C62" s="5"/>
      <c r="D62" s="5"/>
      <c r="E62" s="5"/>
      <c r="F62" s="5"/>
      <c r="G62" s="5"/>
      <c r="H62" s="5"/>
      <c r="I62" s="5"/>
      <c r="J62" s="5"/>
      <c r="K62" s="5"/>
      <c r="L62" s="5"/>
      <c r="M62" s="5"/>
      <c r="N62" s="5"/>
      <c r="O62" s="5"/>
      <c r="P62" s="5"/>
      <c r="Q62" s="5"/>
      <c r="R62" s="5"/>
      <c r="S62" s="5"/>
      <c r="T62" s="5"/>
      <c r="U62" s="5"/>
      <c r="V62" s="5"/>
      <c r="W62" s="5"/>
      <c r="X62" s="5"/>
      <c r="Y62" s="5"/>
      <c r="Z62" s="5"/>
      <c r="AA62" s="5"/>
      <c r="AB62" s="5"/>
      <c r="AC62" s="5"/>
      <c r="AD62" s="5"/>
      <c r="AE62" s="5"/>
      <c r="AF62" s="5"/>
      <c r="AG62" s="5"/>
      <c r="AH62" s="5"/>
      <c r="AI62" s="5"/>
      <c r="AJ62" s="5"/>
      <c r="AK62" s="5"/>
    </row>
    <row r="63" spans="2:37" x14ac:dyDescent="0.3">
      <c r="B63" s="5"/>
      <c r="C63" s="5"/>
      <c r="D63" s="5"/>
      <c r="E63" s="5"/>
      <c r="F63" s="5"/>
      <c r="G63" s="5"/>
      <c r="H63" s="5"/>
      <c r="I63" s="5"/>
      <c r="J63" s="5"/>
      <c r="K63" s="5"/>
      <c r="L63" s="5"/>
      <c r="M63" s="5"/>
      <c r="N63" s="5"/>
      <c r="O63" s="5"/>
      <c r="P63" s="5"/>
      <c r="Q63" s="5"/>
      <c r="R63" s="5"/>
      <c r="S63" s="5"/>
      <c r="T63" s="5"/>
      <c r="U63" s="5"/>
      <c r="V63" s="5"/>
      <c r="W63" s="5"/>
      <c r="X63" s="5"/>
      <c r="Y63" s="5"/>
      <c r="Z63" s="5"/>
      <c r="AA63" s="5"/>
      <c r="AB63" s="5"/>
      <c r="AC63" s="5"/>
      <c r="AD63" s="5"/>
      <c r="AE63" s="5"/>
      <c r="AF63" s="5"/>
      <c r="AG63" s="5"/>
      <c r="AH63" s="5"/>
      <c r="AI63" s="5"/>
      <c r="AJ63" s="5"/>
      <c r="AK63" s="5"/>
    </row>
    <row r="64" spans="2:37" x14ac:dyDescent="0.3">
      <c r="B64" s="5"/>
      <c r="C64" s="5"/>
      <c r="D64" s="5"/>
      <c r="E64" s="5"/>
      <c r="F64" s="5"/>
      <c r="G64" s="5"/>
      <c r="H64" s="5"/>
      <c r="I64" s="5"/>
      <c r="J64" s="5"/>
      <c r="K64" s="5"/>
      <c r="L64" s="5"/>
      <c r="M64" s="5"/>
      <c r="N64" s="5"/>
      <c r="O64" s="5"/>
      <c r="P64" s="5"/>
      <c r="Q64" s="5"/>
      <c r="R64" s="5"/>
      <c r="S64" s="5"/>
      <c r="T64" s="5"/>
      <c r="U64" s="5"/>
      <c r="V64" s="5"/>
      <c r="W64" s="5"/>
      <c r="X64" s="5"/>
      <c r="Y64" s="5"/>
      <c r="Z64" s="5"/>
      <c r="AA64" s="5"/>
      <c r="AB64" s="5"/>
      <c r="AC64" s="5"/>
      <c r="AD64" s="5"/>
      <c r="AE64" s="5"/>
      <c r="AF64" s="5"/>
      <c r="AG64" s="5"/>
      <c r="AH64" s="5"/>
      <c r="AI64" s="5"/>
      <c r="AJ64" s="5"/>
      <c r="AK64" s="5"/>
    </row>
    <row r="65" spans="2:37" x14ac:dyDescent="0.3">
      <c r="B65" s="5"/>
      <c r="C65" s="5"/>
      <c r="D65" s="5"/>
      <c r="E65" s="5"/>
      <c r="F65" s="5"/>
      <c r="G65" s="5"/>
      <c r="H65" s="5"/>
      <c r="I65" s="5"/>
      <c r="J65" s="5"/>
      <c r="K65" s="5"/>
      <c r="L65" s="5"/>
      <c r="M65" s="5"/>
      <c r="N65" s="5"/>
      <c r="O65" s="5"/>
      <c r="P65" s="5"/>
      <c r="Q65" s="5"/>
      <c r="R65" s="5"/>
      <c r="S65" s="5"/>
      <c r="T65" s="5"/>
      <c r="U65" s="5"/>
      <c r="V65" s="5"/>
      <c r="W65" s="5"/>
      <c r="X65" s="5"/>
      <c r="Y65" s="5"/>
      <c r="Z65" s="5"/>
      <c r="AA65" s="5"/>
      <c r="AB65" s="5"/>
      <c r="AC65" s="5"/>
      <c r="AD65" s="5"/>
      <c r="AE65" s="5"/>
      <c r="AF65" s="5"/>
      <c r="AG65" s="5"/>
      <c r="AH65" s="5"/>
      <c r="AI65" s="5"/>
      <c r="AJ65" s="5"/>
      <c r="AK65" s="5"/>
    </row>
    <row r="66" spans="2:37" x14ac:dyDescent="0.3">
      <c r="B66" s="5"/>
      <c r="C66" s="5"/>
      <c r="D66" s="5"/>
      <c r="E66" s="5"/>
      <c r="F66" s="5"/>
      <c r="G66" s="5"/>
      <c r="H66" s="5"/>
      <c r="I66" s="5"/>
      <c r="J66" s="5"/>
      <c r="K66" s="5"/>
      <c r="L66" s="5"/>
      <c r="M66" s="5"/>
      <c r="N66" s="5"/>
      <c r="O66" s="5"/>
      <c r="P66" s="5"/>
      <c r="Q66" s="5"/>
      <c r="R66" s="5"/>
      <c r="S66" s="5"/>
      <c r="T66" s="5"/>
      <c r="U66" s="5"/>
      <c r="V66" s="5"/>
      <c r="W66" s="5"/>
      <c r="X66" s="5"/>
      <c r="Y66" s="5"/>
      <c r="Z66" s="5"/>
      <c r="AA66" s="5"/>
      <c r="AB66" s="5"/>
      <c r="AC66" s="5"/>
      <c r="AD66" s="5"/>
      <c r="AE66" s="5"/>
      <c r="AF66" s="5"/>
      <c r="AG66" s="5"/>
      <c r="AH66" s="5"/>
      <c r="AI66" s="5"/>
      <c r="AJ66" s="5"/>
      <c r="AK66" s="5"/>
    </row>
    <row r="67" spans="2:37" x14ac:dyDescent="0.3">
      <c r="B67" s="5"/>
      <c r="C67" s="5"/>
      <c r="D67" s="5"/>
      <c r="E67" s="5"/>
      <c r="F67" s="5"/>
      <c r="G67" s="5"/>
      <c r="H67" s="5"/>
      <c r="I67" s="5"/>
      <c r="J67" s="5"/>
      <c r="K67" s="5"/>
      <c r="L67" s="5"/>
      <c r="M67" s="5"/>
      <c r="N67" s="5"/>
      <c r="O67" s="5"/>
      <c r="P67" s="5"/>
      <c r="Q67" s="5"/>
      <c r="R67" s="5"/>
      <c r="S67" s="5"/>
      <c r="T67" s="5"/>
      <c r="U67" s="5"/>
      <c r="V67" s="5"/>
      <c r="W67" s="5"/>
      <c r="X67" s="5"/>
      <c r="Y67" s="5"/>
      <c r="Z67" s="5"/>
      <c r="AA67" s="5"/>
      <c r="AB67" s="5"/>
      <c r="AC67" s="5"/>
      <c r="AD67" s="5"/>
      <c r="AE67" s="5"/>
      <c r="AF67" s="5"/>
      <c r="AG67" s="5"/>
      <c r="AH67" s="5"/>
      <c r="AI67" s="5"/>
      <c r="AJ67" s="5"/>
      <c r="AK67" s="5"/>
    </row>
    <row r="68" spans="2:37" x14ac:dyDescent="0.3">
      <c r="B68" s="5"/>
      <c r="C68" s="5"/>
      <c r="D68" s="5"/>
      <c r="E68" s="5"/>
      <c r="F68" s="5"/>
      <c r="G68" s="5"/>
      <c r="H68" s="5"/>
      <c r="I68" s="5"/>
      <c r="J68" s="5"/>
      <c r="K68" s="5"/>
      <c r="L68" s="5"/>
      <c r="M68" s="5"/>
      <c r="N68" s="5"/>
      <c r="O68" s="5"/>
      <c r="P68" s="5"/>
      <c r="Q68" s="5"/>
      <c r="R68" s="5"/>
      <c r="S68" s="5"/>
      <c r="T68" s="5"/>
      <c r="U68" s="5"/>
      <c r="V68" s="5"/>
      <c r="W68" s="5"/>
      <c r="X68" s="5"/>
      <c r="Y68" s="5"/>
      <c r="Z68" s="5"/>
      <c r="AA68" s="5"/>
      <c r="AB68" s="5"/>
      <c r="AC68" s="5"/>
      <c r="AD68" s="5"/>
      <c r="AE68" s="5"/>
      <c r="AF68" s="5"/>
      <c r="AG68" s="5"/>
      <c r="AH68" s="5"/>
      <c r="AI68" s="5"/>
      <c r="AJ68" s="5"/>
      <c r="AK68" s="5"/>
    </row>
    <row r="69" spans="2:37" x14ac:dyDescent="0.3">
      <c r="B69" s="5"/>
      <c r="C69" s="5"/>
      <c r="D69" s="5"/>
      <c r="E69" s="5"/>
      <c r="F69" s="5"/>
      <c r="G69" s="5"/>
      <c r="H69" s="5"/>
      <c r="I69" s="5"/>
      <c r="J69" s="5"/>
      <c r="K69" s="5"/>
      <c r="L69" s="5"/>
      <c r="M69" s="5"/>
      <c r="N69" s="5"/>
      <c r="O69" s="5"/>
      <c r="P69" s="5"/>
      <c r="Q69" s="5"/>
      <c r="R69" s="5"/>
      <c r="S69" s="5"/>
      <c r="T69" s="5"/>
      <c r="U69" s="5"/>
      <c r="V69" s="5"/>
      <c r="W69" s="5"/>
      <c r="X69" s="5"/>
      <c r="Y69" s="5"/>
      <c r="Z69" s="5"/>
      <c r="AA69" s="5"/>
      <c r="AB69" s="5"/>
      <c r="AC69" s="5"/>
      <c r="AD69" s="5"/>
      <c r="AE69" s="5"/>
      <c r="AF69" s="5"/>
      <c r="AG69" s="5"/>
      <c r="AH69" s="5"/>
      <c r="AI69" s="5"/>
      <c r="AJ69" s="5"/>
      <c r="AK69" s="5"/>
    </row>
    <row r="70" spans="2:37" x14ac:dyDescent="0.3">
      <c r="B70" s="5"/>
      <c r="C70" s="5"/>
      <c r="D70" s="5"/>
      <c r="E70" s="5"/>
      <c r="F70" s="5"/>
      <c r="G70" s="5"/>
      <c r="H70" s="5"/>
      <c r="I70" s="5"/>
      <c r="J70" s="5"/>
      <c r="K70" s="5"/>
      <c r="L70" s="5"/>
      <c r="M70" s="5"/>
      <c r="N70" s="5"/>
      <c r="O70" s="5"/>
      <c r="P70" s="5"/>
      <c r="Q70" s="5"/>
      <c r="R70" s="5"/>
      <c r="S70" s="5"/>
      <c r="T70" s="5"/>
      <c r="U70" s="5"/>
      <c r="V70" s="5"/>
      <c r="W70" s="5"/>
      <c r="X70" s="5"/>
      <c r="Y70" s="5"/>
      <c r="Z70" s="5"/>
      <c r="AA70" s="5"/>
      <c r="AB70" s="5"/>
      <c r="AC70" s="5"/>
      <c r="AD70" s="5"/>
      <c r="AE70" s="5"/>
      <c r="AF70" s="5"/>
      <c r="AG70" s="5"/>
      <c r="AH70" s="5"/>
      <c r="AI70" s="5"/>
      <c r="AJ70" s="5"/>
      <c r="AK70" s="5"/>
    </row>
    <row r="71" spans="2:37" x14ac:dyDescent="0.3">
      <c r="B71" s="5"/>
      <c r="C71" s="5"/>
      <c r="D71" s="5"/>
      <c r="E71" s="5"/>
      <c r="F71" s="5"/>
      <c r="G71" s="5"/>
      <c r="H71" s="5"/>
      <c r="I71" s="5"/>
      <c r="J71" s="5"/>
      <c r="K71" s="5"/>
      <c r="L71" s="5"/>
      <c r="M71" s="5"/>
      <c r="N71" s="5"/>
      <c r="O71" s="5"/>
      <c r="P71" s="5"/>
      <c r="Q71" s="5"/>
      <c r="R71" s="5"/>
      <c r="S71" s="5"/>
      <c r="T71" s="5"/>
      <c r="U71" s="5"/>
      <c r="V71" s="5"/>
      <c r="W71" s="5"/>
      <c r="X71" s="5"/>
      <c r="Y71" s="5"/>
      <c r="Z71" s="5"/>
      <c r="AA71" s="5"/>
      <c r="AB71" s="5"/>
      <c r="AC71" s="5"/>
      <c r="AD71" s="5"/>
      <c r="AE71" s="5"/>
      <c r="AF71" s="5"/>
      <c r="AG71" s="5"/>
      <c r="AH71" s="5"/>
      <c r="AI71" s="5"/>
      <c r="AJ71" s="5"/>
      <c r="AK71" s="5"/>
    </row>
    <row r="72" spans="2:37" x14ac:dyDescent="0.3">
      <c r="B72" s="5"/>
      <c r="C72" s="5"/>
      <c r="D72" s="5"/>
      <c r="E72" s="5"/>
      <c r="F72" s="5"/>
      <c r="G72" s="5"/>
      <c r="H72" s="5"/>
      <c r="I72" s="5"/>
      <c r="J72" s="5"/>
      <c r="K72" s="5"/>
      <c r="L72" s="5"/>
      <c r="M72" s="5"/>
      <c r="N72" s="5"/>
      <c r="O72" s="5"/>
      <c r="P72" s="5"/>
      <c r="Q72" s="5"/>
      <c r="R72" s="5"/>
      <c r="S72" s="5"/>
      <c r="T72" s="5"/>
      <c r="U72" s="5"/>
      <c r="V72" s="5"/>
      <c r="W72" s="5"/>
      <c r="X72" s="5"/>
      <c r="Y72" s="5"/>
      <c r="Z72" s="5"/>
      <c r="AA72" s="5"/>
      <c r="AB72" s="5"/>
      <c r="AC72" s="5"/>
      <c r="AD72" s="5"/>
      <c r="AE72" s="5"/>
      <c r="AF72" s="5"/>
      <c r="AG72" s="5"/>
      <c r="AH72" s="5"/>
      <c r="AI72" s="5"/>
      <c r="AJ72" s="5"/>
      <c r="AK72" s="5"/>
    </row>
    <row r="73" spans="2:37" x14ac:dyDescent="0.3">
      <c r="B73" s="5"/>
      <c r="C73" s="5"/>
      <c r="D73" s="5"/>
      <c r="E73" s="5"/>
      <c r="F73" s="5"/>
      <c r="G73" s="5"/>
      <c r="H73" s="5"/>
      <c r="I73" s="5"/>
      <c r="J73" s="5"/>
      <c r="K73" s="5"/>
      <c r="L73" s="5"/>
      <c r="M73" s="5"/>
      <c r="N73" s="5"/>
      <c r="O73" s="5"/>
      <c r="P73" s="5"/>
      <c r="Q73" s="5"/>
      <c r="R73" s="5"/>
      <c r="S73" s="5"/>
      <c r="T73" s="5"/>
      <c r="U73" s="5"/>
      <c r="V73" s="5"/>
      <c r="W73" s="5"/>
      <c r="X73" s="5"/>
      <c r="Y73" s="5"/>
      <c r="Z73" s="5"/>
      <c r="AA73" s="5"/>
      <c r="AB73" s="5"/>
      <c r="AC73" s="5"/>
      <c r="AD73" s="5"/>
      <c r="AE73" s="5"/>
      <c r="AF73" s="5"/>
      <c r="AG73" s="5"/>
      <c r="AH73" s="5"/>
      <c r="AI73" s="5"/>
      <c r="AJ73" s="5"/>
      <c r="AK73" s="5"/>
    </row>
    <row r="74" spans="2:37" x14ac:dyDescent="0.3">
      <c r="B74" s="5"/>
      <c r="C74" s="5"/>
      <c r="D74" s="5"/>
      <c r="E74" s="5"/>
      <c r="F74" s="5"/>
      <c r="G74" s="5"/>
      <c r="H74" s="5"/>
      <c r="I74" s="5"/>
      <c r="J74" s="5"/>
      <c r="K74" s="5"/>
      <c r="L74" s="5"/>
      <c r="M74" s="5"/>
      <c r="N74" s="5"/>
      <c r="O74" s="5"/>
      <c r="P74" s="5"/>
      <c r="Q74" s="5"/>
      <c r="R74" s="5"/>
      <c r="S74" s="5"/>
      <c r="T74" s="5"/>
      <c r="U74" s="5"/>
      <c r="V74" s="5"/>
      <c r="W74" s="5"/>
      <c r="X74" s="5"/>
      <c r="Y74" s="5"/>
      <c r="Z74" s="5"/>
      <c r="AA74" s="5"/>
      <c r="AB74" s="5"/>
      <c r="AC74" s="5"/>
      <c r="AD74" s="5"/>
      <c r="AE74" s="5"/>
      <c r="AF74" s="5"/>
      <c r="AG74" s="5"/>
      <c r="AH74" s="5"/>
      <c r="AI74" s="5"/>
      <c r="AJ74" s="5"/>
      <c r="AK74" s="5"/>
    </row>
    <row r="75" spans="2:37" x14ac:dyDescent="0.3">
      <c r="B75" s="5"/>
      <c r="C75" s="5"/>
      <c r="D75" s="5"/>
      <c r="E75" s="5"/>
      <c r="F75" s="5"/>
      <c r="G75" s="5"/>
      <c r="H75" s="5"/>
      <c r="I75" s="5"/>
      <c r="J75" s="5"/>
      <c r="K75" s="5"/>
      <c r="L75" s="5"/>
      <c r="M75" s="5"/>
      <c r="N75" s="5"/>
      <c r="O75" s="5"/>
      <c r="P75" s="5"/>
      <c r="Q75" s="5"/>
      <c r="R75" s="5"/>
      <c r="S75" s="5"/>
      <c r="T75" s="5"/>
      <c r="U75" s="5"/>
      <c r="V75" s="5"/>
      <c r="W75" s="5"/>
      <c r="X75" s="5"/>
      <c r="Y75" s="5"/>
      <c r="Z75" s="5"/>
      <c r="AA75" s="5"/>
      <c r="AB75" s="5"/>
      <c r="AC75" s="5"/>
      <c r="AD75" s="5"/>
      <c r="AE75" s="5"/>
      <c r="AF75" s="5"/>
      <c r="AG75" s="5"/>
      <c r="AH75" s="5"/>
      <c r="AI75" s="5"/>
      <c r="AJ75" s="5"/>
      <c r="AK75" s="5"/>
    </row>
    <row r="76" spans="2:37" x14ac:dyDescent="0.3">
      <c r="B76" s="5"/>
      <c r="C76" s="5"/>
      <c r="D76" s="5"/>
      <c r="E76" s="5"/>
      <c r="F76" s="5"/>
      <c r="G76" s="5"/>
      <c r="H76" s="5"/>
      <c r="I76" s="5"/>
      <c r="J76" s="5"/>
      <c r="K76" s="5"/>
      <c r="L76" s="5"/>
      <c r="M76" s="5"/>
      <c r="N76" s="5"/>
      <c r="O76" s="5"/>
      <c r="P76" s="5"/>
      <c r="Q76" s="5"/>
      <c r="R76" s="5"/>
      <c r="S76" s="5"/>
      <c r="T76" s="5"/>
      <c r="U76" s="5"/>
      <c r="V76" s="5"/>
      <c r="W76" s="5"/>
      <c r="X76" s="5"/>
      <c r="Y76" s="5"/>
      <c r="Z76" s="5"/>
      <c r="AA76" s="5"/>
      <c r="AB76" s="5"/>
      <c r="AC76" s="5"/>
      <c r="AD76" s="5"/>
      <c r="AE76" s="5"/>
      <c r="AF76" s="5"/>
      <c r="AG76" s="5"/>
      <c r="AH76" s="5"/>
      <c r="AI76" s="5"/>
      <c r="AJ76" s="5"/>
      <c r="AK76" s="5"/>
    </row>
    <row r="77" spans="2:37" x14ac:dyDescent="0.3">
      <c r="B77" s="5"/>
      <c r="C77" s="5"/>
      <c r="D77" s="5"/>
      <c r="E77" s="5"/>
      <c r="F77" s="5"/>
      <c r="G77" s="5"/>
      <c r="H77" s="5"/>
      <c r="I77" s="5"/>
      <c r="J77" s="5"/>
      <c r="K77" s="5"/>
      <c r="L77" s="5"/>
      <c r="M77" s="5"/>
      <c r="N77" s="5"/>
      <c r="O77" s="5"/>
      <c r="P77" s="5"/>
      <c r="Q77" s="5"/>
      <c r="R77" s="5"/>
      <c r="S77" s="5"/>
      <c r="T77" s="5"/>
      <c r="U77" s="5"/>
      <c r="V77" s="5"/>
      <c r="W77" s="5"/>
      <c r="X77" s="5"/>
      <c r="Y77" s="5"/>
      <c r="Z77" s="5"/>
      <c r="AA77" s="5"/>
      <c r="AB77" s="5"/>
      <c r="AC77" s="5"/>
      <c r="AD77" s="5"/>
      <c r="AE77" s="5"/>
      <c r="AF77" s="5"/>
      <c r="AG77" s="5"/>
      <c r="AH77" s="5"/>
      <c r="AI77" s="5"/>
      <c r="AJ77" s="5"/>
      <c r="AK77" s="5"/>
    </row>
    <row r="78" spans="2:37" x14ac:dyDescent="0.3">
      <c r="B78" s="5"/>
      <c r="C78" s="5"/>
      <c r="D78" s="5"/>
      <c r="E78" s="5"/>
      <c r="F78" s="5"/>
      <c r="G78" s="5"/>
      <c r="H78" s="5"/>
      <c r="I78" s="5"/>
      <c r="J78" s="5"/>
      <c r="K78" s="5"/>
      <c r="L78" s="5"/>
      <c r="M78" s="5"/>
      <c r="N78" s="5"/>
      <c r="O78" s="5"/>
      <c r="P78" s="5"/>
      <c r="Q78" s="5"/>
      <c r="R78" s="5"/>
      <c r="S78" s="5"/>
      <c r="T78" s="5"/>
      <c r="U78" s="5"/>
      <c r="V78" s="5"/>
      <c r="W78" s="5"/>
      <c r="X78" s="5"/>
      <c r="Y78" s="5"/>
      <c r="Z78" s="5"/>
      <c r="AA78" s="5"/>
      <c r="AB78" s="5"/>
      <c r="AC78" s="5"/>
      <c r="AD78" s="5"/>
      <c r="AE78" s="5"/>
      <c r="AF78" s="5"/>
      <c r="AG78" s="5"/>
      <c r="AH78" s="5"/>
      <c r="AI78" s="5"/>
      <c r="AJ78" s="5"/>
      <c r="AK78" s="5"/>
    </row>
    <row r="79" spans="2:37" x14ac:dyDescent="0.3">
      <c r="B79" s="5"/>
      <c r="C79" s="5"/>
      <c r="D79" s="5"/>
      <c r="E79" s="5"/>
      <c r="F79" s="5"/>
      <c r="G79" s="5"/>
      <c r="H79" s="5"/>
      <c r="I79" s="5"/>
      <c r="J79" s="5"/>
      <c r="K79" s="5"/>
      <c r="L79" s="5"/>
      <c r="M79" s="5"/>
      <c r="N79" s="5"/>
      <c r="O79" s="5"/>
      <c r="P79" s="5"/>
      <c r="Q79" s="5"/>
      <c r="R79" s="5"/>
      <c r="S79" s="5"/>
      <c r="T79" s="5"/>
      <c r="U79" s="5"/>
      <c r="V79" s="5"/>
      <c r="W79" s="5"/>
      <c r="X79" s="5"/>
      <c r="Y79" s="5"/>
      <c r="Z79" s="5"/>
      <c r="AA79" s="5"/>
      <c r="AB79" s="5"/>
      <c r="AC79" s="5"/>
      <c r="AD79" s="5"/>
      <c r="AE79" s="5"/>
      <c r="AF79" s="5"/>
      <c r="AG79" s="5"/>
      <c r="AH79" s="5"/>
      <c r="AI79" s="5"/>
      <c r="AJ79" s="5"/>
      <c r="AK79" s="5"/>
    </row>
    <row r="80" spans="2:37" x14ac:dyDescent="0.3">
      <c r="B80" s="5"/>
      <c r="C80" s="5"/>
      <c r="D80" s="5"/>
      <c r="E80" s="5"/>
      <c r="F80" s="5"/>
      <c r="G80" s="5"/>
      <c r="H80" s="5"/>
      <c r="I80" s="5"/>
      <c r="J80" s="5"/>
      <c r="K80" s="5"/>
      <c r="L80" s="5"/>
      <c r="M80" s="5"/>
      <c r="N80" s="5"/>
      <c r="O80" s="5"/>
      <c r="P80" s="5"/>
      <c r="Q80" s="5"/>
      <c r="R80" s="5"/>
      <c r="S80" s="5"/>
      <c r="T80" s="5"/>
      <c r="U80" s="5"/>
      <c r="V80" s="5"/>
      <c r="W80" s="5"/>
      <c r="X80" s="5"/>
      <c r="Y80" s="5"/>
      <c r="Z80" s="5"/>
      <c r="AA80" s="5"/>
      <c r="AB80" s="5"/>
      <c r="AC80" s="5"/>
      <c r="AD80" s="5"/>
      <c r="AE80" s="5"/>
      <c r="AF80" s="5"/>
      <c r="AG80" s="5"/>
      <c r="AH80" s="5"/>
      <c r="AI80" s="5"/>
      <c r="AJ80" s="5"/>
      <c r="AK80" s="5"/>
    </row>
    <row r="81" spans="2:37" x14ac:dyDescent="0.3">
      <c r="B81" s="5"/>
      <c r="C81" s="5"/>
      <c r="D81" s="5"/>
      <c r="E81" s="5"/>
      <c r="F81" s="5"/>
      <c r="G81" s="5"/>
      <c r="H81" s="5"/>
      <c r="I81" s="5"/>
      <c r="J81" s="5"/>
      <c r="K81" s="5"/>
      <c r="L81" s="5"/>
      <c r="M81" s="5"/>
      <c r="N81" s="5"/>
      <c r="O81" s="5"/>
      <c r="P81" s="5"/>
      <c r="Q81" s="5"/>
      <c r="R81" s="5"/>
      <c r="S81" s="5"/>
      <c r="T81" s="5"/>
      <c r="U81" s="5"/>
      <c r="V81" s="5"/>
      <c r="W81" s="5"/>
      <c r="X81" s="5"/>
      <c r="Y81" s="5"/>
      <c r="Z81" s="5"/>
      <c r="AA81" s="5"/>
      <c r="AB81" s="5"/>
      <c r="AC81" s="5"/>
      <c r="AD81" s="5"/>
      <c r="AE81" s="5"/>
      <c r="AF81" s="5"/>
      <c r="AG81" s="5"/>
      <c r="AH81" s="5"/>
      <c r="AI81" s="5"/>
      <c r="AJ81" s="5"/>
      <c r="AK81" s="5"/>
    </row>
    <row r="82" spans="2:37" x14ac:dyDescent="0.3">
      <c r="B82" s="5"/>
      <c r="C82" s="5"/>
      <c r="D82" s="5"/>
      <c r="E82" s="5"/>
      <c r="F82" s="5"/>
      <c r="G82" s="5"/>
      <c r="H82" s="5"/>
      <c r="I82" s="5"/>
      <c r="J82" s="5"/>
      <c r="K82" s="5"/>
      <c r="L82" s="5"/>
      <c r="M82" s="5"/>
      <c r="N82" s="5"/>
      <c r="O82" s="5"/>
      <c r="P82" s="5"/>
      <c r="Q82" s="5"/>
      <c r="R82" s="5"/>
      <c r="S82" s="5"/>
      <c r="T82" s="5"/>
      <c r="U82" s="5"/>
      <c r="V82" s="5"/>
      <c r="W82" s="5"/>
      <c r="X82" s="5"/>
      <c r="Y82" s="5"/>
      <c r="Z82" s="5"/>
      <c r="AA82" s="5"/>
      <c r="AB82" s="5"/>
      <c r="AC82" s="5"/>
      <c r="AD82" s="5"/>
      <c r="AE82" s="5"/>
      <c r="AF82" s="5"/>
      <c r="AG82" s="5"/>
      <c r="AH82" s="5"/>
      <c r="AI82" s="5"/>
      <c r="AJ82" s="5"/>
      <c r="AK82" s="5"/>
    </row>
    <row r="83" spans="2:37" x14ac:dyDescent="0.3">
      <c r="B83" s="5"/>
      <c r="C83" s="5"/>
      <c r="D83" s="5"/>
      <c r="E83" s="5"/>
      <c r="F83" s="5"/>
      <c r="G83" s="5"/>
      <c r="H83" s="5"/>
      <c r="I83" s="5"/>
      <c r="J83" s="5"/>
      <c r="K83" s="5"/>
      <c r="L83" s="5"/>
      <c r="M83" s="5"/>
      <c r="N83" s="5"/>
      <c r="O83" s="5"/>
      <c r="P83" s="5"/>
      <c r="Q83" s="5"/>
      <c r="R83" s="5"/>
      <c r="S83" s="5"/>
      <c r="T83" s="5"/>
      <c r="U83" s="5"/>
      <c r="V83" s="5"/>
      <c r="W83" s="5"/>
      <c r="X83" s="5"/>
      <c r="Y83" s="5"/>
      <c r="Z83" s="5"/>
      <c r="AA83" s="5"/>
      <c r="AB83" s="5"/>
      <c r="AC83" s="5"/>
      <c r="AD83" s="5"/>
      <c r="AE83" s="5"/>
      <c r="AF83" s="5"/>
      <c r="AG83" s="5"/>
      <c r="AH83" s="5"/>
      <c r="AI83" s="5"/>
      <c r="AJ83" s="5"/>
      <c r="AK83" s="5"/>
    </row>
    <row r="84" spans="2:37" x14ac:dyDescent="0.3">
      <c r="B84" s="5"/>
      <c r="C84" s="5"/>
      <c r="D84" s="5"/>
      <c r="E84" s="5"/>
      <c r="F84" s="5"/>
      <c r="G84" s="5"/>
      <c r="H84" s="5"/>
      <c r="I84" s="5"/>
      <c r="J84" s="5"/>
      <c r="K84" s="5"/>
      <c r="L84" s="5"/>
      <c r="M84" s="5"/>
      <c r="N84" s="5"/>
      <c r="O84" s="5"/>
      <c r="P84" s="5"/>
      <c r="Q84" s="5"/>
      <c r="R84" s="5"/>
      <c r="S84" s="5"/>
      <c r="T84" s="5"/>
      <c r="U84" s="5"/>
      <c r="V84" s="5"/>
      <c r="W84" s="5"/>
      <c r="X84" s="5"/>
      <c r="Y84" s="5"/>
      <c r="Z84" s="5"/>
      <c r="AA84" s="5"/>
      <c r="AB84" s="5"/>
      <c r="AC84" s="5"/>
      <c r="AD84" s="5"/>
      <c r="AE84" s="5"/>
      <c r="AF84" s="5"/>
      <c r="AG84" s="5"/>
      <c r="AH84" s="5"/>
      <c r="AI84" s="5"/>
      <c r="AJ84" s="5"/>
      <c r="AK84" s="5"/>
    </row>
    <row r="85" spans="2:37" x14ac:dyDescent="0.3">
      <c r="B85" s="5"/>
      <c r="C85" s="5"/>
      <c r="D85" s="5"/>
      <c r="E85" s="5"/>
      <c r="F85" s="5"/>
      <c r="G85" s="5"/>
      <c r="H85" s="5"/>
      <c r="I85" s="5"/>
      <c r="J85" s="5"/>
      <c r="K85" s="5"/>
      <c r="L85" s="5"/>
      <c r="M85" s="5"/>
      <c r="N85" s="5"/>
      <c r="O85" s="5"/>
      <c r="P85" s="5"/>
      <c r="Q85" s="5"/>
      <c r="R85" s="5"/>
      <c r="S85" s="5"/>
      <c r="T85" s="5"/>
      <c r="U85" s="5"/>
      <c r="V85" s="5"/>
      <c r="W85" s="5"/>
      <c r="X85" s="5"/>
      <c r="Y85" s="5"/>
      <c r="Z85" s="5"/>
      <c r="AA85" s="5"/>
      <c r="AB85" s="5"/>
      <c r="AC85" s="5"/>
      <c r="AD85" s="5"/>
      <c r="AE85" s="5"/>
      <c r="AF85" s="5"/>
      <c r="AG85" s="5"/>
      <c r="AH85" s="5"/>
      <c r="AI85" s="5"/>
      <c r="AJ85" s="5"/>
      <c r="AK85" s="5"/>
    </row>
    <row r="86" spans="2:37" x14ac:dyDescent="0.3">
      <c r="B86" s="5"/>
      <c r="C86" s="5"/>
      <c r="D86" s="5"/>
      <c r="E86" s="5"/>
      <c r="F86" s="5"/>
      <c r="G86" s="5"/>
      <c r="H86" s="5"/>
      <c r="I86" s="5"/>
      <c r="J86" s="5"/>
      <c r="K86" s="5"/>
      <c r="L86" s="5"/>
      <c r="M86" s="5"/>
      <c r="N86" s="5"/>
      <c r="O86" s="5"/>
      <c r="P86" s="5"/>
      <c r="Q86" s="5"/>
      <c r="R86" s="5"/>
      <c r="S86" s="5"/>
      <c r="T86" s="5"/>
      <c r="U86" s="5"/>
      <c r="V86" s="5"/>
      <c r="W86" s="5"/>
      <c r="X86" s="5"/>
      <c r="Y86" s="5"/>
      <c r="Z86" s="5"/>
      <c r="AA86" s="5"/>
      <c r="AB86" s="5"/>
      <c r="AC86" s="5"/>
      <c r="AD86" s="5"/>
      <c r="AE86" s="5"/>
      <c r="AF86" s="5"/>
      <c r="AG86" s="5"/>
      <c r="AH86" s="5"/>
      <c r="AI86" s="5"/>
      <c r="AJ86" s="5"/>
      <c r="AK86" s="5"/>
    </row>
    <row r="87" spans="2:37" x14ac:dyDescent="0.3">
      <c r="B87" s="5"/>
      <c r="C87" s="5"/>
      <c r="D87" s="5"/>
      <c r="E87" s="5"/>
      <c r="F87" s="5"/>
      <c r="G87" s="5"/>
      <c r="H87" s="5"/>
      <c r="I87" s="5"/>
      <c r="J87" s="5"/>
      <c r="K87" s="5"/>
      <c r="L87" s="5"/>
      <c r="M87" s="5"/>
      <c r="N87" s="5"/>
      <c r="O87" s="5"/>
      <c r="P87" s="5"/>
      <c r="Q87" s="5"/>
      <c r="R87" s="5"/>
      <c r="S87" s="5"/>
      <c r="T87" s="5"/>
      <c r="U87" s="5"/>
      <c r="V87" s="5"/>
      <c r="W87" s="5"/>
      <c r="X87" s="5"/>
      <c r="Y87" s="5"/>
      <c r="Z87" s="5"/>
      <c r="AA87" s="5"/>
      <c r="AB87" s="5"/>
      <c r="AC87" s="5"/>
      <c r="AD87" s="5"/>
      <c r="AE87" s="5"/>
      <c r="AF87" s="5"/>
      <c r="AG87" s="5"/>
      <c r="AH87" s="5"/>
      <c r="AI87" s="5"/>
      <c r="AJ87" s="5"/>
      <c r="AK87" s="5"/>
    </row>
    <row r="88" spans="2:37" x14ac:dyDescent="0.3">
      <c r="B88" s="5"/>
      <c r="C88" s="5"/>
      <c r="D88" s="5"/>
      <c r="E88" s="5"/>
      <c r="F88" s="5"/>
      <c r="G88" s="5"/>
      <c r="H88" s="5"/>
      <c r="I88" s="5"/>
      <c r="J88" s="5"/>
      <c r="K88" s="5"/>
      <c r="L88" s="5"/>
      <c r="M88" s="5"/>
      <c r="N88" s="5"/>
      <c r="O88" s="5"/>
      <c r="P88" s="5"/>
      <c r="Q88" s="5"/>
      <c r="R88" s="5"/>
      <c r="S88" s="5"/>
      <c r="T88" s="5"/>
      <c r="U88" s="5"/>
      <c r="V88" s="5"/>
      <c r="W88" s="5"/>
      <c r="X88" s="5"/>
      <c r="Y88" s="5"/>
      <c r="Z88" s="5"/>
      <c r="AA88" s="5"/>
      <c r="AB88" s="5"/>
      <c r="AC88" s="5"/>
      <c r="AD88" s="5"/>
      <c r="AE88" s="5"/>
      <c r="AF88" s="5"/>
      <c r="AG88" s="5"/>
      <c r="AH88" s="5"/>
      <c r="AI88" s="5"/>
      <c r="AJ88" s="5"/>
      <c r="AK88" s="5"/>
    </row>
    <row r="89" spans="2:37" x14ac:dyDescent="0.3">
      <c r="B89" s="5"/>
      <c r="C89" s="5"/>
      <c r="D89" s="5"/>
      <c r="E89" s="5"/>
      <c r="F89" s="5"/>
      <c r="G89" s="5"/>
      <c r="H89" s="5"/>
      <c r="I89" s="5"/>
      <c r="J89" s="5"/>
      <c r="K89" s="5"/>
      <c r="L89" s="5"/>
      <c r="M89" s="5"/>
      <c r="N89" s="5"/>
      <c r="O89" s="5"/>
      <c r="P89" s="5"/>
      <c r="Q89" s="5"/>
      <c r="R89" s="5"/>
      <c r="S89" s="5"/>
      <c r="T89" s="5"/>
      <c r="U89" s="5"/>
      <c r="V89" s="5"/>
      <c r="W89" s="5"/>
      <c r="X89" s="5"/>
      <c r="Y89" s="5"/>
      <c r="Z89" s="5"/>
      <c r="AA89" s="5"/>
      <c r="AB89" s="5"/>
      <c r="AC89" s="5"/>
      <c r="AD89" s="5"/>
      <c r="AE89" s="5"/>
      <c r="AF89" s="5"/>
      <c r="AG89" s="5"/>
      <c r="AH89" s="5"/>
      <c r="AI89" s="5"/>
      <c r="AJ89" s="5"/>
      <c r="AK89" s="5"/>
    </row>
    <row r="90" spans="2:37" x14ac:dyDescent="0.3">
      <c r="B90" s="5"/>
      <c r="C90" s="5"/>
      <c r="D90" s="5"/>
      <c r="E90" s="5"/>
      <c r="F90" s="5"/>
      <c r="G90" s="5"/>
      <c r="H90" s="5"/>
      <c r="I90" s="5"/>
      <c r="J90" s="5"/>
      <c r="K90" s="5"/>
      <c r="L90" s="5"/>
      <c r="M90" s="5"/>
      <c r="N90" s="5"/>
      <c r="O90" s="5"/>
      <c r="P90" s="5"/>
      <c r="Q90" s="5"/>
      <c r="R90" s="5"/>
      <c r="S90" s="5"/>
      <c r="T90" s="5"/>
      <c r="U90" s="5"/>
      <c r="V90" s="5"/>
      <c r="W90" s="5"/>
      <c r="X90" s="5"/>
      <c r="Y90" s="5"/>
      <c r="Z90" s="5"/>
      <c r="AA90" s="5"/>
      <c r="AB90" s="5"/>
      <c r="AC90" s="5"/>
      <c r="AD90" s="5"/>
      <c r="AE90" s="5"/>
      <c r="AF90" s="5"/>
      <c r="AG90" s="5"/>
      <c r="AH90" s="5"/>
      <c r="AI90" s="5"/>
      <c r="AJ90" s="5"/>
      <c r="AK90" s="5"/>
    </row>
    <row r="91" spans="2:37" x14ac:dyDescent="0.3">
      <c r="B91" s="5"/>
      <c r="C91" s="5"/>
      <c r="D91" s="5"/>
      <c r="E91" s="5"/>
      <c r="F91" s="5"/>
      <c r="G91" s="5"/>
      <c r="H91" s="5"/>
      <c r="I91" s="5"/>
      <c r="J91" s="5"/>
      <c r="K91" s="5"/>
      <c r="L91" s="5"/>
      <c r="M91" s="5"/>
      <c r="N91" s="5"/>
      <c r="O91" s="5"/>
      <c r="P91" s="5"/>
      <c r="Q91" s="5"/>
      <c r="R91" s="5"/>
      <c r="S91" s="5"/>
      <c r="T91" s="5"/>
      <c r="U91" s="5"/>
      <c r="V91" s="5"/>
      <c r="W91" s="5"/>
      <c r="X91" s="5"/>
      <c r="Y91" s="5"/>
      <c r="Z91" s="5"/>
      <c r="AA91" s="5"/>
      <c r="AB91" s="5"/>
      <c r="AC91" s="5"/>
      <c r="AD91" s="5"/>
      <c r="AE91" s="5"/>
      <c r="AF91" s="5"/>
      <c r="AG91" s="5"/>
      <c r="AH91" s="5"/>
      <c r="AI91" s="5"/>
      <c r="AJ91" s="5"/>
      <c r="AK91" s="5"/>
    </row>
    <row r="92" spans="2:37" x14ac:dyDescent="0.3">
      <c r="B92" s="5"/>
      <c r="C92" s="5"/>
      <c r="D92" s="5"/>
      <c r="E92" s="5"/>
      <c r="F92" s="5"/>
      <c r="G92" s="5"/>
      <c r="H92" s="5"/>
      <c r="I92" s="5"/>
      <c r="J92" s="5"/>
      <c r="K92" s="5"/>
      <c r="L92" s="5"/>
      <c r="M92" s="5"/>
      <c r="N92" s="5"/>
      <c r="O92" s="5"/>
      <c r="P92" s="5"/>
      <c r="Q92" s="5"/>
      <c r="R92" s="5"/>
      <c r="S92" s="5"/>
      <c r="T92" s="5"/>
      <c r="U92" s="5"/>
      <c r="V92" s="5"/>
      <c r="W92" s="5"/>
      <c r="X92" s="5"/>
      <c r="Y92" s="5"/>
      <c r="Z92" s="5"/>
      <c r="AA92" s="5"/>
      <c r="AB92" s="5"/>
      <c r="AC92" s="5"/>
      <c r="AD92" s="5"/>
      <c r="AE92" s="5"/>
      <c r="AF92" s="5"/>
      <c r="AG92" s="5"/>
      <c r="AH92" s="5"/>
      <c r="AI92" s="5"/>
      <c r="AJ92" s="5"/>
      <c r="AK92" s="5"/>
    </row>
    <row r="93" spans="2:37" x14ac:dyDescent="0.3">
      <c r="B93" s="5"/>
      <c r="C93" s="5"/>
      <c r="D93" s="5"/>
      <c r="E93" s="5"/>
      <c r="F93" s="5"/>
      <c r="G93" s="5"/>
      <c r="H93" s="5"/>
      <c r="I93" s="5"/>
      <c r="J93" s="5"/>
      <c r="K93" s="5"/>
      <c r="L93" s="5"/>
      <c r="M93" s="5"/>
      <c r="N93" s="5"/>
      <c r="O93" s="5"/>
      <c r="P93" s="5"/>
      <c r="Q93" s="5"/>
      <c r="R93" s="5"/>
      <c r="S93" s="5"/>
      <c r="T93" s="5"/>
      <c r="U93" s="5"/>
      <c r="V93" s="5"/>
      <c r="W93" s="5"/>
      <c r="X93" s="5"/>
      <c r="Y93" s="5"/>
      <c r="Z93" s="5"/>
      <c r="AA93" s="5"/>
      <c r="AB93" s="5"/>
      <c r="AC93" s="5"/>
      <c r="AD93" s="5"/>
      <c r="AE93" s="5"/>
      <c r="AF93" s="5"/>
      <c r="AG93" s="5"/>
      <c r="AH93" s="5"/>
      <c r="AI93" s="5"/>
      <c r="AJ93" s="5"/>
      <c r="AK93" s="5"/>
    </row>
    <row r="94" spans="2:37" x14ac:dyDescent="0.3">
      <c r="B94" s="5"/>
      <c r="C94" s="5"/>
      <c r="D94" s="5"/>
      <c r="E94" s="5"/>
      <c r="F94" s="5"/>
      <c r="G94" s="5"/>
      <c r="H94" s="5"/>
      <c r="I94" s="5"/>
      <c r="J94" s="5"/>
      <c r="K94" s="5"/>
      <c r="L94" s="5"/>
      <c r="M94" s="5"/>
      <c r="N94" s="5"/>
      <c r="O94" s="5"/>
      <c r="P94" s="5"/>
      <c r="Q94" s="5"/>
      <c r="R94" s="5"/>
      <c r="S94" s="5"/>
      <c r="T94" s="5"/>
      <c r="U94" s="5"/>
      <c r="V94" s="5"/>
      <c r="W94" s="5"/>
      <c r="X94" s="5"/>
      <c r="Y94" s="5"/>
      <c r="Z94" s="5"/>
      <c r="AA94" s="5"/>
      <c r="AB94" s="5"/>
      <c r="AC94" s="5"/>
      <c r="AD94" s="5"/>
      <c r="AE94" s="5"/>
      <c r="AF94" s="5"/>
      <c r="AG94" s="5"/>
      <c r="AH94" s="5"/>
      <c r="AI94" s="5"/>
      <c r="AJ94" s="5"/>
      <c r="AK94" s="5"/>
    </row>
    <row r="95" spans="2:37" x14ac:dyDescent="0.3">
      <c r="B95" s="5"/>
      <c r="C95" s="5"/>
      <c r="D95" s="5"/>
      <c r="E95" s="5"/>
      <c r="F95" s="5"/>
      <c r="G95" s="5"/>
      <c r="H95" s="5"/>
      <c r="I95" s="5"/>
      <c r="J95" s="5"/>
      <c r="K95" s="5"/>
      <c r="L95" s="5"/>
      <c r="M95" s="5"/>
      <c r="N95" s="5"/>
      <c r="O95" s="5"/>
      <c r="P95" s="5"/>
      <c r="Q95" s="5"/>
      <c r="R95" s="5"/>
      <c r="S95" s="5"/>
      <c r="T95" s="5"/>
      <c r="U95" s="5"/>
      <c r="V95" s="5"/>
      <c r="W95" s="5"/>
      <c r="X95" s="5"/>
      <c r="Y95" s="5"/>
      <c r="Z95" s="5"/>
      <c r="AA95" s="5"/>
      <c r="AB95" s="5"/>
      <c r="AC95" s="5"/>
      <c r="AD95" s="5"/>
      <c r="AE95" s="5"/>
      <c r="AF95" s="5"/>
      <c r="AG95" s="5"/>
      <c r="AH95" s="5"/>
      <c r="AI95" s="5"/>
      <c r="AJ95" s="5"/>
      <c r="AK95" s="5"/>
    </row>
    <row r="96" spans="2:37" x14ac:dyDescent="0.3">
      <c r="B96" s="5"/>
      <c r="C96" s="5"/>
      <c r="D96" s="5"/>
      <c r="E96" s="5"/>
      <c r="F96" s="5"/>
      <c r="G96" s="5"/>
      <c r="H96" s="5"/>
      <c r="I96" s="5"/>
      <c r="J96" s="5"/>
      <c r="K96" s="5"/>
      <c r="L96" s="5"/>
      <c r="M96" s="5"/>
      <c r="N96" s="5"/>
      <c r="O96" s="5"/>
      <c r="P96" s="5"/>
      <c r="Q96" s="5"/>
      <c r="R96" s="5"/>
      <c r="S96" s="5"/>
      <c r="T96" s="5"/>
      <c r="U96" s="5"/>
      <c r="V96" s="5"/>
      <c r="W96" s="5"/>
      <c r="X96" s="5"/>
      <c r="Y96" s="5"/>
      <c r="Z96" s="5"/>
      <c r="AA96" s="5"/>
      <c r="AB96" s="5"/>
      <c r="AC96" s="5"/>
      <c r="AD96" s="5"/>
      <c r="AE96" s="5"/>
      <c r="AF96" s="5"/>
      <c r="AG96" s="5"/>
      <c r="AH96" s="5"/>
      <c r="AI96" s="5"/>
      <c r="AJ96" s="5"/>
      <c r="AK96" s="5"/>
    </row>
    <row r="97" spans="2:37" x14ac:dyDescent="0.3">
      <c r="B97" s="5"/>
      <c r="C97" s="5"/>
      <c r="D97" s="5"/>
      <c r="E97" s="5"/>
      <c r="F97" s="5"/>
      <c r="G97" s="5"/>
      <c r="H97" s="5"/>
      <c r="I97" s="5"/>
      <c r="J97" s="5"/>
      <c r="K97" s="5"/>
      <c r="L97" s="5"/>
      <c r="M97" s="5"/>
      <c r="N97" s="5"/>
      <c r="O97" s="5"/>
      <c r="P97" s="5"/>
      <c r="Q97" s="5"/>
      <c r="R97" s="5"/>
      <c r="S97" s="5"/>
      <c r="T97" s="5"/>
      <c r="U97" s="5"/>
      <c r="V97" s="5"/>
      <c r="W97" s="5"/>
      <c r="X97" s="5"/>
      <c r="Y97" s="5"/>
      <c r="Z97" s="5"/>
      <c r="AA97" s="5"/>
      <c r="AB97" s="5"/>
      <c r="AC97" s="5"/>
      <c r="AD97" s="5"/>
      <c r="AE97" s="5"/>
      <c r="AF97" s="5"/>
      <c r="AG97" s="5"/>
      <c r="AH97" s="5"/>
      <c r="AI97" s="5"/>
      <c r="AJ97" s="5"/>
      <c r="AK97" s="5"/>
    </row>
    <row r="98" spans="2:37" x14ac:dyDescent="0.3">
      <c r="B98" s="5"/>
      <c r="C98" s="5"/>
      <c r="D98" s="5"/>
      <c r="E98" s="5"/>
      <c r="F98" s="5"/>
      <c r="G98" s="5"/>
      <c r="H98" s="5"/>
      <c r="I98" s="5"/>
      <c r="J98" s="5"/>
      <c r="K98" s="5"/>
      <c r="L98" s="5"/>
      <c r="M98" s="5"/>
      <c r="N98" s="5"/>
      <c r="O98" s="5"/>
      <c r="P98" s="5"/>
      <c r="Q98" s="5"/>
      <c r="R98" s="5"/>
      <c r="S98" s="5"/>
      <c r="T98" s="5"/>
      <c r="U98" s="5"/>
      <c r="V98" s="5"/>
      <c r="W98" s="5"/>
      <c r="X98" s="5"/>
      <c r="Y98" s="5"/>
      <c r="Z98" s="5"/>
      <c r="AA98" s="5"/>
      <c r="AB98" s="5"/>
      <c r="AC98" s="5"/>
      <c r="AD98" s="5"/>
      <c r="AE98" s="5"/>
      <c r="AF98" s="5"/>
      <c r="AG98" s="5"/>
      <c r="AH98" s="5"/>
      <c r="AI98" s="5"/>
      <c r="AJ98" s="5"/>
      <c r="AK98" s="5"/>
    </row>
    <row r="99" spans="2:37" x14ac:dyDescent="0.3">
      <c r="B99" s="5"/>
      <c r="C99" s="5"/>
      <c r="D99" s="5"/>
      <c r="E99" s="5"/>
      <c r="F99" s="5"/>
      <c r="G99" s="5"/>
      <c r="H99" s="5"/>
      <c r="I99" s="5"/>
      <c r="J99" s="5"/>
      <c r="K99" s="5"/>
      <c r="L99" s="5"/>
      <c r="M99" s="5"/>
      <c r="N99" s="5"/>
      <c r="O99" s="5"/>
      <c r="P99" s="5"/>
      <c r="Q99" s="5"/>
      <c r="R99" s="5"/>
      <c r="S99" s="5"/>
      <c r="T99" s="5"/>
      <c r="U99" s="5"/>
      <c r="V99" s="5"/>
      <c r="W99" s="5"/>
      <c r="X99" s="5"/>
      <c r="Y99" s="5"/>
      <c r="Z99" s="5"/>
      <c r="AA99" s="5"/>
      <c r="AB99" s="5"/>
      <c r="AC99" s="5"/>
      <c r="AD99" s="5"/>
      <c r="AE99" s="5"/>
      <c r="AF99" s="5"/>
      <c r="AG99" s="5"/>
      <c r="AH99" s="5"/>
      <c r="AI99" s="5"/>
      <c r="AJ99" s="5"/>
      <c r="AK99" s="5"/>
    </row>
    <row r="100" spans="2:37" x14ac:dyDescent="0.3">
      <c r="B100" s="5"/>
      <c r="C100" s="5"/>
      <c r="D100" s="5"/>
      <c r="E100" s="5"/>
      <c r="F100" s="5"/>
      <c r="G100" s="5"/>
      <c r="H100" s="5"/>
      <c r="I100" s="5"/>
      <c r="J100" s="5"/>
      <c r="K100" s="5"/>
      <c r="L100" s="5"/>
      <c r="M100" s="5"/>
      <c r="N100" s="5"/>
      <c r="O100" s="5"/>
      <c r="P100" s="5"/>
      <c r="Q100" s="5"/>
      <c r="R100" s="5"/>
      <c r="S100" s="5"/>
      <c r="T100" s="5"/>
      <c r="U100" s="5"/>
      <c r="V100" s="5"/>
      <c r="W100" s="5"/>
      <c r="X100" s="5"/>
      <c r="Y100" s="5"/>
      <c r="Z100" s="5"/>
      <c r="AA100" s="5"/>
      <c r="AB100" s="5"/>
      <c r="AC100" s="5"/>
      <c r="AD100" s="5"/>
      <c r="AE100" s="5"/>
      <c r="AF100" s="5"/>
      <c r="AG100" s="5"/>
      <c r="AH100" s="5"/>
      <c r="AI100" s="5"/>
      <c r="AJ100" s="5"/>
      <c r="AK100" s="5"/>
    </row>
  </sheetData>
  <pageMargins left="0.7" right="0.7" top="0.75" bottom="0.75" header="0.3" footer="0.3"/>
  <ignoredErrors>
    <ignoredError sqref="D8" formula="1"/>
    <ignoredError sqref="C23:AK27" formulaRange="1"/>
  </ignoredErrors>
  <legacy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80B9D1-53A7-433D-BE42-9BA81ED5A001}">
  <sheetPr>
    <tabColor rgb="FF2E8B8B"/>
  </sheetPr>
  <dimension ref="A1:H7"/>
  <sheetViews>
    <sheetView topLeftCell="G1" workbookViewId="0">
      <selection activeCell="K18" sqref="K18"/>
    </sheetView>
  </sheetViews>
  <sheetFormatPr defaultRowHeight="14.4" x14ac:dyDescent="0.3"/>
  <cols>
    <col min="1" max="1" width="18.5546875" customWidth="1"/>
    <col min="2" max="2" width="40.77734375" customWidth="1"/>
    <col min="3" max="5" width="18.5546875" customWidth="1"/>
    <col min="6" max="7" width="20.33203125" customWidth="1"/>
    <col min="8" max="8" width="7.5546875" bestFit="1" customWidth="1"/>
  </cols>
  <sheetData>
    <row r="1" spans="1:8" ht="24" customHeight="1" x14ac:dyDescent="0.3">
      <c r="A1" s="8"/>
      <c r="B1" s="8"/>
      <c r="C1" s="8"/>
      <c r="D1" s="8"/>
      <c r="E1" s="8"/>
      <c r="G1" s="268" t="s">
        <v>52</v>
      </c>
      <c r="H1" s="268" t="s">
        <v>53</v>
      </c>
    </row>
    <row r="2" spans="1:8" x14ac:dyDescent="0.3">
      <c r="G2" s="269" t="s">
        <v>110</v>
      </c>
      <c r="H2" s="270">
        <v>150000</v>
      </c>
    </row>
    <row r="3" spans="1:8" x14ac:dyDescent="0.3">
      <c r="G3" s="269" t="s">
        <v>111</v>
      </c>
      <c r="H3" s="270">
        <v>60000</v>
      </c>
    </row>
    <row r="4" spans="1:8" x14ac:dyDescent="0.3">
      <c r="G4" s="269" t="s">
        <v>112</v>
      </c>
      <c r="H4" s="270">
        <v>25000</v>
      </c>
    </row>
    <row r="5" spans="1:8" x14ac:dyDescent="0.3">
      <c r="G5" s="269" t="s">
        <v>113</v>
      </c>
      <c r="H5" s="270">
        <v>35000</v>
      </c>
    </row>
    <row r="6" spans="1:8" x14ac:dyDescent="0.3">
      <c r="G6" s="269" t="s">
        <v>114</v>
      </c>
      <c r="H6" s="270">
        <v>40000</v>
      </c>
    </row>
    <row r="7" spans="1:8" x14ac:dyDescent="0.3">
      <c r="G7" s="271" t="s">
        <v>162</v>
      </c>
      <c r="H7" s="272">
        <f>SUM(H2:H6)</f>
        <v>310000</v>
      </c>
    </row>
  </sheetData>
  <pageMargins left="0.7" right="0.7" top="0.75" bottom="0.75" header="0.3" footer="0.3"/>
  <legacy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70D813-3596-4F5A-BAF6-5F9F94615A3C}">
  <sheetPr>
    <tabColor rgb="FF2E8B8B"/>
  </sheetPr>
  <dimension ref="A1:E8"/>
  <sheetViews>
    <sheetView workbookViewId="0">
      <selection activeCell="E8" sqref="E8"/>
    </sheetView>
  </sheetViews>
  <sheetFormatPr defaultRowHeight="14.4" x14ac:dyDescent="0.3"/>
  <cols>
    <col min="1" max="1" width="18.109375" bestFit="1" customWidth="1"/>
    <col min="2" max="2" width="9.5546875" bestFit="1" customWidth="1"/>
    <col min="3" max="3" width="8.33203125" bestFit="1" customWidth="1"/>
    <col min="4" max="5" width="18.5546875" customWidth="1"/>
    <col min="6" max="7" width="20.33203125" customWidth="1"/>
  </cols>
  <sheetData>
    <row r="1" spans="1:5" ht="24" customHeight="1" thickBot="1" x14ac:dyDescent="0.35">
      <c r="A1" s="688" t="s">
        <v>52</v>
      </c>
      <c r="B1" s="689" t="s">
        <v>53</v>
      </c>
      <c r="C1" s="690" t="s">
        <v>132</v>
      </c>
      <c r="D1" s="348"/>
      <c r="E1" s="348"/>
    </row>
    <row r="2" spans="1:5" ht="27.6" x14ac:dyDescent="0.3">
      <c r="A2" s="505" t="s">
        <v>115</v>
      </c>
      <c r="B2" s="421">
        <v>0.08</v>
      </c>
      <c r="C2" s="658"/>
    </row>
    <row r="3" spans="1:5" x14ac:dyDescent="0.3">
      <c r="A3" s="506" t="s">
        <v>116</v>
      </c>
      <c r="B3" s="691">
        <v>25000</v>
      </c>
      <c r="C3" s="659"/>
    </row>
    <row r="4" spans="1:5" ht="27.6" x14ac:dyDescent="0.3">
      <c r="A4" s="506" t="s">
        <v>117</v>
      </c>
      <c r="B4" s="506">
        <v>3</v>
      </c>
      <c r="C4" s="659"/>
    </row>
    <row r="5" spans="1:5" ht="15" thickBot="1" x14ac:dyDescent="0.35">
      <c r="A5" s="506" t="s">
        <v>174</v>
      </c>
      <c r="B5" s="422">
        <f>1/36</f>
        <v>2.7777777777777776E-2</v>
      </c>
      <c r="C5" s="662"/>
    </row>
    <row r="6" spans="1:5" ht="15" thickBot="1" x14ac:dyDescent="0.35">
      <c r="A6" s="506" t="s">
        <v>118</v>
      </c>
      <c r="B6" s="506">
        <v>12</v>
      </c>
      <c r="C6" s="554">
        <f>B6*INDEX('21_Scenarios'!$B$6:$D$6,MATCH('01_Dashboard'!$B$29,'21_Scenarios'!$B$1:$D$1,0))</f>
        <v>12</v>
      </c>
    </row>
    <row r="7" spans="1:5" ht="15" thickBot="1" x14ac:dyDescent="0.35">
      <c r="A7" s="506" t="s">
        <v>119</v>
      </c>
      <c r="B7" s="506">
        <v>25</v>
      </c>
      <c r="C7" s="554">
        <f>B7*INDEX('21_Scenarios'!$B$7:$D$7,MATCH('01_Dashboard'!$B$29,'21_Scenarios'!$B$1:$D$1,0))</f>
        <v>25</v>
      </c>
    </row>
    <row r="8" spans="1:5" ht="42" thickBot="1" x14ac:dyDescent="0.35">
      <c r="A8" s="692" t="s">
        <v>285</v>
      </c>
      <c r="B8" s="692">
        <v>1</v>
      </c>
      <c r="C8" s="658"/>
    </row>
  </sheetData>
  <pageMargins left="0.7" right="0.7" top="0.75" bottom="0.75" header="0.3" footer="0.3"/>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DCFE45-D078-4CD1-B067-336B64F3B488}">
  <sheetPr>
    <tabColor rgb="FF2E8B8B"/>
  </sheetPr>
  <dimension ref="A1:E15"/>
  <sheetViews>
    <sheetView workbookViewId="0">
      <selection activeCell="E13" sqref="E13"/>
    </sheetView>
  </sheetViews>
  <sheetFormatPr defaultRowHeight="14.4" x14ac:dyDescent="0.3"/>
  <cols>
    <col min="1" max="1" width="26" bestFit="1" customWidth="1"/>
    <col min="2" max="2" width="12" bestFit="1" customWidth="1"/>
    <col min="3" max="3" width="13.109375" bestFit="1" customWidth="1"/>
    <col min="4" max="5" width="18.5546875" customWidth="1"/>
    <col min="6" max="7" width="20.33203125" customWidth="1"/>
    <col min="8" max="8" width="17.44140625" bestFit="1" customWidth="1"/>
    <col min="9" max="9" width="10.109375" bestFit="1" customWidth="1"/>
  </cols>
  <sheetData>
    <row r="1" spans="1:5" ht="24" customHeight="1" x14ac:dyDescent="0.3">
      <c r="A1" s="693" t="s">
        <v>52</v>
      </c>
      <c r="B1" s="693" t="s">
        <v>53</v>
      </c>
      <c r="C1" s="126"/>
      <c r="D1" s="8"/>
      <c r="E1" s="8"/>
    </row>
    <row r="2" spans="1:5" ht="15" thickBot="1" x14ac:dyDescent="0.35">
      <c r="A2" s="680" t="s">
        <v>120</v>
      </c>
      <c r="B2" s="694">
        <v>6500000</v>
      </c>
      <c r="C2" s="46"/>
    </row>
    <row r="3" spans="1:5" ht="15" thickBot="1" x14ac:dyDescent="0.35">
      <c r="A3" s="695" t="s">
        <v>607</v>
      </c>
      <c r="B3" s="696">
        <v>7</v>
      </c>
      <c r="C3" s="697">
        <v>1000000</v>
      </c>
    </row>
    <row r="4" spans="1:5" ht="15" thickBot="1" x14ac:dyDescent="0.35">
      <c r="A4" s="695" t="s">
        <v>608</v>
      </c>
      <c r="B4" s="696">
        <v>7</v>
      </c>
      <c r="C4" s="697">
        <v>8000000</v>
      </c>
    </row>
    <row r="5" spans="1:5" x14ac:dyDescent="0.3">
      <c r="A5" s="675" t="s">
        <v>121</v>
      </c>
      <c r="B5" s="698">
        <v>4000000</v>
      </c>
      <c r="C5" s="585"/>
    </row>
    <row r="6" spans="1:5" x14ac:dyDescent="0.3">
      <c r="A6" s="506" t="s">
        <v>122</v>
      </c>
      <c r="B6" s="699">
        <v>4</v>
      </c>
      <c r="C6" s="585"/>
    </row>
    <row r="7" spans="1:5" x14ac:dyDescent="0.3">
      <c r="A7" s="506" t="s">
        <v>123</v>
      </c>
      <c r="B7" s="700">
        <v>1000000</v>
      </c>
      <c r="C7" s="585"/>
    </row>
    <row r="8" spans="1:5" x14ac:dyDescent="0.3">
      <c r="A8" s="506" t="s">
        <v>124</v>
      </c>
      <c r="B8" s="699">
        <v>5</v>
      </c>
      <c r="C8" s="585"/>
    </row>
    <row r="9" spans="1:5" x14ac:dyDescent="0.3">
      <c r="A9" s="506" t="s">
        <v>125</v>
      </c>
      <c r="B9" s="700">
        <v>2000000</v>
      </c>
      <c r="C9" s="585"/>
    </row>
    <row r="10" spans="1:5" x14ac:dyDescent="0.3">
      <c r="A10" s="506" t="s">
        <v>126</v>
      </c>
      <c r="B10" s="423">
        <v>0.1</v>
      </c>
      <c r="C10" s="585"/>
    </row>
    <row r="11" spans="1:5" ht="15" thickBot="1" x14ac:dyDescent="0.35">
      <c r="A11" s="701" t="s">
        <v>728</v>
      </c>
      <c r="B11" s="702">
        <v>12</v>
      </c>
      <c r="C11" s="585"/>
    </row>
    <row r="12" spans="1:5" ht="15" thickBot="1" x14ac:dyDescent="0.35">
      <c r="A12" s="655" t="s">
        <v>262</v>
      </c>
      <c r="B12" s="703" t="s">
        <v>263</v>
      </c>
      <c r="C12" s="703" t="s">
        <v>264</v>
      </c>
    </row>
    <row r="13" spans="1:5" x14ac:dyDescent="0.3">
      <c r="A13" s="682" t="s">
        <v>265</v>
      </c>
      <c r="B13" s="704">
        <v>12</v>
      </c>
      <c r="C13" s="705">
        <v>10000000</v>
      </c>
    </row>
    <row r="14" spans="1:5" ht="15" thickBot="1" x14ac:dyDescent="0.35">
      <c r="A14" s="687" t="s">
        <v>266</v>
      </c>
      <c r="B14" s="706">
        <v>19</v>
      </c>
      <c r="C14" s="707">
        <v>40000000</v>
      </c>
    </row>
    <row r="15" spans="1:5" x14ac:dyDescent="0.3">
      <c r="A15" s="7"/>
      <c r="B15" s="6"/>
      <c r="C15" s="6"/>
    </row>
  </sheetData>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557B88-6BB6-460D-8099-05EE3EE3E641}">
  <sheetPr>
    <tabColor rgb="FF2E8B8B"/>
  </sheetPr>
  <dimension ref="A1:B3"/>
  <sheetViews>
    <sheetView workbookViewId="0">
      <selection activeCell="B12" sqref="B12"/>
    </sheetView>
  </sheetViews>
  <sheetFormatPr defaultRowHeight="14.4" x14ac:dyDescent="0.3"/>
  <cols>
    <col min="1" max="1" width="18.5546875" customWidth="1"/>
    <col min="2" max="2" width="40.77734375" customWidth="1"/>
    <col min="3" max="4" width="20.33203125" customWidth="1"/>
  </cols>
  <sheetData>
    <row r="1" spans="1:2" ht="24" customHeight="1" x14ac:dyDescent="0.3">
      <c r="A1" s="274" t="s">
        <v>52</v>
      </c>
      <c r="B1" s="274" t="s">
        <v>53</v>
      </c>
    </row>
    <row r="2" spans="1:2" x14ac:dyDescent="0.3">
      <c r="A2" s="275" t="s">
        <v>127</v>
      </c>
      <c r="B2" s="317">
        <v>0.09</v>
      </c>
    </row>
    <row r="3" spans="1:2" x14ac:dyDescent="0.3">
      <c r="A3" s="275" t="s">
        <v>516</v>
      </c>
      <c r="B3" s="317">
        <v>0.75</v>
      </c>
    </row>
  </sheetData>
  <pageMargins left="0.7" right="0.7" top="0.75" bottom="0.75" header="0.3" footer="0.3"/>
  <legacy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72CF42-9978-4C99-952B-8F4E669A47BD}">
  <sheetPr>
    <tabColor rgb="FF2E8B8B"/>
  </sheetPr>
  <dimension ref="A1:C12"/>
  <sheetViews>
    <sheetView workbookViewId="0">
      <selection activeCell="E11" sqref="E11"/>
    </sheetView>
  </sheetViews>
  <sheetFormatPr defaultRowHeight="14.4" x14ac:dyDescent="0.3"/>
  <cols>
    <col min="1" max="1" width="44.44140625" customWidth="1"/>
    <col min="2" max="2" width="14.77734375" customWidth="1"/>
    <col min="3" max="3" width="88.88671875" customWidth="1"/>
  </cols>
  <sheetData>
    <row r="1" spans="1:3" ht="15" thickBot="1" x14ac:dyDescent="0.35">
      <c r="A1" s="737" t="s">
        <v>592</v>
      </c>
      <c r="B1" s="738"/>
      <c r="C1" s="739"/>
    </row>
    <row r="2" spans="1:3" ht="15" thickBot="1" x14ac:dyDescent="0.35">
      <c r="A2" s="740" t="s">
        <v>593</v>
      </c>
      <c r="B2" s="741"/>
      <c r="C2" s="742"/>
    </row>
    <row r="3" spans="1:3" ht="15" thickBot="1" x14ac:dyDescent="0.35">
      <c r="A3" s="424" t="s">
        <v>605</v>
      </c>
      <c r="B3" s="426" t="s">
        <v>606</v>
      </c>
      <c r="C3" s="425" t="s">
        <v>298</v>
      </c>
    </row>
    <row r="4" spans="1:3" ht="55.2" x14ac:dyDescent="0.3">
      <c r="A4" s="431" t="s">
        <v>209</v>
      </c>
      <c r="B4" s="427">
        <v>15</v>
      </c>
      <c r="C4" s="432" t="s">
        <v>622</v>
      </c>
    </row>
    <row r="5" spans="1:3" ht="27.6" x14ac:dyDescent="0.3">
      <c r="A5" s="433" t="s">
        <v>430</v>
      </c>
      <c r="B5" s="428">
        <v>5</v>
      </c>
      <c r="C5" s="434" t="s">
        <v>598</v>
      </c>
    </row>
    <row r="6" spans="1:3" x14ac:dyDescent="0.3">
      <c r="A6" s="433" t="s">
        <v>431</v>
      </c>
      <c r="B6" s="429">
        <v>0.25</v>
      </c>
      <c r="C6" s="434" t="s">
        <v>599</v>
      </c>
    </row>
    <row r="7" spans="1:3" ht="27.6" x14ac:dyDescent="0.3">
      <c r="A7" s="433" t="s">
        <v>432</v>
      </c>
      <c r="B7" s="429">
        <v>0.03</v>
      </c>
      <c r="C7" s="434" t="s">
        <v>600</v>
      </c>
    </row>
    <row r="8" spans="1:3" ht="28.2" thickBot="1" x14ac:dyDescent="0.35">
      <c r="A8" s="435" t="s">
        <v>594</v>
      </c>
      <c r="B8" s="430">
        <v>0.15</v>
      </c>
      <c r="C8" s="436" t="s">
        <v>601</v>
      </c>
    </row>
    <row r="9" spans="1:3" ht="15" thickBot="1" x14ac:dyDescent="0.35">
      <c r="A9" s="6"/>
      <c r="B9" s="6"/>
      <c r="C9" s="341"/>
    </row>
    <row r="10" spans="1:3" ht="15" thickBot="1" x14ac:dyDescent="0.35">
      <c r="A10" s="737" t="s">
        <v>595</v>
      </c>
      <c r="B10" s="738"/>
      <c r="C10" s="739"/>
    </row>
    <row r="11" spans="1:3" ht="27.6" x14ac:dyDescent="0.3">
      <c r="A11" s="437" t="s">
        <v>596</v>
      </c>
      <c r="B11" s="439">
        <v>0.6</v>
      </c>
      <c r="C11" s="440" t="s">
        <v>602</v>
      </c>
    </row>
    <row r="12" spans="1:3" ht="28.2" thickBot="1" x14ac:dyDescent="0.35">
      <c r="A12" s="438" t="s">
        <v>597</v>
      </c>
      <c r="B12" s="430">
        <v>0.35</v>
      </c>
      <c r="C12" s="441" t="s">
        <v>603</v>
      </c>
    </row>
  </sheetData>
  <mergeCells count="3">
    <mergeCell ref="A1:C1"/>
    <mergeCell ref="A10:C10"/>
    <mergeCell ref="A2:C2"/>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52A8C-5E9A-409D-8010-8B738ECA17D8}">
  <sheetPr>
    <tabColor rgb="FF2E8B8B"/>
  </sheetPr>
  <dimension ref="A1:AN100"/>
  <sheetViews>
    <sheetView workbookViewId="0">
      <pane xSplit="1" ySplit="2" topLeftCell="AL3" activePane="bottomRight" state="frozen"/>
      <selection pane="topRight" activeCell="B1" sqref="B1"/>
      <selection pane="bottomLeft" activeCell="A3" sqref="A3"/>
      <selection pane="bottomRight" activeCell="AP12" sqref="AP12"/>
    </sheetView>
  </sheetViews>
  <sheetFormatPr defaultRowHeight="14.4" x14ac:dyDescent="0.3"/>
  <cols>
    <col min="1" max="1" width="19" bestFit="1" customWidth="1"/>
    <col min="2" max="9" width="6.5546875" bestFit="1" customWidth="1"/>
    <col min="10" max="24" width="7.5546875" bestFit="1" customWidth="1"/>
    <col min="25" max="37" width="8.5546875" bestFit="1" customWidth="1"/>
    <col min="38" max="38" width="7.5546875" bestFit="1" customWidth="1"/>
    <col min="39" max="40" width="8.5546875" bestFit="1" customWidth="1"/>
  </cols>
  <sheetData>
    <row r="1" spans="1:40" ht="24" customHeight="1" thickBot="1" x14ac:dyDescent="0.35">
      <c r="A1" s="140" t="str" cm="1">
        <f t="array" ref="A1:AK2">'23_Time'!A1:AK2</f>
        <v>Month Index</v>
      </c>
      <c r="B1" s="141">
        <v>1</v>
      </c>
      <c r="C1" s="141">
        <v>2</v>
      </c>
      <c r="D1" s="141">
        <v>3</v>
      </c>
      <c r="E1" s="141">
        <v>4</v>
      </c>
      <c r="F1" s="141">
        <v>5</v>
      </c>
      <c r="G1" s="141">
        <v>6</v>
      </c>
      <c r="H1" s="141">
        <v>7</v>
      </c>
      <c r="I1" s="141">
        <v>8</v>
      </c>
      <c r="J1" s="141">
        <v>9</v>
      </c>
      <c r="K1" s="141">
        <v>10</v>
      </c>
      <c r="L1" s="141">
        <v>11</v>
      </c>
      <c r="M1" s="141">
        <v>12</v>
      </c>
      <c r="N1" s="141">
        <v>13</v>
      </c>
      <c r="O1" s="141">
        <v>14</v>
      </c>
      <c r="P1" s="141">
        <v>15</v>
      </c>
      <c r="Q1" s="141">
        <v>16</v>
      </c>
      <c r="R1" s="141">
        <v>17</v>
      </c>
      <c r="S1" s="141">
        <v>18</v>
      </c>
      <c r="T1" s="141">
        <v>19</v>
      </c>
      <c r="U1" s="141">
        <v>20</v>
      </c>
      <c r="V1" s="141">
        <v>21</v>
      </c>
      <c r="W1" s="141">
        <v>22</v>
      </c>
      <c r="X1" s="141">
        <v>23</v>
      </c>
      <c r="Y1" s="141">
        <v>24</v>
      </c>
      <c r="Z1" s="141">
        <v>25</v>
      </c>
      <c r="AA1" s="141">
        <v>26</v>
      </c>
      <c r="AB1" s="141">
        <v>27</v>
      </c>
      <c r="AC1" s="141">
        <v>28</v>
      </c>
      <c r="AD1" s="141">
        <v>29</v>
      </c>
      <c r="AE1" s="141">
        <v>30</v>
      </c>
      <c r="AF1" s="141">
        <v>31</v>
      </c>
      <c r="AG1" s="141">
        <v>32</v>
      </c>
      <c r="AH1" s="141">
        <v>33</v>
      </c>
      <c r="AI1" s="141">
        <v>34</v>
      </c>
      <c r="AJ1" s="141">
        <v>35</v>
      </c>
      <c r="AK1" s="142">
        <v>36</v>
      </c>
      <c r="AL1" s="126"/>
      <c r="AM1" s="126"/>
      <c r="AN1" s="126"/>
    </row>
    <row r="2" spans="1:40" ht="15" thickBot="1" x14ac:dyDescent="0.35">
      <c r="A2" s="127" t="str">
        <v>Month Label</v>
      </c>
      <c r="B2" s="184" t="str">
        <v>M1</v>
      </c>
      <c r="C2" s="184" t="str">
        <v>M2</v>
      </c>
      <c r="D2" s="184" t="str">
        <v>M3</v>
      </c>
      <c r="E2" s="184" t="str">
        <v>M4</v>
      </c>
      <c r="F2" s="184" t="str">
        <v>M5</v>
      </c>
      <c r="G2" s="184" t="str">
        <v>M6</v>
      </c>
      <c r="H2" s="184" t="str">
        <v>M7</v>
      </c>
      <c r="I2" s="184" t="str">
        <v>M8</v>
      </c>
      <c r="J2" s="184" t="str">
        <v>M9</v>
      </c>
      <c r="K2" s="184" t="str">
        <v>M10</v>
      </c>
      <c r="L2" s="184" t="str">
        <v>M11</v>
      </c>
      <c r="M2" s="184" t="str">
        <v>M12</v>
      </c>
      <c r="N2" s="184" t="str">
        <v>M13</v>
      </c>
      <c r="O2" s="184" t="str">
        <v>M14</v>
      </c>
      <c r="P2" s="184" t="str">
        <v>M15</v>
      </c>
      <c r="Q2" s="184" t="str">
        <v>M16</v>
      </c>
      <c r="R2" s="184" t="str">
        <v>M17</v>
      </c>
      <c r="S2" s="184" t="str">
        <v>M18</v>
      </c>
      <c r="T2" s="184" t="str">
        <v>M19</v>
      </c>
      <c r="U2" s="184" t="str">
        <v>M20</v>
      </c>
      <c r="V2" s="184" t="str">
        <v>M21</v>
      </c>
      <c r="W2" s="184" t="str">
        <v>M22</v>
      </c>
      <c r="X2" s="184" t="str">
        <v>M23</v>
      </c>
      <c r="Y2" s="184" t="str">
        <v>M24</v>
      </c>
      <c r="Z2" s="184" t="str">
        <v>M25</v>
      </c>
      <c r="AA2" s="184" t="str">
        <v>M26</v>
      </c>
      <c r="AB2" s="184" t="str">
        <v>M27</v>
      </c>
      <c r="AC2" s="184" t="str">
        <v>M28</v>
      </c>
      <c r="AD2" s="184" t="str">
        <v>M29</v>
      </c>
      <c r="AE2" s="184" t="str">
        <v>M30</v>
      </c>
      <c r="AF2" s="184" t="str">
        <v>M31</v>
      </c>
      <c r="AG2" s="184" t="str">
        <v>M32</v>
      </c>
      <c r="AH2" s="184" t="str">
        <v>M33</v>
      </c>
      <c r="AI2" s="184" t="str">
        <v>M34</v>
      </c>
      <c r="AJ2" s="184" t="str">
        <v>M35</v>
      </c>
      <c r="AK2" s="184" t="str">
        <v>M36</v>
      </c>
      <c r="AL2" s="145" t="s">
        <v>72</v>
      </c>
      <c r="AM2" s="146" t="s">
        <v>73</v>
      </c>
      <c r="AN2" s="147" t="s">
        <v>74</v>
      </c>
    </row>
    <row r="3" spans="1:40" x14ac:dyDescent="0.3">
      <c r="A3" s="129" t="s">
        <v>133</v>
      </c>
      <c r="B3" s="186">
        <f>'32_Inputs_GrowthRetention'!B2</f>
        <v>0</v>
      </c>
      <c r="C3" s="186">
        <f>B7</f>
        <v>1181.8181818181818</v>
      </c>
      <c r="D3" s="186">
        <f t="shared" ref="D3:AK3" si="0">C7</f>
        <v>2374.0185632708994</v>
      </c>
      <c r="E3" s="186">
        <f t="shared" si="0"/>
        <v>3577.6460763278778</v>
      </c>
      <c r="F3" s="186">
        <f t="shared" si="0"/>
        <v>4793.745101033559</v>
      </c>
      <c r="G3" s="186">
        <f t="shared" si="0"/>
        <v>6023.3603898348692</v>
      </c>
      <c r="H3" s="186">
        <f t="shared" si="0"/>
        <v>7267.5379824089559</v>
      </c>
      <c r="I3" s="186">
        <f t="shared" si="0"/>
        <v>8527.3261118941973</v>
      </c>
      <c r="J3" s="186">
        <f t="shared" si="0"/>
        <v>9803.7761034106097</v>
      </c>
      <c r="K3" s="186">
        <f t="shared" si="0"/>
        <v>11097.943265739619</v>
      </c>
      <c r="L3" s="186">
        <f t="shared" si="0"/>
        <v>12410.887777017853</v>
      </c>
      <c r="M3" s="186">
        <f t="shared" si="0"/>
        <v>13743.675565285319</v>
      </c>
      <c r="N3" s="186">
        <f t="shared" si="0"/>
        <v>15097.37918471484</v>
      </c>
      <c r="O3" s="186">
        <f t="shared" si="0"/>
        <v>20170.173345728919</v>
      </c>
      <c r="P3" s="186">
        <f t="shared" si="0"/>
        <v>25229.93352034007</v>
      </c>
      <c r="Q3" s="186">
        <f t="shared" si="0"/>
        <v>30281.351680736916</v>
      </c>
      <c r="R3" s="186">
        <f t="shared" si="0"/>
        <v>35329.063121872234</v>
      </c>
      <c r="S3" s="186">
        <f t="shared" si="0"/>
        <v>40377.651131846855</v>
      </c>
      <c r="T3" s="186">
        <f t="shared" si="0"/>
        <v>45431.651566989392</v>
      </c>
      <c r="U3" s="186">
        <f t="shared" si="0"/>
        <v>50495.557336657817</v>
      </c>
      <c r="V3" s="186">
        <f t="shared" si="0"/>
        <v>62532.522883883496</v>
      </c>
      <c r="W3" s="186">
        <f t="shared" si="0"/>
        <v>74520.286131736168</v>
      </c>
      <c r="X3" s="186">
        <f t="shared" si="0"/>
        <v>86470.002471518543</v>
      </c>
      <c r="Y3" s="186">
        <f t="shared" si="0"/>
        <v>98392.67578386578</v>
      </c>
      <c r="Z3" s="186">
        <f t="shared" si="0"/>
        <v>110299.16970255748</v>
      </c>
      <c r="AA3" s="186">
        <f t="shared" si="0"/>
        <v>122200.2186354664</v>
      </c>
      <c r="AB3" s="186">
        <f t="shared" si="0"/>
        <v>134106.43855489229</v>
      </c>
      <c r="AC3" s="186">
        <f t="shared" si="0"/>
        <v>146028.3375691963</v>
      </c>
      <c r="AD3" s="186">
        <f t="shared" si="0"/>
        <v>157976.32628733371</v>
      </c>
      <c r="AE3" s="186">
        <f t="shared" si="0"/>
        <v>169960.72798757631</v>
      </c>
      <c r="AF3" s="186">
        <f t="shared" si="0"/>
        <v>181991.78860142539</v>
      </c>
      <c r="AG3" s="186">
        <f t="shared" si="0"/>
        <v>194079.68652343584</v>
      </c>
      <c r="AH3" s="186">
        <f t="shared" si="0"/>
        <v>206234.54225740611</v>
      </c>
      <c r="AI3" s="186">
        <f t="shared" si="0"/>
        <v>218466.42790913314</v>
      </c>
      <c r="AJ3" s="186">
        <f t="shared" si="0"/>
        <v>230785.37653568905</v>
      </c>
      <c r="AK3" s="186">
        <f t="shared" si="0"/>
        <v>243201.39136094399</v>
      </c>
      <c r="AL3" s="185">
        <f>B3</f>
        <v>0</v>
      </c>
      <c r="AM3" s="186">
        <f>N3</f>
        <v>15097.37918471484</v>
      </c>
      <c r="AN3" s="187">
        <f>Z3</f>
        <v>110299.16970255748</v>
      </c>
    </row>
    <row r="4" spans="1:40" x14ac:dyDescent="0.3">
      <c r="A4" s="127" t="s">
        <v>134</v>
      </c>
      <c r="B4" s="189">
        <f>'42_OPEX'!B10/'42_OPEX'!B9</f>
        <v>1181.8181818181818</v>
      </c>
      <c r="C4" s="189">
        <f>'42_OPEX'!C10/'42_OPEX'!C9</f>
        <v>1233.4399269072635</v>
      </c>
      <c r="D4" s="189">
        <f>'42_OPEX'!D10/'42_OPEX'!D9</f>
        <v>1286.4688908223163</v>
      </c>
      <c r="E4" s="189">
        <f>'42_OPEX'!E10/'42_OPEX'!E9</f>
        <v>1340.9409845391426</v>
      </c>
      <c r="F4" s="189">
        <f>'42_OPEX'!F10/'42_OPEX'!F9</f>
        <v>1396.8930241018761</v>
      </c>
      <c r="G4" s="189">
        <f>'42_OPEX'!G10/'42_OPEX'!G9</f>
        <v>1454.3627533773749</v>
      </c>
      <c r="H4" s="189">
        <f>'42_OPEX'!H10/'42_OPEX'!H9</f>
        <v>1513.388867381402</v>
      </c>
      <c r="I4" s="189">
        <f>'42_OPEX'!I10/'42_OPEX'!I9</f>
        <v>1574.011036190961</v>
      </c>
      <c r="J4" s="189">
        <f>'42_OPEX'!J10/'42_OPEX'!J9</f>
        <v>1636.2699294575225</v>
      </c>
      <c r="K4" s="189">
        <f>'42_OPEX'!K10/'42_OPEX'!K9</f>
        <v>1700.2072415362179</v>
      </c>
      <c r="L4" s="189">
        <f>'42_OPEX'!L10/'42_OPEX'!L9</f>
        <v>1765.8657172465048</v>
      </c>
      <c r="M4" s="189">
        <f>'42_OPEX'!M10/'42_OPEX'!M9</f>
        <v>1833.2891782801523</v>
      </c>
      <c r="N4" s="189">
        <f>'42_OPEX'!N10/'42_OPEX'!N9</f>
        <v>5599.617207664699</v>
      </c>
      <c r="O4" s="189">
        <f>'42_OPEX'!O10/'42_OPEX'!O9</f>
        <v>5763.5983735103637</v>
      </c>
      <c r="P4" s="189">
        <f>'42_OPEX'!P10/'42_OPEX'!P9</f>
        <v>5931.8166905891139</v>
      </c>
      <c r="Q4" s="189">
        <f>'42_OPEX'!Q10/'42_OPEX'!Q9</f>
        <v>6104.3792080346348</v>
      </c>
      <c r="R4" s="189">
        <f>'42_OPEX'!R10/'42_OPEX'!R9</f>
        <v>6281.3956676123489</v>
      </c>
      <c r="S4" s="189">
        <f>'42_OPEX'!S10/'42_OPEX'!S9</f>
        <v>6462.9785713883321</v>
      </c>
      <c r="T4" s="189">
        <f>'42_OPEX'!T10/'42_OPEX'!T9</f>
        <v>6649.24325109852</v>
      </c>
      <c r="U4" s="189">
        <f>'42_OPEX'!U10/'42_OPEX'!U9</f>
        <v>13799.008020488356</v>
      </c>
      <c r="V4" s="189">
        <f>'42_OPEX'!V10/'42_OPEX'!V9</f>
        <v>14169.835633885792</v>
      </c>
      <c r="W4" s="189">
        <f>'42_OPEX'!W10/'42_OPEX'!W9</f>
        <v>14550.101724349315</v>
      </c>
      <c r="X4" s="189">
        <f>'42_OPEX'!X10/'42_OPEX'!X9</f>
        <v>14940.044048590875</v>
      </c>
      <c r="Y4" s="189">
        <f>'42_OPEX'!Y10/'42_OPEX'!Y9</f>
        <v>15339.906340169691</v>
      </c>
      <c r="Z4" s="189">
        <f>'42_OPEX'!Z10/'42_OPEX'!Z9</f>
        <v>15749.938459679675</v>
      </c>
      <c r="AA4" s="189">
        <f>'42_OPEX'!AA10/'42_OPEX'!AA9</f>
        <v>16170.396548710482</v>
      </c>
      <c r="AB4" s="189">
        <f>'42_OPEX'!AB10/'42_OPEX'!AB9</f>
        <v>16601.543187676998</v>
      </c>
      <c r="AC4" s="189">
        <f>'42_OPEX'!AC10/'42_OPEX'!AC9</f>
        <v>17043.64755761452</v>
      </c>
      <c r="AD4" s="189">
        <f>'42_OPEX'!AD10/'42_OPEX'!AD9</f>
        <v>17496.985606039128</v>
      </c>
      <c r="AE4" s="189">
        <f>'42_OPEX'!AE10/'42_OPEX'!AE9</f>
        <v>17961.840216975561</v>
      </c>
      <c r="AF4" s="189">
        <f>'42_OPEX'!AF10/'42_OPEX'!AF9</f>
        <v>18438.501385257205</v>
      </c>
      <c r="AG4" s="189">
        <f>'42_OPEX'!AG10/'42_OPEX'!AG9</f>
        <v>18927.266395205566</v>
      </c>
      <c r="AH4" s="189">
        <f>'42_OPEX'!AH10/'42_OPEX'!AH9</f>
        <v>19428.440003799213</v>
      </c>
      <c r="AI4" s="189">
        <f>'42_OPEX'!AI10/'42_OPEX'!AI9</f>
        <v>19942.334628445104</v>
      </c>
      <c r="AJ4" s="189">
        <f>'42_OPEX'!AJ10/'42_OPEX'!AJ9</f>
        <v>20469.270539467801</v>
      </c>
      <c r="AK4" s="189">
        <f>'42_OPEX'!AK10/'42_OPEX'!AK9</f>
        <v>21009.57605743525</v>
      </c>
      <c r="AL4" s="188">
        <f>SUMIF('23_Time'!$B$3:$AK$3, 1,B4:AK4)</f>
        <v>17916.955731658916</v>
      </c>
      <c r="AM4" s="189">
        <f>SUMIF('23_Time'!$B$3:$AK$3, 2,B4:AK4)</f>
        <v>115591.92473738204</v>
      </c>
      <c r="AN4" s="190">
        <f>SUMIF('23_Time'!$B$3:$AK$3, 3,B4:AK4)</f>
        <v>219239.74058630649</v>
      </c>
    </row>
    <row r="5" spans="1:40" x14ac:dyDescent="0.3">
      <c r="A5" s="127" t="s">
        <v>135</v>
      </c>
      <c r="B5" s="189">
        <f>B3*'32_Inputs_GrowthRetention'!$C$4</f>
        <v>0</v>
      </c>
      <c r="C5" s="189">
        <f>C3*'32_Inputs_GrowthRetention'!$C$4</f>
        <v>41.363636363636367</v>
      </c>
      <c r="D5" s="189">
        <f>D3*'32_Inputs_GrowthRetention'!$C$4</f>
        <v>83.090649714481486</v>
      </c>
      <c r="E5" s="189">
        <f>E3*'32_Inputs_GrowthRetention'!$C$4</f>
        <v>125.21761267147573</v>
      </c>
      <c r="F5" s="189">
        <f>F3*'32_Inputs_GrowthRetention'!$C$4</f>
        <v>167.78107853617459</v>
      </c>
      <c r="G5" s="189">
        <f>G3*'32_Inputs_GrowthRetention'!$C$4</f>
        <v>210.81761364422044</v>
      </c>
      <c r="H5" s="189">
        <f>H3*'32_Inputs_GrowthRetention'!$C$4</f>
        <v>254.36382938431348</v>
      </c>
      <c r="I5" s="189">
        <f>I3*'32_Inputs_GrowthRetention'!$C$4</f>
        <v>298.45641391629692</v>
      </c>
      <c r="J5" s="189">
        <f>J3*'32_Inputs_GrowthRetention'!$C$4</f>
        <v>343.1321636193714</v>
      </c>
      <c r="K5" s="189">
        <f>K3*'32_Inputs_GrowthRetention'!$C$4</f>
        <v>388.42801430088673</v>
      </c>
      <c r="L5" s="189">
        <f>L3*'32_Inputs_GrowthRetention'!$C$4</f>
        <v>434.38107219562488</v>
      </c>
      <c r="M5" s="189">
        <f>M3*'32_Inputs_GrowthRetention'!$C$4</f>
        <v>481.02864478498623</v>
      </c>
      <c r="N5" s="189">
        <f>N3*'32_Inputs_GrowthRetention'!$C$4</f>
        <v>528.40827146501942</v>
      </c>
      <c r="O5" s="189">
        <f>O3*'32_Inputs_GrowthRetention'!$C$4</f>
        <v>705.9560671005122</v>
      </c>
      <c r="P5" s="189">
        <f>P3*'32_Inputs_GrowthRetention'!$C$4</f>
        <v>883.04767321190252</v>
      </c>
      <c r="Q5" s="189">
        <f>Q3*'32_Inputs_GrowthRetention'!$C$4</f>
        <v>1059.8473088257922</v>
      </c>
      <c r="R5" s="189">
        <f>R3*'32_Inputs_GrowthRetention'!$C$4</f>
        <v>1236.5172092655282</v>
      </c>
      <c r="S5" s="189">
        <f>S3*'32_Inputs_GrowthRetention'!$C$4</f>
        <v>1413.21778961464</v>
      </c>
      <c r="T5" s="189">
        <f>T3*'32_Inputs_GrowthRetention'!$C$4</f>
        <v>1590.1078048446288</v>
      </c>
      <c r="U5" s="189">
        <f>U3*'32_Inputs_GrowthRetention'!$C$4</f>
        <v>1767.3445067830237</v>
      </c>
      <c r="V5" s="189">
        <f>V3*'32_Inputs_GrowthRetention'!$C$4</f>
        <v>2188.6383009359224</v>
      </c>
      <c r="W5" s="189">
        <f>W3*'32_Inputs_GrowthRetention'!$C$4</f>
        <v>2608.2100146107659</v>
      </c>
      <c r="X5" s="189">
        <f>X3*'32_Inputs_GrowthRetention'!$C$4</f>
        <v>3026.4500865031491</v>
      </c>
      <c r="Y5" s="189">
        <f>Y3*'32_Inputs_GrowthRetention'!$C$4</f>
        <v>3443.7436524353025</v>
      </c>
      <c r="Z5" s="189">
        <f>Z3*'32_Inputs_GrowthRetention'!$C$4</f>
        <v>3860.4709395895125</v>
      </c>
      <c r="AA5" s="189">
        <f>AA3*'32_Inputs_GrowthRetention'!$C$4</f>
        <v>4277.0076522413246</v>
      </c>
      <c r="AB5" s="189">
        <f>AB3*'32_Inputs_GrowthRetention'!$C$4</f>
        <v>4693.7253494212309</v>
      </c>
      <c r="AC5" s="189">
        <f>AC3*'32_Inputs_GrowthRetention'!$C$4</f>
        <v>5110.9918149218711</v>
      </c>
      <c r="AD5" s="189">
        <f>AD3*'32_Inputs_GrowthRetention'!$C$4</f>
        <v>5529.1714200566803</v>
      </c>
      <c r="AE5" s="189">
        <f>AE3*'32_Inputs_GrowthRetention'!$C$4</f>
        <v>5948.6254795651712</v>
      </c>
      <c r="AF5" s="189">
        <f>AF3*'32_Inputs_GrowthRetention'!$C$4</f>
        <v>6369.7126010498896</v>
      </c>
      <c r="AG5" s="189">
        <f>AG3*'32_Inputs_GrowthRetention'!$C$4</f>
        <v>6792.7890283202551</v>
      </c>
      <c r="AH5" s="189">
        <f>AH3*'32_Inputs_GrowthRetention'!$C$4</f>
        <v>7218.2089790092141</v>
      </c>
      <c r="AI5" s="189">
        <f>AI3*'32_Inputs_GrowthRetention'!$C$4</f>
        <v>7646.3249768196611</v>
      </c>
      <c r="AJ5" s="189">
        <f>AJ3*'32_Inputs_GrowthRetention'!$C$4</f>
        <v>8077.4881787491177</v>
      </c>
      <c r="AK5" s="189">
        <f>AK3*'32_Inputs_GrowthRetention'!$C$4</f>
        <v>8512.0486976330412</v>
      </c>
      <c r="AL5" s="188">
        <f>SUMIF('23_Time'!$B$3:$AK$3, 1,B5:AK5)</f>
        <v>2828.0607291314682</v>
      </c>
      <c r="AM5" s="189">
        <f>SUMIF('23_Time'!$B$3:$AK$3, 2,B5:AK5)</f>
        <v>20451.488685596185</v>
      </c>
      <c r="AN5" s="190">
        <f>SUMIF('23_Time'!$B$3:$AK$3, 3,B5:AK5)</f>
        <v>74036.565117376973</v>
      </c>
    </row>
    <row r="6" spans="1:40" x14ac:dyDescent="0.3">
      <c r="A6" s="127" t="s">
        <v>136</v>
      </c>
      <c r="B6" s="189">
        <f>B5*'32_Inputs_GrowthRetention'!$B$6</f>
        <v>0</v>
      </c>
      <c r="C6" s="189">
        <f>C5*'32_Inputs_GrowthRetention'!$B$6</f>
        <v>0.1240909090909091</v>
      </c>
      <c r="D6" s="189">
        <f>D5*'32_Inputs_GrowthRetention'!$B$6</f>
        <v>0.24927194914344447</v>
      </c>
      <c r="E6" s="189">
        <f>E5*'32_Inputs_GrowthRetention'!$B$6</f>
        <v>0.37565283801442723</v>
      </c>
      <c r="F6" s="189">
        <f>F5*'32_Inputs_GrowthRetention'!$B$6</f>
        <v>0.50334323560852379</v>
      </c>
      <c r="G6" s="189">
        <f>G5*'32_Inputs_GrowthRetention'!$B$6</f>
        <v>0.6324528409326613</v>
      </c>
      <c r="H6" s="189">
        <f>H5*'32_Inputs_GrowthRetention'!$B$6</f>
        <v>0.76309148815294048</v>
      </c>
      <c r="I6" s="189">
        <f>I5*'32_Inputs_GrowthRetention'!$B$6</f>
        <v>0.89536924174889077</v>
      </c>
      <c r="J6" s="189">
        <f>J5*'32_Inputs_GrowthRetention'!$B$6</f>
        <v>1.0293964908581141</v>
      </c>
      <c r="K6" s="189">
        <f>K5*'32_Inputs_GrowthRetention'!$B$6</f>
        <v>1.1652840429026603</v>
      </c>
      <c r="L6" s="189">
        <f>L5*'32_Inputs_GrowthRetention'!$B$6</f>
        <v>1.3031432165868746</v>
      </c>
      <c r="M6" s="189">
        <f>M5*'32_Inputs_GrowthRetention'!$B$6</f>
        <v>1.4430859343549587</v>
      </c>
      <c r="N6" s="189">
        <f>N5*'32_Inputs_GrowthRetention'!$B$6</f>
        <v>1.5852248143950582</v>
      </c>
      <c r="O6" s="189">
        <f>O5*'32_Inputs_GrowthRetention'!$B$6</f>
        <v>2.1178682013015369</v>
      </c>
      <c r="P6" s="189">
        <f>P5*'32_Inputs_GrowthRetention'!$B$6</f>
        <v>2.6491430196357078</v>
      </c>
      <c r="Q6" s="189">
        <f>Q5*'32_Inputs_GrowthRetention'!$B$6</f>
        <v>3.1795419264773765</v>
      </c>
      <c r="R6" s="189">
        <f>R5*'32_Inputs_GrowthRetention'!$B$6</f>
        <v>3.7095516277965848</v>
      </c>
      <c r="S6" s="189">
        <f>S5*'32_Inputs_GrowthRetention'!$B$6</f>
        <v>4.2396533688439204</v>
      </c>
      <c r="T6" s="189">
        <f>T5*'32_Inputs_GrowthRetention'!$B$6</f>
        <v>4.7703234145338866</v>
      </c>
      <c r="U6" s="189">
        <f>U5*'32_Inputs_GrowthRetention'!$B$6</f>
        <v>5.3020335203490712</v>
      </c>
      <c r="V6" s="189">
        <f>V5*'32_Inputs_GrowthRetention'!$B$6</f>
        <v>6.5659149028077675</v>
      </c>
      <c r="W6" s="189">
        <f>W5*'32_Inputs_GrowthRetention'!$B$6</f>
        <v>7.8246300438322978</v>
      </c>
      <c r="X6" s="189">
        <f>X5*'32_Inputs_GrowthRetention'!$B$6</f>
        <v>9.0793502595094484</v>
      </c>
      <c r="Y6" s="189">
        <f>Y5*'32_Inputs_GrowthRetention'!$B$6</f>
        <v>10.331230957305907</v>
      </c>
      <c r="Z6" s="189">
        <f>Z5*'32_Inputs_GrowthRetention'!$B$6</f>
        <v>11.581412818768538</v>
      </c>
      <c r="AA6" s="189">
        <f>AA5*'32_Inputs_GrowthRetention'!$B$6</f>
        <v>12.831022956723974</v>
      </c>
      <c r="AB6" s="189">
        <f>AB5*'32_Inputs_GrowthRetention'!$B$6</f>
        <v>14.081176048263693</v>
      </c>
      <c r="AC6" s="189">
        <f>AC5*'32_Inputs_GrowthRetention'!$B$6</f>
        <v>15.332975444765614</v>
      </c>
      <c r="AD6" s="189">
        <f>AD5*'32_Inputs_GrowthRetention'!$B$6</f>
        <v>16.587514260170042</v>
      </c>
      <c r="AE6" s="189">
        <f>AE5*'32_Inputs_GrowthRetention'!$B$6</f>
        <v>17.845876438695512</v>
      </c>
      <c r="AF6" s="189">
        <f>AF5*'32_Inputs_GrowthRetention'!$B$6</f>
        <v>19.109137803149668</v>
      </c>
      <c r="AG6" s="189">
        <f>AG5*'32_Inputs_GrowthRetention'!$B$6</f>
        <v>20.378367084960765</v>
      </c>
      <c r="AH6" s="189">
        <f>AH5*'32_Inputs_GrowthRetention'!$B$6</f>
        <v>21.654626937027643</v>
      </c>
      <c r="AI6" s="189">
        <f>AI5*'32_Inputs_GrowthRetention'!$B$6</f>
        <v>22.938974930458983</v>
      </c>
      <c r="AJ6" s="189">
        <f>AJ5*'32_Inputs_GrowthRetention'!$B$6</f>
        <v>24.232464536247353</v>
      </c>
      <c r="AK6" s="189">
        <f>AK5*'32_Inputs_GrowthRetention'!$B$6</f>
        <v>25.536146092899124</v>
      </c>
      <c r="AL6" s="188">
        <f>SUMIF('23_Time'!$B$3:$AK$3, 1,B6:AK6)</f>
        <v>8.4841821873944063</v>
      </c>
      <c r="AM6" s="189">
        <f>SUMIF('23_Time'!$B$3:$AK$3, 2,B6:AK6)</f>
        <v>61.35446605678856</v>
      </c>
      <c r="AN6" s="190">
        <f>SUMIF('23_Time'!$B$3:$AK$3, 3,B6:AK6)</f>
        <v>222.1096953521309</v>
      </c>
    </row>
    <row r="7" spans="1:40" ht="15" thickBot="1" x14ac:dyDescent="0.35">
      <c r="A7" s="127" t="s">
        <v>137</v>
      </c>
      <c r="B7" s="189">
        <f>B3+B4-B5+B6</f>
        <v>1181.8181818181818</v>
      </c>
      <c r="C7" s="189">
        <f t="shared" ref="C7:AK7" si="1">C3+C4-C5+C6</f>
        <v>2374.0185632708994</v>
      </c>
      <c r="D7" s="189">
        <f t="shared" si="1"/>
        <v>3577.6460763278778</v>
      </c>
      <c r="E7" s="189">
        <f t="shared" si="1"/>
        <v>4793.745101033559</v>
      </c>
      <c r="F7" s="189">
        <f t="shared" si="1"/>
        <v>6023.3603898348692</v>
      </c>
      <c r="G7" s="189">
        <f t="shared" si="1"/>
        <v>7267.5379824089559</v>
      </c>
      <c r="H7" s="189">
        <f t="shared" si="1"/>
        <v>8527.3261118941973</v>
      </c>
      <c r="I7" s="189">
        <f t="shared" si="1"/>
        <v>9803.7761034106097</v>
      </c>
      <c r="J7" s="189">
        <f t="shared" si="1"/>
        <v>11097.943265739619</v>
      </c>
      <c r="K7" s="189">
        <f t="shared" si="1"/>
        <v>12410.887777017853</v>
      </c>
      <c r="L7" s="189">
        <f t="shared" si="1"/>
        <v>13743.675565285319</v>
      </c>
      <c r="M7" s="189">
        <f t="shared" si="1"/>
        <v>15097.37918471484</v>
      </c>
      <c r="N7" s="189">
        <f t="shared" si="1"/>
        <v>20170.173345728919</v>
      </c>
      <c r="O7" s="189">
        <f t="shared" si="1"/>
        <v>25229.93352034007</v>
      </c>
      <c r="P7" s="189">
        <f t="shared" si="1"/>
        <v>30281.351680736916</v>
      </c>
      <c r="Q7" s="189">
        <f t="shared" si="1"/>
        <v>35329.063121872234</v>
      </c>
      <c r="R7" s="189">
        <f t="shared" si="1"/>
        <v>40377.651131846855</v>
      </c>
      <c r="S7" s="189">
        <f t="shared" si="1"/>
        <v>45431.651566989392</v>
      </c>
      <c r="T7" s="189">
        <f t="shared" si="1"/>
        <v>50495.557336657817</v>
      </c>
      <c r="U7" s="189">
        <f t="shared" si="1"/>
        <v>62532.522883883496</v>
      </c>
      <c r="V7" s="189">
        <f t="shared" si="1"/>
        <v>74520.286131736168</v>
      </c>
      <c r="W7" s="189">
        <f t="shared" si="1"/>
        <v>86470.002471518543</v>
      </c>
      <c r="X7" s="189">
        <f t="shared" si="1"/>
        <v>98392.67578386578</v>
      </c>
      <c r="Y7" s="189">
        <f t="shared" si="1"/>
        <v>110299.16970255748</v>
      </c>
      <c r="Z7" s="189">
        <f t="shared" si="1"/>
        <v>122200.2186354664</v>
      </c>
      <c r="AA7" s="189">
        <f t="shared" si="1"/>
        <v>134106.43855489229</v>
      </c>
      <c r="AB7" s="189">
        <f t="shared" si="1"/>
        <v>146028.3375691963</v>
      </c>
      <c r="AC7" s="189">
        <f t="shared" si="1"/>
        <v>157976.32628733371</v>
      </c>
      <c r="AD7" s="189">
        <f t="shared" si="1"/>
        <v>169960.72798757631</v>
      </c>
      <c r="AE7" s="189">
        <f t="shared" si="1"/>
        <v>181991.78860142539</v>
      </c>
      <c r="AF7" s="189">
        <f t="shared" si="1"/>
        <v>194079.68652343584</v>
      </c>
      <c r="AG7" s="189">
        <f t="shared" si="1"/>
        <v>206234.54225740611</v>
      </c>
      <c r="AH7" s="189">
        <f t="shared" si="1"/>
        <v>218466.42790913314</v>
      </c>
      <c r="AI7" s="189">
        <f t="shared" si="1"/>
        <v>230785.37653568905</v>
      </c>
      <c r="AJ7" s="189">
        <f t="shared" si="1"/>
        <v>243201.39136094399</v>
      </c>
      <c r="AK7" s="189">
        <f t="shared" si="1"/>
        <v>255724.45486683914</v>
      </c>
      <c r="AL7" s="188">
        <f>M7</f>
        <v>15097.37918471484</v>
      </c>
      <c r="AM7" s="189">
        <f>Y7</f>
        <v>110299.16970255748</v>
      </c>
      <c r="AN7" s="190">
        <f>AK7</f>
        <v>255724.45486683914</v>
      </c>
    </row>
    <row r="8" spans="1:40" x14ac:dyDescent="0.3">
      <c r="A8" s="32" t="s">
        <v>138</v>
      </c>
      <c r="B8" s="276">
        <f>B7*'32_Inputs_GrowthRetention'!$B$7</f>
        <v>1004.5454545454545</v>
      </c>
      <c r="C8" s="276">
        <f>C7*'32_Inputs_GrowthRetention'!$B$7</f>
        <v>2017.9157787802644</v>
      </c>
      <c r="D8" s="276">
        <f>D7*'32_Inputs_GrowthRetention'!$B$7</f>
        <v>3040.9991648786959</v>
      </c>
      <c r="E8" s="276">
        <f>E7*'32_Inputs_GrowthRetention'!$B$7</f>
        <v>4074.6833358785252</v>
      </c>
      <c r="F8" s="276">
        <f>F7*'32_Inputs_GrowthRetention'!$B$7</f>
        <v>5119.8563313596387</v>
      </c>
      <c r="G8" s="276">
        <f>G7*'32_Inputs_GrowthRetention'!$B$7</f>
        <v>6177.4072850476123</v>
      </c>
      <c r="H8" s="276">
        <f>H7*'32_Inputs_GrowthRetention'!$B$7</f>
        <v>7248.2271951100674</v>
      </c>
      <c r="I8" s="276">
        <f>I7*'32_Inputs_GrowthRetention'!$B$7</f>
        <v>8333.2096878990178</v>
      </c>
      <c r="J8" s="276">
        <f>J7*'32_Inputs_GrowthRetention'!$B$7</f>
        <v>9433.2517758786762</v>
      </c>
      <c r="K8" s="276">
        <f>K7*'32_Inputs_GrowthRetention'!$B$7</f>
        <v>10549.254610465176</v>
      </c>
      <c r="L8" s="276">
        <f>L7*'32_Inputs_GrowthRetention'!$B$7</f>
        <v>11682.12423049252</v>
      </c>
      <c r="M8" s="276">
        <f>M7*'32_Inputs_GrowthRetention'!$B$7</f>
        <v>12832.772307007614</v>
      </c>
      <c r="N8" s="276">
        <f>N7*'32_Inputs_GrowthRetention'!$B$7</f>
        <v>17144.647343869579</v>
      </c>
      <c r="O8" s="276">
        <f>O7*'32_Inputs_GrowthRetention'!$B$7</f>
        <v>21445.443492289058</v>
      </c>
      <c r="P8" s="276">
        <f>P7*'32_Inputs_GrowthRetention'!$B$7</f>
        <v>25739.148928626379</v>
      </c>
      <c r="Q8" s="276">
        <f>Q7*'32_Inputs_GrowthRetention'!$B$7</f>
        <v>30029.703653591398</v>
      </c>
      <c r="R8" s="276">
        <f>R7*'32_Inputs_GrowthRetention'!$B$7</f>
        <v>34321.003462069828</v>
      </c>
      <c r="S8" s="276">
        <f>S7*'32_Inputs_GrowthRetention'!$B$7</f>
        <v>38616.903831940981</v>
      </c>
      <c r="T8" s="276">
        <f>T7*'32_Inputs_GrowthRetention'!$B$7</f>
        <v>42921.223736159147</v>
      </c>
      <c r="U8" s="276">
        <f>U7*'32_Inputs_GrowthRetention'!$B$7</f>
        <v>53152.64445130097</v>
      </c>
      <c r="V8" s="276">
        <f>V7*'32_Inputs_GrowthRetention'!$B$7</f>
        <v>63342.243211975743</v>
      </c>
      <c r="W8" s="276">
        <f>W7*'32_Inputs_GrowthRetention'!$B$7</f>
        <v>73499.502100790764</v>
      </c>
      <c r="X8" s="276">
        <f>X7*'32_Inputs_GrowthRetention'!$B$7</f>
        <v>83633.774416285916</v>
      </c>
      <c r="Y8" s="276">
        <f>Y7*'32_Inputs_GrowthRetention'!$B$7</f>
        <v>93754.294247173864</v>
      </c>
      <c r="Z8" s="276">
        <f>Z7*'32_Inputs_GrowthRetention'!$B$7</f>
        <v>103870.18584014644</v>
      </c>
      <c r="AA8" s="276">
        <f>AA7*'32_Inputs_GrowthRetention'!$B$7</f>
        <v>113990.47277165845</v>
      </c>
      <c r="AB8" s="276">
        <f>AB7*'32_Inputs_GrowthRetention'!$B$7</f>
        <v>124124.08693381686</v>
      </c>
      <c r="AC8" s="276">
        <f>AC7*'32_Inputs_GrowthRetention'!$B$7</f>
        <v>134279.87734423365</v>
      </c>
      <c r="AD8" s="276">
        <f>AD7*'32_Inputs_GrowthRetention'!$B$7</f>
        <v>144466.61878943985</v>
      </c>
      <c r="AE8" s="276">
        <f>AE7*'32_Inputs_GrowthRetention'!$B$7</f>
        <v>154693.02031121159</v>
      </c>
      <c r="AF8" s="276">
        <f>AF7*'32_Inputs_GrowthRetention'!$B$7</f>
        <v>164967.73354492045</v>
      </c>
      <c r="AG8" s="276">
        <f>AG7*'32_Inputs_GrowthRetention'!$B$7</f>
        <v>175299.3609187952</v>
      </c>
      <c r="AH8" s="276">
        <f>AH7*'32_Inputs_GrowthRetention'!$B$7</f>
        <v>185696.46372276318</v>
      </c>
      <c r="AI8" s="276">
        <f>AI7*'32_Inputs_GrowthRetention'!$B$7</f>
        <v>196167.5700553357</v>
      </c>
      <c r="AJ8" s="276">
        <f>AJ7*'32_Inputs_GrowthRetention'!$B$7</f>
        <v>206721.18265680238</v>
      </c>
      <c r="AK8" s="276">
        <f>AK7*'32_Inputs_GrowthRetention'!$B$7</f>
        <v>217365.78663681325</v>
      </c>
      <c r="AL8" s="277">
        <f>AL7*'32_Inputs_GrowthRetention'!$B$7</f>
        <v>12832.772307007614</v>
      </c>
      <c r="AM8" s="276">
        <f>AM7*'32_Inputs_GrowthRetention'!$B$7</f>
        <v>93754.294247173864</v>
      </c>
      <c r="AN8" s="278">
        <f>AN7*'32_Inputs_GrowthRetention'!$B$7</f>
        <v>217365.78663681325</v>
      </c>
    </row>
    <row r="9" spans="1:40" ht="15" thickBot="1" x14ac:dyDescent="0.35">
      <c r="A9" s="24" t="s">
        <v>139</v>
      </c>
      <c r="B9" s="25">
        <f>B7-B3</f>
        <v>1181.8181818181818</v>
      </c>
      <c r="C9" s="25">
        <f t="shared" ref="C9:AK9" si="2">C7-C3</f>
        <v>1192.2003814527177</v>
      </c>
      <c r="D9" s="25">
        <f t="shared" si="2"/>
        <v>1203.6275130569784</v>
      </c>
      <c r="E9" s="25">
        <f t="shared" si="2"/>
        <v>1216.0990247056811</v>
      </c>
      <c r="F9" s="25">
        <f t="shared" si="2"/>
        <v>1229.6152888013103</v>
      </c>
      <c r="G9" s="25">
        <f t="shared" si="2"/>
        <v>1244.1775925740867</v>
      </c>
      <c r="H9" s="25">
        <f t="shared" si="2"/>
        <v>1259.7881294852414</v>
      </c>
      <c r="I9" s="25">
        <f t="shared" si="2"/>
        <v>1276.4499915164124</v>
      </c>
      <c r="J9" s="25">
        <f t="shared" si="2"/>
        <v>1294.1671623290094</v>
      </c>
      <c r="K9" s="25">
        <f t="shared" si="2"/>
        <v>1312.9445112782341</v>
      </c>
      <c r="L9" s="25">
        <f t="shared" si="2"/>
        <v>1332.7877882674657</v>
      </c>
      <c r="M9" s="25">
        <f t="shared" si="2"/>
        <v>1353.7036194295215</v>
      </c>
      <c r="N9" s="25">
        <f t="shared" si="2"/>
        <v>5072.7941610140788</v>
      </c>
      <c r="O9" s="25">
        <f t="shared" si="2"/>
        <v>5059.7601746111504</v>
      </c>
      <c r="P9" s="25">
        <f t="shared" si="2"/>
        <v>5051.4181603968464</v>
      </c>
      <c r="Q9" s="25">
        <f t="shared" si="2"/>
        <v>5047.7114411353177</v>
      </c>
      <c r="R9" s="25">
        <f t="shared" si="2"/>
        <v>5048.5880099746209</v>
      </c>
      <c r="S9" s="25">
        <f t="shared" si="2"/>
        <v>5054.0004351425378</v>
      </c>
      <c r="T9" s="25">
        <f t="shared" si="2"/>
        <v>5063.9057696684249</v>
      </c>
      <c r="U9" s="25">
        <f t="shared" si="2"/>
        <v>12036.965547225678</v>
      </c>
      <c r="V9" s="25">
        <f t="shared" si="2"/>
        <v>11987.763247852672</v>
      </c>
      <c r="W9" s="25">
        <f t="shared" si="2"/>
        <v>11949.716339782375</v>
      </c>
      <c r="X9" s="25">
        <f t="shared" si="2"/>
        <v>11922.673312347237</v>
      </c>
      <c r="Y9" s="25">
        <f t="shared" si="2"/>
        <v>11906.493918691704</v>
      </c>
      <c r="Z9" s="25">
        <f t="shared" si="2"/>
        <v>11901.048932908918</v>
      </c>
      <c r="AA9" s="25">
        <f t="shared" si="2"/>
        <v>11906.219919425886</v>
      </c>
      <c r="AB9" s="25">
        <f t="shared" si="2"/>
        <v>11921.899014304014</v>
      </c>
      <c r="AC9" s="25">
        <f t="shared" si="2"/>
        <v>11947.988718137407</v>
      </c>
      <c r="AD9" s="25">
        <f t="shared" si="2"/>
        <v>11984.401700242597</v>
      </c>
      <c r="AE9" s="25">
        <f t="shared" si="2"/>
        <v>12031.060613849084</v>
      </c>
      <c r="AF9" s="25">
        <f t="shared" si="2"/>
        <v>12087.897922010452</v>
      </c>
      <c r="AG9" s="25">
        <f t="shared" si="2"/>
        <v>12154.855733970267</v>
      </c>
      <c r="AH9" s="25">
        <f t="shared" si="2"/>
        <v>12231.885651727032</v>
      </c>
      <c r="AI9" s="25">
        <f t="shared" si="2"/>
        <v>12318.94862655591</v>
      </c>
      <c r="AJ9" s="25">
        <f t="shared" si="2"/>
        <v>12416.014825254941</v>
      </c>
      <c r="AK9" s="25">
        <f t="shared" si="2"/>
        <v>12523.063505895145</v>
      </c>
      <c r="AL9" s="26">
        <f>SUMIF('23_Time'!$B$3:$AK$3, 1,B9:AK9)</f>
        <v>15097.37918471484</v>
      </c>
      <c r="AM9" s="25">
        <f>SUMIF('23_Time'!$B$3:$AK$3, 2,B9:AK9)</f>
        <v>95201.790517842644</v>
      </c>
      <c r="AN9" s="27">
        <f>SUMIF('23_Time'!$B$3:$AK$3, 3,B9:AK9)</f>
        <v>145425.28516428167</v>
      </c>
    </row>
    <row r="10" spans="1:40" x14ac:dyDescent="0.3">
      <c r="B10" s="5"/>
      <c r="C10" s="5"/>
      <c r="D10" s="5"/>
      <c r="E10" s="5"/>
      <c r="F10" s="5"/>
      <c r="G10" s="5"/>
      <c r="H10" s="5"/>
      <c r="I10" s="5"/>
      <c r="J10" s="5"/>
      <c r="K10" s="5"/>
      <c r="L10" s="5"/>
      <c r="M10" s="5"/>
      <c r="N10" s="5"/>
      <c r="O10" s="5"/>
      <c r="P10" s="5"/>
      <c r="Q10" s="5"/>
      <c r="R10" s="5"/>
      <c r="S10" s="5"/>
      <c r="T10" s="5"/>
      <c r="U10" s="5"/>
      <c r="V10" s="5"/>
      <c r="W10" s="5"/>
      <c r="X10" s="5"/>
      <c r="Y10" s="5"/>
      <c r="Z10" s="5"/>
      <c r="AA10" s="5"/>
      <c r="AB10" s="5"/>
      <c r="AC10" s="5"/>
      <c r="AD10" s="5"/>
      <c r="AE10" s="5"/>
      <c r="AF10" s="5"/>
      <c r="AG10" s="5"/>
      <c r="AH10" s="5"/>
      <c r="AI10" s="5"/>
      <c r="AJ10" s="5"/>
      <c r="AK10" s="5"/>
      <c r="AL10" s="5"/>
      <c r="AM10" s="5"/>
      <c r="AN10" s="5"/>
    </row>
    <row r="11" spans="1:40" x14ac:dyDescent="0.3">
      <c r="B11" s="5"/>
      <c r="C11" s="5"/>
      <c r="D11" s="5"/>
      <c r="E11" s="5"/>
      <c r="F11" s="5"/>
      <c r="G11" s="5"/>
      <c r="H11" s="5"/>
      <c r="I11" s="5"/>
      <c r="J11" s="5"/>
      <c r="K11" s="5"/>
      <c r="L11" s="5"/>
      <c r="M11" s="5"/>
      <c r="N11" s="5"/>
      <c r="O11" s="5"/>
      <c r="P11" s="5"/>
      <c r="Q11" s="5"/>
      <c r="R11" s="5"/>
      <c r="S11" s="5"/>
      <c r="T11" s="5"/>
      <c r="U11" s="5"/>
      <c r="V11" s="5"/>
      <c r="W11" s="5"/>
      <c r="X11" s="5"/>
      <c r="Y11" s="5"/>
      <c r="Z11" s="5"/>
      <c r="AA11" s="5"/>
      <c r="AB11" s="5"/>
      <c r="AC11" s="5"/>
      <c r="AD11" s="5"/>
      <c r="AE11" s="5"/>
      <c r="AF11" s="5"/>
      <c r="AG11" s="5"/>
      <c r="AH11" s="5"/>
      <c r="AI11" s="5"/>
      <c r="AJ11" s="5"/>
      <c r="AK11" s="5"/>
      <c r="AL11" s="5"/>
      <c r="AM11" s="5"/>
      <c r="AN11" s="5"/>
    </row>
    <row r="12" spans="1:40" x14ac:dyDescent="0.3">
      <c r="B12" s="5"/>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c r="AL12" s="5"/>
      <c r="AM12" s="5"/>
      <c r="AN12" s="5"/>
    </row>
    <row r="13" spans="1:40" x14ac:dyDescent="0.3">
      <c r="B13" s="5"/>
      <c r="C13" s="5"/>
      <c r="D13" s="5"/>
      <c r="E13" s="5"/>
      <c r="F13" s="5"/>
      <c r="G13" s="5"/>
      <c r="H13" s="5"/>
      <c r="I13" s="5"/>
      <c r="J13" s="5"/>
      <c r="K13" s="5"/>
      <c r="L13" s="5"/>
      <c r="M13" s="5"/>
      <c r="N13" s="5"/>
      <c r="O13" s="5"/>
      <c r="P13" s="5"/>
      <c r="Q13" s="5"/>
      <c r="R13" s="5"/>
      <c r="S13" s="5"/>
      <c r="T13" s="5"/>
      <c r="U13" s="5"/>
      <c r="V13" s="5"/>
      <c r="W13" s="5"/>
      <c r="X13" s="5"/>
      <c r="Y13" s="5"/>
      <c r="Z13" s="5"/>
      <c r="AA13" s="5"/>
      <c r="AB13" s="5"/>
      <c r="AC13" s="5"/>
      <c r="AD13" s="5"/>
      <c r="AE13" s="5"/>
      <c r="AF13" s="5"/>
      <c r="AG13" s="5"/>
      <c r="AH13" s="5"/>
      <c r="AI13" s="5"/>
      <c r="AJ13" s="5"/>
      <c r="AK13" s="5"/>
      <c r="AL13" s="5"/>
      <c r="AM13" s="5"/>
      <c r="AN13" s="5"/>
    </row>
    <row r="14" spans="1:40" x14ac:dyDescent="0.3">
      <c r="B14" s="5"/>
      <c r="C14" s="5"/>
      <c r="D14" s="5"/>
      <c r="E14" s="5"/>
      <c r="F14" s="5"/>
      <c r="G14" s="5"/>
      <c r="H14" s="5"/>
      <c r="I14" s="5"/>
      <c r="J14" s="5"/>
      <c r="K14" s="5"/>
      <c r="L14" s="5"/>
      <c r="M14" s="5"/>
      <c r="N14" s="5"/>
      <c r="O14" s="5"/>
      <c r="P14" s="5"/>
      <c r="Q14" s="5"/>
      <c r="R14" s="5"/>
      <c r="S14" s="5"/>
      <c r="T14" s="5"/>
      <c r="U14" s="5"/>
      <c r="V14" s="5"/>
      <c r="W14" s="5"/>
      <c r="X14" s="5"/>
      <c r="Y14" s="5"/>
      <c r="Z14" s="5"/>
      <c r="AA14" s="5"/>
      <c r="AB14" s="5"/>
      <c r="AC14" s="5"/>
      <c r="AD14" s="5"/>
      <c r="AE14" s="5"/>
      <c r="AF14" s="5"/>
      <c r="AG14" s="5"/>
      <c r="AH14" s="5"/>
      <c r="AI14" s="5"/>
      <c r="AJ14" s="5"/>
      <c r="AK14" s="5"/>
      <c r="AL14" s="5"/>
      <c r="AM14" s="5"/>
      <c r="AN14" s="5"/>
    </row>
    <row r="15" spans="1:40" x14ac:dyDescent="0.3">
      <c r="A15" s="1"/>
      <c r="B15" s="9"/>
      <c r="C15" s="9"/>
      <c r="D15" s="9"/>
      <c r="E15" s="9"/>
      <c r="F15" s="9"/>
      <c r="G15" s="9"/>
      <c r="H15" s="9"/>
      <c r="I15" s="9"/>
      <c r="J15" s="9"/>
      <c r="K15" s="5"/>
      <c r="L15" s="5"/>
      <c r="M15" s="5"/>
      <c r="N15" s="5"/>
      <c r="O15" s="5"/>
      <c r="P15" s="5"/>
      <c r="Q15" s="5"/>
      <c r="R15" s="5"/>
      <c r="S15" s="5"/>
      <c r="T15" s="5"/>
      <c r="U15" s="5"/>
      <c r="V15" s="5"/>
      <c r="W15" s="5"/>
      <c r="X15" s="5"/>
      <c r="Y15" s="5"/>
      <c r="Z15" s="5"/>
      <c r="AA15" s="5"/>
      <c r="AB15" s="5"/>
      <c r="AC15" s="5"/>
      <c r="AD15" s="5"/>
      <c r="AE15" s="5"/>
      <c r="AF15" s="5"/>
      <c r="AG15" s="5"/>
      <c r="AH15" s="5"/>
      <c r="AI15" s="5"/>
      <c r="AJ15" s="5"/>
      <c r="AK15" s="5"/>
      <c r="AL15" s="5"/>
      <c r="AM15" s="5"/>
      <c r="AN15" s="5"/>
    </row>
    <row r="16" spans="1:40" x14ac:dyDescent="0.3">
      <c r="A16" s="1"/>
      <c r="B16" s="9"/>
      <c r="C16" s="9"/>
      <c r="D16" s="9"/>
      <c r="E16" s="9"/>
      <c r="F16" s="9"/>
      <c r="G16" s="9"/>
      <c r="H16" s="9"/>
      <c r="I16" s="9"/>
      <c r="J16" s="9"/>
      <c r="K16" s="5"/>
      <c r="L16" s="5"/>
      <c r="M16" s="5"/>
      <c r="N16" s="5"/>
      <c r="O16" s="5"/>
      <c r="P16" s="5"/>
      <c r="Q16" s="5"/>
      <c r="R16" s="5"/>
      <c r="S16" s="5"/>
      <c r="T16" s="5"/>
      <c r="U16" s="5"/>
      <c r="V16" s="5"/>
      <c r="W16" s="5"/>
      <c r="X16" s="5"/>
      <c r="Y16" s="5"/>
      <c r="Z16" s="5"/>
      <c r="AA16" s="5"/>
      <c r="AB16" s="5"/>
      <c r="AC16" s="5"/>
      <c r="AD16" s="5"/>
      <c r="AE16" s="5"/>
      <c r="AF16" s="5"/>
      <c r="AG16" s="5"/>
      <c r="AH16" s="5"/>
      <c r="AI16" s="5"/>
      <c r="AJ16" s="5"/>
      <c r="AK16" s="5"/>
      <c r="AL16" s="5"/>
      <c r="AM16" s="5"/>
      <c r="AN16" s="5"/>
    </row>
    <row r="17" spans="1:40" x14ac:dyDescent="0.3">
      <c r="A17" s="1"/>
      <c r="B17" s="9"/>
      <c r="C17" s="9"/>
      <c r="D17" s="9"/>
      <c r="E17" s="9"/>
      <c r="F17" s="9"/>
      <c r="G17" s="9"/>
      <c r="H17" s="9"/>
      <c r="I17" s="9"/>
      <c r="J17" s="9"/>
      <c r="K17" s="5"/>
      <c r="L17" s="5"/>
      <c r="M17" s="5"/>
      <c r="N17" s="5"/>
      <c r="O17" s="5"/>
      <c r="P17" s="5"/>
      <c r="Q17" s="5"/>
      <c r="R17" s="5"/>
      <c r="S17" s="5"/>
      <c r="T17" s="5"/>
      <c r="U17" s="5"/>
      <c r="V17" s="5"/>
      <c r="W17" s="5"/>
      <c r="X17" s="5"/>
      <c r="Y17" s="5"/>
      <c r="Z17" s="5"/>
      <c r="AA17" s="5"/>
      <c r="AB17" s="5"/>
      <c r="AC17" s="5"/>
      <c r="AD17" s="5"/>
      <c r="AE17" s="5"/>
      <c r="AF17" s="5"/>
      <c r="AG17" s="5"/>
      <c r="AH17" s="5"/>
      <c r="AI17" s="5"/>
      <c r="AJ17" s="5"/>
      <c r="AK17" s="5"/>
      <c r="AL17" s="5"/>
      <c r="AM17" s="5"/>
      <c r="AN17" s="5"/>
    </row>
    <row r="18" spans="1:40" x14ac:dyDescent="0.3">
      <c r="A18" s="1"/>
      <c r="B18" s="9"/>
      <c r="C18" s="9"/>
      <c r="D18" s="9"/>
      <c r="E18" s="9"/>
      <c r="F18" s="9"/>
      <c r="G18" s="9"/>
      <c r="H18" s="9"/>
      <c r="I18" s="9"/>
      <c r="J18" s="9"/>
      <c r="K18" s="5"/>
      <c r="L18" s="5"/>
      <c r="M18" s="5"/>
      <c r="N18" s="5"/>
      <c r="O18" s="5"/>
      <c r="P18" s="5"/>
      <c r="Q18" s="5"/>
      <c r="R18" s="5"/>
      <c r="S18" s="5"/>
      <c r="T18" s="5"/>
      <c r="U18" s="5"/>
      <c r="V18" s="5"/>
      <c r="W18" s="5"/>
      <c r="X18" s="5"/>
      <c r="Y18" s="5"/>
      <c r="Z18" s="5"/>
      <c r="AA18" s="5"/>
      <c r="AB18" s="5"/>
      <c r="AC18" s="5"/>
      <c r="AD18" s="5"/>
      <c r="AE18" s="5"/>
      <c r="AF18" s="5"/>
      <c r="AG18" s="5"/>
      <c r="AH18" s="5"/>
      <c r="AI18" s="5"/>
      <c r="AJ18" s="5"/>
      <c r="AK18" s="5"/>
      <c r="AL18" s="5"/>
      <c r="AM18" s="5"/>
      <c r="AN18" s="5"/>
    </row>
    <row r="19" spans="1:40" x14ac:dyDescent="0.3">
      <c r="A19" s="1"/>
      <c r="B19" s="9"/>
      <c r="C19" s="9"/>
      <c r="D19" s="9"/>
      <c r="E19" s="9"/>
      <c r="F19" s="9"/>
      <c r="G19" s="9"/>
      <c r="H19" s="9"/>
      <c r="I19" s="9"/>
      <c r="J19" s="9"/>
      <c r="K19" s="5"/>
      <c r="L19" s="5"/>
      <c r="M19" s="5"/>
      <c r="N19" s="5"/>
      <c r="O19" s="5"/>
      <c r="P19" s="5"/>
      <c r="Q19" s="5"/>
      <c r="R19" s="5"/>
      <c r="S19" s="5"/>
      <c r="T19" s="5"/>
      <c r="U19" s="5"/>
      <c r="V19" s="5"/>
      <c r="W19" s="5"/>
      <c r="X19" s="5"/>
      <c r="Y19" s="5"/>
      <c r="Z19" s="5"/>
      <c r="AA19" s="5"/>
      <c r="AB19" s="5"/>
      <c r="AC19" s="5"/>
      <c r="AD19" s="5"/>
      <c r="AE19" s="5"/>
      <c r="AF19" s="5"/>
      <c r="AG19" s="5"/>
      <c r="AH19" s="5"/>
      <c r="AI19" s="5"/>
      <c r="AJ19" s="5"/>
      <c r="AK19" s="5"/>
      <c r="AL19" s="5"/>
      <c r="AM19" s="5"/>
      <c r="AN19" s="5"/>
    </row>
    <row r="20" spans="1:40" x14ac:dyDescent="0.3">
      <c r="A20" s="1"/>
      <c r="B20" s="9"/>
      <c r="C20" s="9"/>
      <c r="D20" s="9"/>
      <c r="E20" s="9"/>
      <c r="F20" s="9"/>
      <c r="G20" s="9"/>
      <c r="H20" s="9"/>
      <c r="I20" s="9"/>
      <c r="J20" s="9"/>
      <c r="K20" s="5"/>
      <c r="L20" s="5"/>
      <c r="M20" s="5"/>
      <c r="N20" s="5"/>
      <c r="O20" s="5"/>
      <c r="P20" s="5"/>
      <c r="Q20" s="5"/>
      <c r="R20" s="5"/>
      <c r="S20" s="5"/>
      <c r="T20" s="5"/>
      <c r="U20" s="5"/>
      <c r="V20" s="5"/>
      <c r="W20" s="5"/>
      <c r="X20" s="5"/>
      <c r="Y20" s="5"/>
      <c r="Z20" s="5"/>
      <c r="AA20" s="5"/>
      <c r="AB20" s="5"/>
      <c r="AC20" s="5"/>
      <c r="AD20" s="5"/>
      <c r="AE20" s="5"/>
      <c r="AF20" s="5"/>
      <c r="AG20" s="5"/>
      <c r="AH20" s="5"/>
      <c r="AI20" s="5"/>
      <c r="AJ20" s="5"/>
      <c r="AK20" s="5"/>
      <c r="AL20" s="5"/>
      <c r="AM20" s="5"/>
      <c r="AN20" s="5"/>
    </row>
    <row r="21" spans="1:40" x14ac:dyDescent="0.3">
      <c r="A21" s="1"/>
      <c r="B21" s="9"/>
      <c r="C21" s="9"/>
      <c r="D21" s="9"/>
      <c r="E21" s="9"/>
      <c r="F21" s="9"/>
      <c r="G21" s="9"/>
      <c r="H21" s="9"/>
      <c r="I21" s="9"/>
      <c r="J21" s="9"/>
      <c r="K21" s="5"/>
      <c r="L21" s="5"/>
      <c r="M21" s="5"/>
      <c r="N21" s="5"/>
      <c r="O21" s="5"/>
      <c r="P21" s="5"/>
      <c r="Q21" s="5"/>
      <c r="R21" s="5"/>
      <c r="S21" s="5"/>
      <c r="T21" s="5"/>
      <c r="U21" s="5"/>
      <c r="V21" s="5"/>
      <c r="W21" s="5"/>
      <c r="X21" s="5"/>
      <c r="Y21" s="5"/>
      <c r="Z21" s="5"/>
      <c r="AA21" s="5"/>
      <c r="AB21" s="5"/>
      <c r="AC21" s="5"/>
      <c r="AD21" s="5"/>
      <c r="AE21" s="5"/>
      <c r="AF21" s="5"/>
      <c r="AG21" s="5"/>
      <c r="AH21" s="5"/>
      <c r="AI21" s="5"/>
      <c r="AJ21" s="5"/>
      <c r="AK21" s="5"/>
      <c r="AL21" s="5"/>
      <c r="AM21" s="5"/>
      <c r="AN21" s="5"/>
    </row>
    <row r="22" spans="1:40" x14ac:dyDescent="0.3">
      <c r="B22" s="5"/>
      <c r="C22" s="5"/>
      <c r="D22" s="5"/>
      <c r="E22" s="5"/>
      <c r="F22" s="5"/>
      <c r="G22" s="5"/>
      <c r="H22" s="5"/>
      <c r="I22" s="5"/>
      <c r="J22" s="5"/>
      <c r="K22" s="5"/>
      <c r="L22" s="5"/>
      <c r="M22" s="5"/>
      <c r="N22" s="5"/>
      <c r="O22" s="5"/>
      <c r="P22" s="5"/>
      <c r="Q22" s="5"/>
      <c r="R22" s="5"/>
      <c r="S22" s="5"/>
      <c r="T22" s="5"/>
      <c r="U22" s="5"/>
      <c r="V22" s="5"/>
      <c r="W22" s="5"/>
      <c r="X22" s="5"/>
      <c r="Y22" s="5"/>
      <c r="Z22" s="5"/>
      <c r="AA22" s="5"/>
      <c r="AB22" s="5"/>
      <c r="AC22" s="5"/>
      <c r="AD22" s="5"/>
      <c r="AE22" s="5"/>
      <c r="AF22" s="5"/>
      <c r="AG22" s="5"/>
      <c r="AH22" s="5"/>
      <c r="AI22" s="5"/>
      <c r="AJ22" s="5"/>
      <c r="AK22" s="5"/>
      <c r="AL22" s="5"/>
      <c r="AM22" s="5"/>
      <c r="AN22" s="5"/>
    </row>
    <row r="23" spans="1:40" x14ac:dyDescent="0.3">
      <c r="B23" s="5"/>
      <c r="C23" s="5"/>
      <c r="D23" s="5"/>
      <c r="E23" s="5"/>
      <c r="F23" s="5"/>
      <c r="G23" s="5"/>
      <c r="H23" s="5"/>
      <c r="I23" s="5"/>
      <c r="J23" s="5"/>
      <c r="K23" s="5"/>
      <c r="L23" s="5"/>
      <c r="M23" s="5"/>
      <c r="N23" s="5"/>
      <c r="O23" s="5"/>
      <c r="P23" s="5"/>
      <c r="Q23" s="5"/>
      <c r="R23" s="5"/>
      <c r="S23" s="5"/>
      <c r="T23" s="5"/>
      <c r="U23" s="5"/>
      <c r="V23" s="5"/>
      <c r="W23" s="5"/>
      <c r="X23" s="5"/>
      <c r="Y23" s="5"/>
      <c r="Z23" s="5"/>
      <c r="AA23" s="5"/>
      <c r="AB23" s="5"/>
      <c r="AC23" s="5"/>
      <c r="AD23" s="5"/>
      <c r="AE23" s="5"/>
      <c r="AF23" s="5"/>
      <c r="AG23" s="5"/>
      <c r="AH23" s="5"/>
      <c r="AI23" s="5"/>
      <c r="AJ23" s="5"/>
      <c r="AK23" s="5"/>
      <c r="AL23" s="5"/>
      <c r="AM23" s="5"/>
      <c r="AN23" s="5"/>
    </row>
    <row r="24" spans="1:40" x14ac:dyDescent="0.3">
      <c r="B24" s="5"/>
      <c r="C24" s="5"/>
      <c r="D24" s="5"/>
      <c r="E24" s="5"/>
      <c r="F24" s="5"/>
      <c r="G24" s="5"/>
      <c r="H24" s="5"/>
      <c r="I24" s="5"/>
      <c r="J24" s="5"/>
      <c r="K24" s="5"/>
      <c r="L24" s="5"/>
      <c r="M24" s="5"/>
      <c r="N24" s="5"/>
      <c r="O24" s="5"/>
      <c r="P24" s="5"/>
      <c r="Q24" s="5"/>
      <c r="R24" s="5"/>
      <c r="S24" s="5"/>
      <c r="T24" s="5"/>
      <c r="U24" s="5"/>
      <c r="V24" s="5"/>
      <c r="W24" s="5"/>
      <c r="X24" s="5"/>
      <c r="Y24" s="5"/>
      <c r="Z24" s="5"/>
      <c r="AA24" s="5"/>
      <c r="AB24" s="5"/>
      <c r="AC24" s="5"/>
      <c r="AD24" s="5"/>
      <c r="AE24" s="5"/>
      <c r="AF24" s="5"/>
      <c r="AG24" s="5"/>
      <c r="AH24" s="5"/>
      <c r="AI24" s="5"/>
      <c r="AJ24" s="5"/>
      <c r="AK24" s="5"/>
      <c r="AL24" s="5"/>
      <c r="AM24" s="5"/>
      <c r="AN24" s="5"/>
    </row>
    <row r="25" spans="1:40" x14ac:dyDescent="0.3">
      <c r="B25" s="5"/>
      <c r="C25" s="5"/>
      <c r="D25" s="5"/>
      <c r="E25" s="5"/>
      <c r="F25" s="5"/>
      <c r="G25" s="5"/>
      <c r="H25" s="5"/>
      <c r="I25" s="5"/>
      <c r="J25" s="5"/>
      <c r="K25" s="5"/>
      <c r="L25" s="5"/>
      <c r="M25" s="5"/>
      <c r="N25" s="5"/>
      <c r="O25" s="5"/>
      <c r="P25" s="5"/>
      <c r="Q25" s="5"/>
      <c r="R25" s="5"/>
      <c r="S25" s="5"/>
      <c r="T25" s="5"/>
      <c r="U25" s="5"/>
      <c r="V25" s="5"/>
      <c r="W25" s="5"/>
      <c r="X25" s="5"/>
      <c r="Y25" s="5"/>
      <c r="Z25" s="5"/>
      <c r="AA25" s="5"/>
      <c r="AB25" s="5"/>
      <c r="AC25" s="5"/>
      <c r="AD25" s="5"/>
      <c r="AE25" s="5"/>
      <c r="AF25" s="5"/>
      <c r="AG25" s="5"/>
      <c r="AH25" s="5"/>
      <c r="AI25" s="5"/>
      <c r="AJ25" s="5"/>
      <c r="AK25" s="5"/>
      <c r="AL25" s="5"/>
      <c r="AM25" s="5"/>
      <c r="AN25" s="5"/>
    </row>
    <row r="26" spans="1:40" x14ac:dyDescent="0.3">
      <c r="B26" s="5"/>
      <c r="C26" s="5"/>
      <c r="D26" s="5"/>
      <c r="E26" s="5"/>
      <c r="F26" s="5"/>
      <c r="G26" s="5"/>
      <c r="H26" s="5"/>
      <c r="I26" s="5"/>
      <c r="J26" s="5"/>
      <c r="K26" s="5"/>
      <c r="L26" s="5"/>
      <c r="M26" s="5"/>
      <c r="N26" s="5"/>
      <c r="O26" s="5"/>
      <c r="P26" s="5"/>
      <c r="Q26" s="5"/>
      <c r="R26" s="5"/>
      <c r="S26" s="5"/>
      <c r="T26" s="5"/>
      <c r="U26" s="5"/>
      <c r="V26" s="5"/>
      <c r="W26" s="5"/>
      <c r="X26" s="5"/>
      <c r="Y26" s="5"/>
      <c r="Z26" s="5"/>
      <c r="AA26" s="5"/>
      <c r="AB26" s="5"/>
      <c r="AC26" s="5"/>
      <c r="AD26" s="5"/>
      <c r="AE26" s="5"/>
      <c r="AF26" s="5"/>
      <c r="AG26" s="5"/>
      <c r="AH26" s="5"/>
      <c r="AI26" s="5"/>
      <c r="AJ26" s="5"/>
      <c r="AK26" s="5"/>
      <c r="AL26" s="5"/>
      <c r="AM26" s="5"/>
      <c r="AN26" s="5"/>
    </row>
    <row r="27" spans="1:40" x14ac:dyDescent="0.3">
      <c r="B27" s="5"/>
      <c r="C27" s="5"/>
      <c r="D27" s="5"/>
      <c r="E27" s="5"/>
      <c r="F27" s="5"/>
      <c r="G27" s="5"/>
      <c r="H27" s="5"/>
      <c r="I27" s="5"/>
      <c r="J27" s="5"/>
      <c r="K27" s="5"/>
      <c r="L27" s="5"/>
      <c r="M27" s="5"/>
      <c r="N27" s="5"/>
      <c r="O27" s="5"/>
      <c r="P27" s="5"/>
      <c r="Q27" s="5"/>
      <c r="R27" s="5"/>
      <c r="S27" s="5"/>
      <c r="T27" s="5"/>
      <c r="U27" s="5"/>
      <c r="V27" s="5"/>
      <c r="W27" s="5"/>
      <c r="X27" s="5"/>
      <c r="Y27" s="5"/>
      <c r="Z27" s="5"/>
      <c r="AA27" s="5"/>
      <c r="AB27" s="5"/>
      <c r="AC27" s="5"/>
      <c r="AD27" s="5"/>
      <c r="AE27" s="5"/>
      <c r="AF27" s="5"/>
      <c r="AG27" s="5"/>
      <c r="AH27" s="5"/>
      <c r="AI27" s="5"/>
      <c r="AJ27" s="5"/>
      <c r="AK27" s="5"/>
      <c r="AL27" s="5"/>
      <c r="AM27" s="5"/>
      <c r="AN27" s="5"/>
    </row>
    <row r="28" spans="1:40" x14ac:dyDescent="0.3">
      <c r="B28" s="5"/>
      <c r="C28" s="5"/>
      <c r="D28" s="5"/>
      <c r="E28" s="5"/>
      <c r="F28" s="5"/>
      <c r="G28" s="5"/>
      <c r="H28" s="5"/>
      <c r="I28" s="5"/>
      <c r="J28" s="5"/>
      <c r="K28" s="5"/>
      <c r="L28" s="5"/>
      <c r="M28" s="5"/>
      <c r="N28" s="5"/>
      <c r="O28" s="5"/>
      <c r="P28" s="5"/>
      <c r="Q28" s="5"/>
      <c r="R28" s="5"/>
      <c r="S28" s="5"/>
      <c r="T28" s="5"/>
      <c r="U28" s="5"/>
      <c r="V28" s="5"/>
      <c r="W28" s="5"/>
      <c r="X28" s="5"/>
      <c r="Y28" s="5"/>
      <c r="Z28" s="5"/>
      <c r="AA28" s="5"/>
      <c r="AB28" s="5"/>
      <c r="AC28" s="5"/>
      <c r="AD28" s="5"/>
      <c r="AE28" s="5"/>
      <c r="AF28" s="5"/>
      <c r="AG28" s="5"/>
      <c r="AH28" s="5"/>
      <c r="AI28" s="5"/>
      <c r="AJ28" s="5"/>
      <c r="AK28" s="5"/>
      <c r="AL28" s="5"/>
      <c r="AM28" s="5"/>
      <c r="AN28" s="5"/>
    </row>
    <row r="29" spans="1:40" x14ac:dyDescent="0.3">
      <c r="B29" s="5"/>
      <c r="C29" s="5"/>
      <c r="D29" s="5"/>
      <c r="E29" s="5"/>
      <c r="F29" s="5"/>
      <c r="G29" s="5"/>
      <c r="H29" s="5"/>
      <c r="I29" s="5"/>
      <c r="J29" s="5"/>
      <c r="K29" s="5"/>
      <c r="L29" s="5"/>
      <c r="M29" s="5"/>
      <c r="N29" s="5"/>
      <c r="O29" s="5"/>
      <c r="P29" s="5"/>
      <c r="Q29" s="5"/>
      <c r="R29" s="5"/>
      <c r="S29" s="5"/>
      <c r="T29" s="5"/>
      <c r="U29" s="5"/>
      <c r="V29" s="5"/>
      <c r="W29" s="5"/>
      <c r="X29" s="5"/>
      <c r="Y29" s="5"/>
      <c r="Z29" s="5"/>
      <c r="AA29" s="5"/>
      <c r="AB29" s="5"/>
      <c r="AC29" s="5"/>
      <c r="AD29" s="5"/>
      <c r="AE29" s="5"/>
      <c r="AF29" s="5"/>
      <c r="AG29" s="5"/>
      <c r="AH29" s="5"/>
      <c r="AI29" s="5"/>
      <c r="AJ29" s="5"/>
      <c r="AK29" s="5"/>
      <c r="AL29" s="5"/>
      <c r="AM29" s="5"/>
      <c r="AN29" s="5"/>
    </row>
    <row r="30" spans="1:40" x14ac:dyDescent="0.3">
      <c r="B30" s="5"/>
      <c r="C30" s="5"/>
      <c r="D30" s="5"/>
      <c r="E30" s="5"/>
      <c r="F30" s="5"/>
      <c r="G30" s="5"/>
      <c r="H30" s="5"/>
      <c r="I30" s="5"/>
      <c r="J30" s="5"/>
      <c r="K30" s="5"/>
      <c r="L30" s="5"/>
      <c r="M30" s="5"/>
      <c r="N30" s="5"/>
      <c r="O30" s="5"/>
      <c r="P30" s="5"/>
      <c r="Q30" s="5"/>
      <c r="R30" s="5"/>
      <c r="S30" s="5"/>
      <c r="T30" s="5"/>
      <c r="U30" s="5"/>
      <c r="V30" s="5"/>
      <c r="W30" s="5"/>
      <c r="X30" s="5"/>
      <c r="Y30" s="5"/>
      <c r="Z30" s="5"/>
      <c r="AA30" s="5"/>
      <c r="AB30" s="5"/>
      <c r="AC30" s="5"/>
      <c r="AD30" s="5"/>
      <c r="AE30" s="5"/>
      <c r="AF30" s="5"/>
      <c r="AG30" s="5"/>
      <c r="AH30" s="5"/>
      <c r="AI30" s="5"/>
      <c r="AJ30" s="5"/>
      <c r="AK30" s="5"/>
      <c r="AL30" s="5"/>
      <c r="AM30" s="5"/>
      <c r="AN30" s="5"/>
    </row>
    <row r="31" spans="1:40" x14ac:dyDescent="0.3">
      <c r="B31" s="5"/>
      <c r="C31" s="5"/>
      <c r="D31" s="5"/>
      <c r="E31" s="5"/>
      <c r="F31" s="5"/>
      <c r="G31" s="5"/>
      <c r="H31" s="5"/>
      <c r="I31" s="5"/>
      <c r="J31" s="5"/>
      <c r="K31" s="5"/>
      <c r="L31" s="5"/>
      <c r="M31" s="5"/>
      <c r="N31" s="5"/>
      <c r="O31" s="5"/>
      <c r="P31" s="5"/>
      <c r="Q31" s="5"/>
      <c r="R31" s="5"/>
      <c r="S31" s="5"/>
      <c r="T31" s="5"/>
      <c r="U31" s="5"/>
      <c r="V31" s="5"/>
      <c r="W31" s="5"/>
      <c r="X31" s="5"/>
      <c r="Y31" s="5"/>
      <c r="Z31" s="5"/>
      <c r="AA31" s="5"/>
      <c r="AB31" s="5"/>
      <c r="AC31" s="5"/>
      <c r="AD31" s="5"/>
      <c r="AE31" s="5"/>
      <c r="AF31" s="5"/>
      <c r="AG31" s="5"/>
      <c r="AH31" s="5"/>
      <c r="AI31" s="5"/>
      <c r="AJ31" s="5"/>
      <c r="AK31" s="5"/>
      <c r="AL31" s="5"/>
      <c r="AM31" s="5"/>
      <c r="AN31" s="5"/>
    </row>
    <row r="32" spans="1:40" x14ac:dyDescent="0.3">
      <c r="B32" s="5"/>
      <c r="C32" s="5"/>
      <c r="D32" s="5"/>
      <c r="E32" s="5"/>
      <c r="F32" s="5"/>
      <c r="G32" s="5"/>
      <c r="H32" s="5"/>
      <c r="I32" s="5"/>
      <c r="J32" s="5"/>
      <c r="K32" s="5"/>
      <c r="L32" s="5"/>
      <c r="M32" s="5"/>
      <c r="N32" s="5"/>
      <c r="O32" s="5"/>
      <c r="P32" s="5"/>
      <c r="Q32" s="5"/>
      <c r="R32" s="5"/>
      <c r="S32" s="5"/>
      <c r="T32" s="5"/>
      <c r="U32" s="5"/>
      <c r="V32" s="5"/>
      <c r="W32" s="5"/>
      <c r="X32" s="5"/>
      <c r="Y32" s="5"/>
      <c r="Z32" s="5"/>
      <c r="AA32" s="5"/>
      <c r="AB32" s="5"/>
      <c r="AC32" s="5"/>
      <c r="AD32" s="5"/>
      <c r="AE32" s="5"/>
      <c r="AF32" s="5"/>
      <c r="AG32" s="5"/>
      <c r="AH32" s="5"/>
      <c r="AI32" s="5"/>
      <c r="AJ32" s="5"/>
      <c r="AK32" s="5"/>
      <c r="AL32" s="5"/>
      <c r="AM32" s="5"/>
      <c r="AN32" s="5"/>
    </row>
    <row r="33" spans="2:40" x14ac:dyDescent="0.3">
      <c r="B33" s="5"/>
      <c r="C33" s="5"/>
      <c r="D33" s="5"/>
      <c r="E33" s="5"/>
      <c r="F33" s="5"/>
      <c r="G33" s="5"/>
      <c r="H33" s="5"/>
      <c r="I33" s="5"/>
      <c r="J33" s="5"/>
      <c r="K33" s="5"/>
      <c r="L33" s="5"/>
      <c r="M33" s="5"/>
      <c r="N33" s="5"/>
      <c r="O33" s="5"/>
      <c r="P33" s="5"/>
      <c r="Q33" s="5"/>
      <c r="R33" s="5"/>
      <c r="S33" s="5"/>
      <c r="T33" s="5"/>
      <c r="U33" s="5"/>
      <c r="V33" s="5"/>
      <c r="W33" s="5"/>
      <c r="X33" s="5"/>
      <c r="Y33" s="5"/>
      <c r="Z33" s="5"/>
      <c r="AA33" s="5"/>
      <c r="AB33" s="5"/>
      <c r="AC33" s="5"/>
      <c r="AD33" s="5"/>
      <c r="AE33" s="5"/>
      <c r="AF33" s="5"/>
      <c r="AG33" s="5"/>
      <c r="AH33" s="5"/>
      <c r="AI33" s="5"/>
      <c r="AJ33" s="5"/>
      <c r="AK33" s="5"/>
      <c r="AL33" s="5"/>
      <c r="AM33" s="5"/>
      <c r="AN33" s="5"/>
    </row>
    <row r="34" spans="2:40" x14ac:dyDescent="0.3">
      <c r="B34" s="5"/>
      <c r="C34" s="5"/>
      <c r="D34" s="5"/>
      <c r="E34" s="5"/>
      <c r="F34" s="5"/>
      <c r="G34" s="5"/>
      <c r="H34" s="5"/>
      <c r="I34" s="5"/>
      <c r="J34" s="5"/>
      <c r="K34" s="5"/>
      <c r="L34" s="5"/>
      <c r="M34" s="5"/>
      <c r="N34" s="5"/>
      <c r="O34" s="5"/>
      <c r="P34" s="5"/>
      <c r="Q34" s="5"/>
      <c r="R34" s="5"/>
      <c r="S34" s="5"/>
      <c r="T34" s="5"/>
      <c r="U34" s="5"/>
      <c r="V34" s="5"/>
      <c r="W34" s="5"/>
      <c r="X34" s="5"/>
      <c r="Y34" s="5"/>
      <c r="Z34" s="5"/>
      <c r="AA34" s="5"/>
      <c r="AB34" s="5"/>
      <c r="AC34" s="5"/>
      <c r="AD34" s="5"/>
      <c r="AE34" s="5"/>
      <c r="AF34" s="5"/>
      <c r="AG34" s="5"/>
      <c r="AH34" s="5"/>
      <c r="AI34" s="5"/>
      <c r="AJ34" s="5"/>
      <c r="AK34" s="5"/>
      <c r="AL34" s="5"/>
      <c r="AM34" s="5"/>
      <c r="AN34" s="5"/>
    </row>
    <row r="35" spans="2:40" x14ac:dyDescent="0.3">
      <c r="B35" s="5"/>
      <c r="C35" s="5"/>
      <c r="D35" s="5"/>
      <c r="E35" s="5"/>
      <c r="F35" s="5"/>
      <c r="G35" s="5"/>
      <c r="H35" s="5"/>
      <c r="I35" s="5"/>
      <c r="J35" s="5"/>
      <c r="K35" s="5"/>
      <c r="L35" s="5"/>
      <c r="M35" s="5"/>
      <c r="N35" s="5"/>
      <c r="O35" s="5"/>
      <c r="P35" s="5"/>
      <c r="Q35" s="5"/>
      <c r="R35" s="5"/>
      <c r="S35" s="5"/>
      <c r="T35" s="5"/>
      <c r="U35" s="5"/>
      <c r="V35" s="5"/>
      <c r="W35" s="5"/>
      <c r="X35" s="5"/>
      <c r="Y35" s="5"/>
      <c r="Z35" s="5"/>
      <c r="AA35" s="5"/>
      <c r="AB35" s="5"/>
      <c r="AC35" s="5"/>
      <c r="AD35" s="5"/>
      <c r="AE35" s="5"/>
      <c r="AF35" s="5"/>
      <c r="AG35" s="5"/>
      <c r="AH35" s="5"/>
      <c r="AI35" s="5"/>
      <c r="AJ35" s="5"/>
      <c r="AK35" s="5"/>
      <c r="AL35" s="5"/>
      <c r="AM35" s="5"/>
      <c r="AN35" s="5"/>
    </row>
    <row r="36" spans="2:40" x14ac:dyDescent="0.3">
      <c r="B36" s="5"/>
      <c r="C36" s="5"/>
      <c r="D36" s="5"/>
      <c r="E36" s="5"/>
      <c r="F36" s="5"/>
      <c r="G36" s="5"/>
      <c r="H36" s="5"/>
      <c r="I36" s="5"/>
      <c r="J36" s="5"/>
      <c r="K36" s="5"/>
      <c r="L36" s="5"/>
      <c r="M36" s="5"/>
      <c r="N36" s="5"/>
      <c r="O36" s="5"/>
      <c r="P36" s="5"/>
      <c r="Q36" s="5"/>
      <c r="R36" s="5"/>
      <c r="S36" s="5"/>
      <c r="T36" s="5"/>
      <c r="U36" s="5"/>
      <c r="V36" s="5"/>
      <c r="W36" s="5"/>
      <c r="X36" s="5"/>
      <c r="Y36" s="5"/>
      <c r="Z36" s="5"/>
      <c r="AA36" s="5"/>
      <c r="AB36" s="5"/>
      <c r="AC36" s="5"/>
      <c r="AD36" s="5"/>
      <c r="AE36" s="5"/>
      <c r="AF36" s="5"/>
      <c r="AG36" s="5"/>
      <c r="AH36" s="5"/>
      <c r="AI36" s="5"/>
      <c r="AJ36" s="5"/>
      <c r="AK36" s="5"/>
      <c r="AL36" s="5"/>
      <c r="AM36" s="5"/>
      <c r="AN36" s="5"/>
    </row>
    <row r="37" spans="2:40" x14ac:dyDescent="0.3">
      <c r="B37" s="5"/>
      <c r="C37" s="5"/>
      <c r="D37" s="5"/>
      <c r="E37" s="5"/>
      <c r="F37" s="5"/>
      <c r="G37" s="5"/>
      <c r="H37" s="5"/>
      <c r="I37" s="5"/>
      <c r="J37" s="5"/>
      <c r="K37" s="5"/>
      <c r="L37" s="5"/>
      <c r="M37" s="5"/>
      <c r="N37" s="5"/>
      <c r="O37" s="5"/>
      <c r="P37" s="5"/>
      <c r="Q37" s="5"/>
      <c r="R37" s="5"/>
      <c r="S37" s="5"/>
      <c r="T37" s="5"/>
      <c r="U37" s="5"/>
      <c r="V37" s="5"/>
      <c r="W37" s="5"/>
      <c r="X37" s="5"/>
      <c r="Y37" s="5"/>
      <c r="Z37" s="5"/>
      <c r="AA37" s="5"/>
      <c r="AB37" s="5"/>
      <c r="AC37" s="5"/>
      <c r="AD37" s="5"/>
      <c r="AE37" s="5"/>
      <c r="AF37" s="5"/>
      <c r="AG37" s="5"/>
      <c r="AH37" s="5"/>
      <c r="AI37" s="5"/>
      <c r="AJ37" s="5"/>
      <c r="AK37" s="5"/>
      <c r="AL37" s="5"/>
      <c r="AM37" s="5"/>
      <c r="AN37" s="5"/>
    </row>
    <row r="38" spans="2:40" x14ac:dyDescent="0.3">
      <c r="B38" s="5"/>
      <c r="C38" s="5"/>
      <c r="D38" s="5"/>
      <c r="E38" s="5"/>
      <c r="F38" s="5"/>
      <c r="G38" s="5"/>
      <c r="H38" s="5"/>
      <c r="I38" s="5"/>
      <c r="J38" s="5"/>
      <c r="K38" s="5"/>
      <c r="L38" s="5"/>
      <c r="M38" s="5"/>
      <c r="N38" s="5"/>
      <c r="O38" s="5"/>
      <c r="P38" s="5"/>
      <c r="Q38" s="5"/>
      <c r="R38" s="5"/>
      <c r="S38" s="5"/>
      <c r="T38" s="5"/>
      <c r="U38" s="5"/>
      <c r="V38" s="5"/>
      <c r="W38" s="5"/>
      <c r="X38" s="5"/>
      <c r="Y38" s="5"/>
      <c r="Z38" s="5"/>
      <c r="AA38" s="5"/>
      <c r="AB38" s="5"/>
      <c r="AC38" s="5"/>
      <c r="AD38" s="5"/>
      <c r="AE38" s="5"/>
      <c r="AF38" s="5"/>
      <c r="AG38" s="5"/>
      <c r="AH38" s="5"/>
      <c r="AI38" s="5"/>
      <c r="AJ38" s="5"/>
      <c r="AK38" s="5"/>
      <c r="AL38" s="5"/>
      <c r="AM38" s="5"/>
      <c r="AN38" s="5"/>
    </row>
    <row r="39" spans="2:40" x14ac:dyDescent="0.3">
      <c r="B39" s="5"/>
      <c r="C39" s="5"/>
      <c r="D39" s="5"/>
      <c r="E39" s="5"/>
      <c r="F39" s="5"/>
      <c r="G39" s="5"/>
      <c r="H39" s="5"/>
      <c r="I39" s="5"/>
      <c r="J39" s="5"/>
      <c r="K39" s="5"/>
      <c r="L39" s="5"/>
      <c r="M39" s="5"/>
      <c r="N39" s="5"/>
      <c r="O39" s="5"/>
      <c r="P39" s="5"/>
      <c r="Q39" s="5"/>
      <c r="R39" s="5"/>
      <c r="S39" s="5"/>
      <c r="T39" s="5"/>
      <c r="U39" s="5"/>
      <c r="V39" s="5"/>
      <c r="W39" s="5"/>
      <c r="X39" s="5"/>
      <c r="Y39" s="5"/>
      <c r="Z39" s="5"/>
      <c r="AA39" s="5"/>
      <c r="AB39" s="5"/>
      <c r="AC39" s="5"/>
      <c r="AD39" s="5"/>
      <c r="AE39" s="5"/>
      <c r="AF39" s="5"/>
      <c r="AG39" s="5"/>
      <c r="AH39" s="5"/>
      <c r="AI39" s="5"/>
      <c r="AJ39" s="5"/>
      <c r="AK39" s="5"/>
      <c r="AL39" s="5"/>
      <c r="AM39" s="5"/>
      <c r="AN39" s="5"/>
    </row>
    <row r="40" spans="2:40" x14ac:dyDescent="0.3">
      <c r="B40" s="5"/>
      <c r="C40" s="5"/>
      <c r="D40" s="5"/>
      <c r="E40" s="5"/>
      <c r="F40" s="5"/>
      <c r="G40" s="5"/>
      <c r="H40" s="5"/>
      <c r="I40" s="5"/>
      <c r="J40" s="5"/>
      <c r="K40" s="5"/>
      <c r="L40" s="5"/>
      <c r="M40" s="5"/>
      <c r="N40" s="5"/>
      <c r="O40" s="5"/>
      <c r="P40" s="5"/>
      <c r="Q40" s="5"/>
      <c r="R40" s="5"/>
      <c r="S40" s="5"/>
      <c r="T40" s="5"/>
      <c r="U40" s="5"/>
      <c r="V40" s="5"/>
      <c r="W40" s="5"/>
      <c r="X40" s="5"/>
      <c r="Y40" s="5"/>
      <c r="Z40" s="5"/>
      <c r="AA40" s="5"/>
      <c r="AB40" s="5"/>
      <c r="AC40" s="5"/>
      <c r="AD40" s="5"/>
      <c r="AE40" s="5"/>
      <c r="AF40" s="5"/>
      <c r="AG40" s="5"/>
      <c r="AH40" s="5"/>
      <c r="AI40" s="5"/>
      <c r="AJ40" s="5"/>
      <c r="AK40" s="5"/>
      <c r="AL40" s="5"/>
      <c r="AM40" s="5"/>
      <c r="AN40" s="5"/>
    </row>
    <row r="41" spans="2:40" x14ac:dyDescent="0.3">
      <c r="B41" s="5"/>
      <c r="C41" s="5"/>
      <c r="D41" s="5"/>
      <c r="E41" s="5"/>
      <c r="F41" s="5"/>
      <c r="G41" s="5"/>
      <c r="H41" s="5"/>
      <c r="I41" s="5"/>
      <c r="J41" s="5"/>
      <c r="K41" s="5"/>
      <c r="L41" s="5"/>
      <c r="M41" s="5"/>
      <c r="N41" s="5"/>
      <c r="O41" s="5"/>
      <c r="P41" s="5"/>
      <c r="Q41" s="5"/>
      <c r="R41" s="5"/>
      <c r="S41" s="5"/>
      <c r="T41" s="5"/>
      <c r="U41" s="5"/>
      <c r="V41" s="5"/>
      <c r="W41" s="5"/>
      <c r="X41" s="5"/>
      <c r="Y41" s="5"/>
      <c r="Z41" s="5"/>
      <c r="AA41" s="5"/>
      <c r="AB41" s="5"/>
      <c r="AC41" s="5"/>
      <c r="AD41" s="5"/>
      <c r="AE41" s="5"/>
      <c r="AF41" s="5"/>
      <c r="AG41" s="5"/>
      <c r="AH41" s="5"/>
      <c r="AI41" s="5"/>
      <c r="AJ41" s="5"/>
      <c r="AK41" s="5"/>
      <c r="AL41" s="5"/>
      <c r="AM41" s="5"/>
      <c r="AN41" s="5"/>
    </row>
    <row r="42" spans="2:40" x14ac:dyDescent="0.3">
      <c r="B42" s="5"/>
      <c r="C42" s="5"/>
      <c r="D42" s="5"/>
      <c r="E42" s="5"/>
      <c r="F42" s="5"/>
      <c r="G42" s="5"/>
      <c r="H42" s="5"/>
      <c r="I42" s="5"/>
      <c r="J42" s="5"/>
      <c r="K42" s="5"/>
      <c r="L42" s="5"/>
      <c r="M42" s="5"/>
      <c r="N42" s="5"/>
      <c r="O42" s="5"/>
      <c r="P42" s="5"/>
      <c r="Q42" s="5"/>
      <c r="R42" s="5"/>
      <c r="S42" s="5"/>
      <c r="T42" s="5"/>
      <c r="U42" s="5"/>
      <c r="V42" s="5"/>
      <c r="W42" s="5"/>
      <c r="X42" s="5"/>
      <c r="Y42" s="5"/>
      <c r="Z42" s="5"/>
      <c r="AA42" s="5"/>
      <c r="AB42" s="5"/>
      <c r="AC42" s="5"/>
      <c r="AD42" s="5"/>
      <c r="AE42" s="5"/>
      <c r="AF42" s="5"/>
      <c r="AG42" s="5"/>
      <c r="AH42" s="5"/>
      <c r="AI42" s="5"/>
      <c r="AJ42" s="5"/>
      <c r="AK42" s="5"/>
      <c r="AL42" s="5"/>
      <c r="AM42" s="5"/>
      <c r="AN42" s="5"/>
    </row>
    <row r="43" spans="2:40" x14ac:dyDescent="0.3">
      <c r="B43" s="5"/>
      <c r="C43" s="5"/>
      <c r="D43" s="5"/>
      <c r="E43" s="5"/>
      <c r="F43" s="5"/>
      <c r="G43" s="5"/>
      <c r="H43" s="5"/>
      <c r="I43" s="5"/>
      <c r="J43" s="5"/>
      <c r="K43" s="5"/>
      <c r="L43" s="5"/>
      <c r="M43" s="5"/>
      <c r="N43" s="5"/>
      <c r="O43" s="5"/>
      <c r="P43" s="5"/>
      <c r="Q43" s="5"/>
      <c r="R43" s="5"/>
      <c r="S43" s="5"/>
      <c r="T43" s="5"/>
      <c r="U43" s="5"/>
      <c r="V43" s="5"/>
      <c r="W43" s="5"/>
      <c r="X43" s="5"/>
      <c r="Y43" s="5"/>
      <c r="Z43" s="5"/>
      <c r="AA43" s="5"/>
      <c r="AB43" s="5"/>
      <c r="AC43" s="5"/>
      <c r="AD43" s="5"/>
      <c r="AE43" s="5"/>
      <c r="AF43" s="5"/>
      <c r="AG43" s="5"/>
      <c r="AH43" s="5"/>
      <c r="AI43" s="5"/>
      <c r="AJ43" s="5"/>
      <c r="AK43" s="5"/>
      <c r="AL43" s="5"/>
      <c r="AM43" s="5"/>
      <c r="AN43" s="5"/>
    </row>
    <row r="44" spans="2:40" x14ac:dyDescent="0.3">
      <c r="B44" s="5"/>
      <c r="C44" s="5"/>
      <c r="D44" s="5"/>
      <c r="E44" s="5"/>
      <c r="F44" s="5"/>
      <c r="G44" s="5"/>
      <c r="H44" s="5"/>
      <c r="I44" s="5"/>
      <c r="J44" s="5"/>
      <c r="K44" s="5"/>
      <c r="L44" s="5"/>
      <c r="M44" s="5"/>
      <c r="N44" s="5"/>
      <c r="O44" s="5"/>
      <c r="P44" s="5"/>
      <c r="Q44" s="5"/>
      <c r="R44" s="5"/>
      <c r="S44" s="5"/>
      <c r="T44" s="5"/>
      <c r="U44" s="5"/>
      <c r="V44" s="5"/>
      <c r="W44" s="5"/>
      <c r="X44" s="5"/>
      <c r="Y44" s="5"/>
      <c r="Z44" s="5"/>
      <c r="AA44" s="5"/>
      <c r="AB44" s="5"/>
      <c r="AC44" s="5"/>
      <c r="AD44" s="5"/>
      <c r="AE44" s="5"/>
      <c r="AF44" s="5"/>
      <c r="AG44" s="5"/>
      <c r="AH44" s="5"/>
      <c r="AI44" s="5"/>
      <c r="AJ44" s="5"/>
      <c r="AK44" s="5"/>
      <c r="AL44" s="5"/>
      <c r="AM44" s="5"/>
      <c r="AN44" s="5"/>
    </row>
    <row r="45" spans="2:40" x14ac:dyDescent="0.3">
      <c r="B45" s="5"/>
      <c r="C45" s="5"/>
      <c r="D45" s="5"/>
      <c r="E45" s="5"/>
      <c r="F45" s="5"/>
      <c r="G45" s="5"/>
      <c r="H45" s="5"/>
      <c r="I45" s="5"/>
      <c r="J45" s="5"/>
      <c r="K45" s="5"/>
      <c r="L45" s="5"/>
      <c r="M45" s="5"/>
      <c r="N45" s="5"/>
      <c r="O45" s="5"/>
      <c r="P45" s="5"/>
      <c r="Q45" s="5"/>
      <c r="R45" s="5"/>
      <c r="S45" s="5"/>
      <c r="T45" s="5"/>
      <c r="U45" s="5"/>
      <c r="V45" s="5"/>
      <c r="W45" s="5"/>
      <c r="X45" s="5"/>
      <c r="Y45" s="5"/>
      <c r="Z45" s="5"/>
      <c r="AA45" s="5"/>
      <c r="AB45" s="5"/>
      <c r="AC45" s="5"/>
      <c r="AD45" s="5"/>
      <c r="AE45" s="5"/>
      <c r="AF45" s="5"/>
      <c r="AG45" s="5"/>
      <c r="AH45" s="5"/>
      <c r="AI45" s="5"/>
      <c r="AJ45" s="5"/>
      <c r="AK45" s="5"/>
      <c r="AL45" s="5"/>
      <c r="AM45" s="5"/>
      <c r="AN45" s="5"/>
    </row>
    <row r="46" spans="2:40" x14ac:dyDescent="0.3">
      <c r="B46" s="5"/>
      <c r="C46" s="5"/>
      <c r="D46" s="5"/>
      <c r="E46" s="5"/>
      <c r="F46" s="5"/>
      <c r="G46" s="5"/>
      <c r="H46" s="5"/>
      <c r="I46" s="5"/>
      <c r="J46" s="5"/>
      <c r="K46" s="5"/>
      <c r="L46" s="5"/>
      <c r="M46" s="5"/>
      <c r="N46" s="5"/>
      <c r="O46" s="5"/>
      <c r="P46" s="5"/>
      <c r="Q46" s="5"/>
      <c r="R46" s="5"/>
      <c r="S46" s="5"/>
      <c r="T46" s="5"/>
      <c r="U46" s="5"/>
      <c r="V46" s="5"/>
      <c r="W46" s="5"/>
      <c r="X46" s="5"/>
      <c r="Y46" s="5"/>
      <c r="Z46" s="5"/>
      <c r="AA46" s="5"/>
      <c r="AB46" s="5"/>
      <c r="AC46" s="5"/>
      <c r="AD46" s="5"/>
      <c r="AE46" s="5"/>
      <c r="AF46" s="5"/>
      <c r="AG46" s="5"/>
      <c r="AH46" s="5"/>
      <c r="AI46" s="5"/>
      <c r="AJ46" s="5"/>
      <c r="AK46" s="5"/>
      <c r="AL46" s="5"/>
      <c r="AM46" s="5"/>
      <c r="AN46" s="5"/>
    </row>
    <row r="47" spans="2:40" x14ac:dyDescent="0.3">
      <c r="B47" s="5"/>
      <c r="C47" s="5"/>
      <c r="D47" s="5"/>
      <c r="E47" s="5"/>
      <c r="F47" s="5"/>
      <c r="G47" s="5"/>
      <c r="H47" s="5"/>
      <c r="I47" s="5"/>
      <c r="J47" s="5"/>
      <c r="K47" s="5"/>
      <c r="L47" s="5"/>
      <c r="M47" s="5"/>
      <c r="N47" s="5"/>
      <c r="O47" s="5"/>
      <c r="P47" s="5"/>
      <c r="Q47" s="5"/>
      <c r="R47" s="5"/>
      <c r="S47" s="5"/>
      <c r="T47" s="5"/>
      <c r="U47" s="5"/>
      <c r="V47" s="5"/>
      <c r="W47" s="5"/>
      <c r="X47" s="5"/>
      <c r="Y47" s="5"/>
      <c r="Z47" s="5"/>
      <c r="AA47" s="5"/>
      <c r="AB47" s="5"/>
      <c r="AC47" s="5"/>
      <c r="AD47" s="5"/>
      <c r="AE47" s="5"/>
      <c r="AF47" s="5"/>
      <c r="AG47" s="5"/>
      <c r="AH47" s="5"/>
      <c r="AI47" s="5"/>
      <c r="AJ47" s="5"/>
      <c r="AK47" s="5"/>
      <c r="AL47" s="5"/>
      <c r="AM47" s="5"/>
      <c r="AN47" s="5"/>
    </row>
    <row r="48" spans="2:40" x14ac:dyDescent="0.3">
      <c r="B48" s="5"/>
      <c r="C48" s="5"/>
      <c r="D48" s="5"/>
      <c r="E48" s="5"/>
      <c r="F48" s="5"/>
      <c r="G48" s="5"/>
      <c r="H48" s="5"/>
      <c r="I48" s="5"/>
      <c r="J48" s="5"/>
      <c r="K48" s="5"/>
      <c r="L48" s="5"/>
      <c r="M48" s="5"/>
      <c r="N48" s="5"/>
      <c r="O48" s="5"/>
      <c r="P48" s="5"/>
      <c r="Q48" s="5"/>
      <c r="R48" s="5"/>
      <c r="S48" s="5"/>
      <c r="T48" s="5"/>
      <c r="U48" s="5"/>
      <c r="V48" s="5"/>
      <c r="W48" s="5"/>
      <c r="X48" s="5"/>
      <c r="Y48" s="5"/>
      <c r="Z48" s="5"/>
      <c r="AA48" s="5"/>
      <c r="AB48" s="5"/>
      <c r="AC48" s="5"/>
      <c r="AD48" s="5"/>
      <c r="AE48" s="5"/>
      <c r="AF48" s="5"/>
      <c r="AG48" s="5"/>
      <c r="AH48" s="5"/>
      <c r="AI48" s="5"/>
      <c r="AJ48" s="5"/>
      <c r="AK48" s="5"/>
      <c r="AL48" s="5"/>
      <c r="AM48" s="5"/>
      <c r="AN48" s="5"/>
    </row>
    <row r="49" spans="2:40" x14ac:dyDescent="0.3">
      <c r="B49" s="5"/>
      <c r="C49" s="5"/>
      <c r="D49" s="5"/>
      <c r="E49" s="5"/>
      <c r="F49" s="5"/>
      <c r="G49" s="5"/>
      <c r="H49" s="5"/>
      <c r="I49" s="5"/>
      <c r="J49" s="5"/>
      <c r="K49" s="5"/>
      <c r="L49" s="5"/>
      <c r="M49" s="5"/>
      <c r="N49" s="5"/>
      <c r="O49" s="5"/>
      <c r="P49" s="5"/>
      <c r="Q49" s="5"/>
      <c r="R49" s="5"/>
      <c r="S49" s="5"/>
      <c r="T49" s="5"/>
      <c r="U49" s="5"/>
      <c r="V49" s="5"/>
      <c r="W49" s="5"/>
      <c r="X49" s="5"/>
      <c r="Y49" s="5"/>
      <c r="Z49" s="5"/>
      <c r="AA49" s="5"/>
      <c r="AB49" s="5"/>
      <c r="AC49" s="5"/>
      <c r="AD49" s="5"/>
      <c r="AE49" s="5"/>
      <c r="AF49" s="5"/>
      <c r="AG49" s="5"/>
      <c r="AH49" s="5"/>
      <c r="AI49" s="5"/>
      <c r="AJ49" s="5"/>
      <c r="AK49" s="5"/>
      <c r="AL49" s="5"/>
      <c r="AM49" s="5"/>
      <c r="AN49" s="5"/>
    </row>
    <row r="50" spans="2:40" x14ac:dyDescent="0.3">
      <c r="B50" s="5"/>
      <c r="C50" s="5"/>
      <c r="D50" s="5"/>
      <c r="E50" s="5"/>
      <c r="F50" s="5"/>
      <c r="G50" s="5"/>
      <c r="H50" s="5"/>
      <c r="I50" s="5"/>
      <c r="J50" s="5"/>
      <c r="K50" s="5"/>
      <c r="L50" s="5"/>
      <c r="M50" s="5"/>
      <c r="N50" s="5"/>
      <c r="O50" s="5"/>
      <c r="P50" s="5"/>
      <c r="Q50" s="5"/>
      <c r="R50" s="5"/>
      <c r="S50" s="5"/>
      <c r="T50" s="5"/>
      <c r="U50" s="5"/>
      <c r="V50" s="5"/>
      <c r="W50" s="5"/>
      <c r="X50" s="5"/>
      <c r="Y50" s="5"/>
      <c r="Z50" s="5"/>
      <c r="AA50" s="5"/>
      <c r="AB50" s="5"/>
      <c r="AC50" s="5"/>
      <c r="AD50" s="5"/>
      <c r="AE50" s="5"/>
      <c r="AF50" s="5"/>
      <c r="AG50" s="5"/>
      <c r="AH50" s="5"/>
      <c r="AI50" s="5"/>
      <c r="AJ50" s="5"/>
      <c r="AK50" s="5"/>
      <c r="AL50" s="5"/>
      <c r="AM50" s="5"/>
      <c r="AN50" s="5"/>
    </row>
    <row r="51" spans="2:40" x14ac:dyDescent="0.3">
      <c r="B51" s="5"/>
      <c r="C51" s="5"/>
      <c r="D51" s="5"/>
      <c r="E51" s="5"/>
      <c r="F51" s="5"/>
      <c r="G51" s="5"/>
      <c r="H51" s="5"/>
      <c r="I51" s="5"/>
      <c r="J51" s="5"/>
      <c r="K51" s="5"/>
      <c r="L51" s="5"/>
      <c r="M51" s="5"/>
      <c r="N51" s="5"/>
      <c r="O51" s="5"/>
      <c r="P51" s="5"/>
      <c r="Q51" s="5"/>
      <c r="R51" s="5"/>
      <c r="S51" s="5"/>
      <c r="T51" s="5"/>
      <c r="U51" s="5"/>
      <c r="V51" s="5"/>
      <c r="W51" s="5"/>
      <c r="X51" s="5"/>
      <c r="Y51" s="5"/>
      <c r="Z51" s="5"/>
      <c r="AA51" s="5"/>
      <c r="AB51" s="5"/>
      <c r="AC51" s="5"/>
      <c r="AD51" s="5"/>
      <c r="AE51" s="5"/>
      <c r="AF51" s="5"/>
      <c r="AG51" s="5"/>
      <c r="AH51" s="5"/>
      <c r="AI51" s="5"/>
      <c r="AJ51" s="5"/>
      <c r="AK51" s="5"/>
      <c r="AL51" s="5"/>
      <c r="AM51" s="5"/>
      <c r="AN51" s="5"/>
    </row>
    <row r="52" spans="2:40" x14ac:dyDescent="0.3">
      <c r="B52" s="5"/>
      <c r="C52" s="5"/>
      <c r="D52" s="5"/>
      <c r="E52" s="5"/>
      <c r="F52" s="5"/>
      <c r="G52" s="5"/>
      <c r="H52" s="5"/>
      <c r="I52" s="5"/>
      <c r="J52" s="5"/>
      <c r="K52" s="5"/>
      <c r="L52" s="5"/>
      <c r="M52" s="5"/>
      <c r="N52" s="5"/>
      <c r="O52" s="5"/>
      <c r="P52" s="5"/>
      <c r="Q52" s="5"/>
      <c r="R52" s="5"/>
      <c r="S52" s="5"/>
      <c r="T52" s="5"/>
      <c r="U52" s="5"/>
      <c r="V52" s="5"/>
      <c r="W52" s="5"/>
      <c r="X52" s="5"/>
      <c r="Y52" s="5"/>
      <c r="Z52" s="5"/>
      <c r="AA52" s="5"/>
      <c r="AB52" s="5"/>
      <c r="AC52" s="5"/>
      <c r="AD52" s="5"/>
      <c r="AE52" s="5"/>
      <c r="AF52" s="5"/>
      <c r="AG52" s="5"/>
      <c r="AH52" s="5"/>
      <c r="AI52" s="5"/>
      <c r="AJ52" s="5"/>
      <c r="AK52" s="5"/>
      <c r="AL52" s="5"/>
      <c r="AM52" s="5"/>
      <c r="AN52" s="5"/>
    </row>
    <row r="53" spans="2:40" x14ac:dyDescent="0.3">
      <c r="B53" s="5"/>
      <c r="C53" s="5"/>
      <c r="D53" s="5"/>
      <c r="E53" s="5"/>
      <c r="F53" s="5"/>
      <c r="G53" s="5"/>
      <c r="H53" s="5"/>
      <c r="I53" s="5"/>
      <c r="J53" s="5"/>
      <c r="K53" s="5"/>
      <c r="L53" s="5"/>
      <c r="M53" s="5"/>
      <c r="N53" s="5"/>
      <c r="O53" s="5"/>
      <c r="P53" s="5"/>
      <c r="Q53" s="5"/>
      <c r="R53" s="5"/>
      <c r="S53" s="5"/>
      <c r="T53" s="5"/>
      <c r="U53" s="5"/>
      <c r="V53" s="5"/>
      <c r="W53" s="5"/>
      <c r="X53" s="5"/>
      <c r="Y53" s="5"/>
      <c r="Z53" s="5"/>
      <c r="AA53" s="5"/>
      <c r="AB53" s="5"/>
      <c r="AC53" s="5"/>
      <c r="AD53" s="5"/>
      <c r="AE53" s="5"/>
      <c r="AF53" s="5"/>
      <c r="AG53" s="5"/>
      <c r="AH53" s="5"/>
      <c r="AI53" s="5"/>
      <c r="AJ53" s="5"/>
      <c r="AK53" s="5"/>
      <c r="AL53" s="5"/>
      <c r="AM53" s="5"/>
      <c r="AN53" s="5"/>
    </row>
    <row r="54" spans="2:40" x14ac:dyDescent="0.3">
      <c r="B54" s="5"/>
      <c r="C54" s="5"/>
      <c r="D54" s="5"/>
      <c r="E54" s="5"/>
      <c r="F54" s="5"/>
      <c r="G54" s="5"/>
      <c r="H54" s="5"/>
      <c r="I54" s="5"/>
      <c r="J54" s="5"/>
      <c r="K54" s="5"/>
      <c r="L54" s="5"/>
      <c r="M54" s="5"/>
      <c r="N54" s="5"/>
      <c r="O54" s="5"/>
      <c r="P54" s="5"/>
      <c r="Q54" s="5"/>
      <c r="R54" s="5"/>
      <c r="S54" s="5"/>
      <c r="T54" s="5"/>
      <c r="U54" s="5"/>
      <c r="V54" s="5"/>
      <c r="W54" s="5"/>
      <c r="X54" s="5"/>
      <c r="Y54" s="5"/>
      <c r="Z54" s="5"/>
      <c r="AA54" s="5"/>
      <c r="AB54" s="5"/>
      <c r="AC54" s="5"/>
      <c r="AD54" s="5"/>
      <c r="AE54" s="5"/>
      <c r="AF54" s="5"/>
      <c r="AG54" s="5"/>
      <c r="AH54" s="5"/>
      <c r="AI54" s="5"/>
      <c r="AJ54" s="5"/>
      <c r="AK54" s="5"/>
      <c r="AL54" s="5"/>
      <c r="AM54" s="5"/>
      <c r="AN54" s="5"/>
    </row>
    <row r="55" spans="2:40" x14ac:dyDescent="0.3">
      <c r="B55" s="5"/>
      <c r="C55" s="5"/>
      <c r="D55" s="5"/>
      <c r="E55" s="5"/>
      <c r="F55" s="5"/>
      <c r="G55" s="5"/>
      <c r="H55" s="5"/>
      <c r="I55" s="5"/>
      <c r="J55" s="5"/>
      <c r="K55" s="5"/>
      <c r="L55" s="5"/>
      <c r="M55" s="5"/>
      <c r="N55" s="5"/>
      <c r="O55" s="5"/>
      <c r="P55" s="5"/>
      <c r="Q55" s="5"/>
      <c r="R55" s="5"/>
      <c r="S55" s="5"/>
      <c r="T55" s="5"/>
      <c r="U55" s="5"/>
      <c r="V55" s="5"/>
      <c r="W55" s="5"/>
      <c r="X55" s="5"/>
      <c r="Y55" s="5"/>
      <c r="Z55" s="5"/>
      <c r="AA55" s="5"/>
      <c r="AB55" s="5"/>
      <c r="AC55" s="5"/>
      <c r="AD55" s="5"/>
      <c r="AE55" s="5"/>
      <c r="AF55" s="5"/>
      <c r="AG55" s="5"/>
      <c r="AH55" s="5"/>
      <c r="AI55" s="5"/>
      <c r="AJ55" s="5"/>
      <c r="AK55" s="5"/>
      <c r="AL55" s="5"/>
      <c r="AM55" s="5"/>
      <c r="AN55" s="5"/>
    </row>
    <row r="56" spans="2:40" x14ac:dyDescent="0.3">
      <c r="B56" s="5"/>
      <c r="C56" s="5"/>
      <c r="D56" s="5"/>
      <c r="E56" s="5"/>
      <c r="F56" s="5"/>
      <c r="G56" s="5"/>
      <c r="H56" s="5"/>
      <c r="I56" s="5"/>
      <c r="J56" s="5"/>
      <c r="K56" s="5"/>
      <c r="L56" s="5"/>
      <c r="M56" s="5"/>
      <c r="N56" s="5"/>
      <c r="O56" s="5"/>
      <c r="P56" s="5"/>
      <c r="Q56" s="5"/>
      <c r="R56" s="5"/>
      <c r="S56" s="5"/>
      <c r="T56" s="5"/>
      <c r="U56" s="5"/>
      <c r="V56" s="5"/>
      <c r="W56" s="5"/>
      <c r="X56" s="5"/>
      <c r="Y56" s="5"/>
      <c r="Z56" s="5"/>
      <c r="AA56" s="5"/>
      <c r="AB56" s="5"/>
      <c r="AC56" s="5"/>
      <c r="AD56" s="5"/>
      <c r="AE56" s="5"/>
      <c r="AF56" s="5"/>
      <c r="AG56" s="5"/>
      <c r="AH56" s="5"/>
      <c r="AI56" s="5"/>
      <c r="AJ56" s="5"/>
      <c r="AK56" s="5"/>
      <c r="AL56" s="5"/>
      <c r="AM56" s="5"/>
      <c r="AN56" s="5"/>
    </row>
    <row r="57" spans="2:40" x14ac:dyDescent="0.3">
      <c r="B57" s="5"/>
      <c r="C57" s="5"/>
      <c r="D57" s="5"/>
      <c r="E57" s="5"/>
      <c r="F57" s="5"/>
      <c r="G57" s="5"/>
      <c r="H57" s="5"/>
      <c r="I57" s="5"/>
      <c r="J57" s="5"/>
      <c r="K57" s="5"/>
      <c r="L57" s="5"/>
      <c r="M57" s="5"/>
      <c r="N57" s="5"/>
      <c r="O57" s="5"/>
      <c r="P57" s="5"/>
      <c r="Q57" s="5"/>
      <c r="R57" s="5"/>
      <c r="S57" s="5"/>
      <c r="T57" s="5"/>
      <c r="U57" s="5"/>
      <c r="V57" s="5"/>
      <c r="W57" s="5"/>
      <c r="X57" s="5"/>
      <c r="Y57" s="5"/>
      <c r="Z57" s="5"/>
      <c r="AA57" s="5"/>
      <c r="AB57" s="5"/>
      <c r="AC57" s="5"/>
      <c r="AD57" s="5"/>
      <c r="AE57" s="5"/>
      <c r="AF57" s="5"/>
      <c r="AG57" s="5"/>
      <c r="AH57" s="5"/>
      <c r="AI57" s="5"/>
      <c r="AJ57" s="5"/>
      <c r="AK57" s="5"/>
      <c r="AL57" s="5"/>
      <c r="AM57" s="5"/>
      <c r="AN57" s="5"/>
    </row>
    <row r="58" spans="2:40" x14ac:dyDescent="0.3">
      <c r="B58" s="5"/>
      <c r="C58" s="5"/>
      <c r="D58" s="5"/>
      <c r="E58" s="5"/>
      <c r="F58" s="5"/>
      <c r="G58" s="5"/>
      <c r="H58" s="5"/>
      <c r="I58" s="5"/>
      <c r="J58" s="5"/>
      <c r="K58" s="5"/>
      <c r="L58" s="5"/>
      <c r="M58" s="5"/>
      <c r="N58" s="5"/>
      <c r="O58" s="5"/>
      <c r="P58" s="5"/>
      <c r="Q58" s="5"/>
      <c r="R58" s="5"/>
      <c r="S58" s="5"/>
      <c r="T58" s="5"/>
      <c r="U58" s="5"/>
      <c r="V58" s="5"/>
      <c r="W58" s="5"/>
      <c r="X58" s="5"/>
      <c r="Y58" s="5"/>
      <c r="Z58" s="5"/>
      <c r="AA58" s="5"/>
      <c r="AB58" s="5"/>
      <c r="AC58" s="5"/>
      <c r="AD58" s="5"/>
      <c r="AE58" s="5"/>
      <c r="AF58" s="5"/>
      <c r="AG58" s="5"/>
      <c r="AH58" s="5"/>
      <c r="AI58" s="5"/>
      <c r="AJ58" s="5"/>
      <c r="AK58" s="5"/>
      <c r="AL58" s="5"/>
      <c r="AM58" s="5"/>
      <c r="AN58" s="5"/>
    </row>
    <row r="59" spans="2:40" x14ac:dyDescent="0.3">
      <c r="B59" s="5"/>
      <c r="C59" s="5"/>
      <c r="D59" s="5"/>
      <c r="E59" s="5"/>
      <c r="F59" s="5"/>
      <c r="G59" s="5"/>
      <c r="H59" s="5"/>
      <c r="I59" s="5"/>
      <c r="J59" s="5"/>
      <c r="K59" s="5"/>
      <c r="L59" s="5"/>
      <c r="M59" s="5"/>
      <c r="N59" s="5"/>
      <c r="O59" s="5"/>
      <c r="P59" s="5"/>
      <c r="Q59" s="5"/>
      <c r="R59" s="5"/>
      <c r="S59" s="5"/>
      <c r="T59" s="5"/>
      <c r="U59" s="5"/>
      <c r="V59" s="5"/>
      <c r="W59" s="5"/>
      <c r="X59" s="5"/>
      <c r="Y59" s="5"/>
      <c r="Z59" s="5"/>
      <c r="AA59" s="5"/>
      <c r="AB59" s="5"/>
      <c r="AC59" s="5"/>
      <c r="AD59" s="5"/>
      <c r="AE59" s="5"/>
      <c r="AF59" s="5"/>
      <c r="AG59" s="5"/>
      <c r="AH59" s="5"/>
      <c r="AI59" s="5"/>
      <c r="AJ59" s="5"/>
      <c r="AK59" s="5"/>
      <c r="AL59" s="5"/>
      <c r="AM59" s="5"/>
      <c r="AN59" s="5"/>
    </row>
    <row r="60" spans="2:40" x14ac:dyDescent="0.3">
      <c r="B60" s="5"/>
      <c r="C60" s="5"/>
      <c r="D60" s="5"/>
      <c r="E60" s="5"/>
      <c r="F60" s="5"/>
      <c r="G60" s="5"/>
      <c r="H60" s="5"/>
      <c r="I60" s="5"/>
      <c r="J60" s="5"/>
      <c r="K60" s="5"/>
      <c r="L60" s="5"/>
      <c r="M60" s="5"/>
      <c r="N60" s="5"/>
      <c r="O60" s="5"/>
      <c r="P60" s="5"/>
      <c r="Q60" s="5"/>
      <c r="R60" s="5"/>
      <c r="S60" s="5"/>
      <c r="T60" s="5"/>
      <c r="U60" s="5"/>
      <c r="V60" s="5"/>
      <c r="W60" s="5"/>
      <c r="X60" s="5"/>
      <c r="Y60" s="5"/>
      <c r="Z60" s="5"/>
      <c r="AA60" s="5"/>
      <c r="AB60" s="5"/>
      <c r="AC60" s="5"/>
      <c r="AD60" s="5"/>
      <c r="AE60" s="5"/>
      <c r="AF60" s="5"/>
      <c r="AG60" s="5"/>
      <c r="AH60" s="5"/>
      <c r="AI60" s="5"/>
      <c r="AJ60" s="5"/>
      <c r="AK60" s="5"/>
      <c r="AL60" s="5"/>
      <c r="AM60" s="5"/>
      <c r="AN60" s="5"/>
    </row>
    <row r="61" spans="2:40" x14ac:dyDescent="0.3">
      <c r="B61" s="5"/>
      <c r="C61" s="5"/>
      <c r="D61" s="5"/>
      <c r="E61" s="5"/>
      <c r="F61" s="5"/>
      <c r="G61" s="5"/>
      <c r="H61" s="5"/>
      <c r="I61" s="5"/>
      <c r="J61" s="5"/>
      <c r="K61" s="5"/>
      <c r="L61" s="5"/>
      <c r="M61" s="5"/>
      <c r="N61" s="5"/>
      <c r="O61" s="5"/>
      <c r="P61" s="5"/>
      <c r="Q61" s="5"/>
      <c r="R61" s="5"/>
      <c r="S61" s="5"/>
      <c r="T61" s="5"/>
      <c r="U61" s="5"/>
      <c r="V61" s="5"/>
      <c r="W61" s="5"/>
      <c r="X61" s="5"/>
      <c r="Y61" s="5"/>
      <c r="Z61" s="5"/>
      <c r="AA61" s="5"/>
      <c r="AB61" s="5"/>
      <c r="AC61" s="5"/>
      <c r="AD61" s="5"/>
      <c r="AE61" s="5"/>
      <c r="AF61" s="5"/>
      <c r="AG61" s="5"/>
      <c r="AH61" s="5"/>
      <c r="AI61" s="5"/>
      <c r="AJ61" s="5"/>
      <c r="AK61" s="5"/>
      <c r="AL61" s="5"/>
      <c r="AM61" s="5"/>
      <c r="AN61" s="5"/>
    </row>
    <row r="62" spans="2:40" x14ac:dyDescent="0.3">
      <c r="B62" s="5"/>
      <c r="C62" s="5"/>
      <c r="D62" s="5"/>
      <c r="E62" s="5"/>
      <c r="F62" s="5"/>
      <c r="G62" s="5"/>
      <c r="H62" s="5"/>
      <c r="I62" s="5"/>
      <c r="J62" s="5"/>
      <c r="K62" s="5"/>
      <c r="L62" s="5"/>
      <c r="M62" s="5"/>
      <c r="N62" s="5"/>
      <c r="O62" s="5"/>
      <c r="P62" s="5"/>
      <c r="Q62" s="5"/>
      <c r="R62" s="5"/>
      <c r="S62" s="5"/>
      <c r="T62" s="5"/>
      <c r="U62" s="5"/>
      <c r="V62" s="5"/>
      <c r="W62" s="5"/>
      <c r="X62" s="5"/>
      <c r="Y62" s="5"/>
      <c r="Z62" s="5"/>
      <c r="AA62" s="5"/>
      <c r="AB62" s="5"/>
      <c r="AC62" s="5"/>
      <c r="AD62" s="5"/>
      <c r="AE62" s="5"/>
      <c r="AF62" s="5"/>
      <c r="AG62" s="5"/>
      <c r="AH62" s="5"/>
      <c r="AI62" s="5"/>
      <c r="AJ62" s="5"/>
      <c r="AK62" s="5"/>
      <c r="AL62" s="5"/>
      <c r="AM62" s="5"/>
      <c r="AN62" s="5"/>
    </row>
    <row r="63" spans="2:40" x14ac:dyDescent="0.3">
      <c r="B63" s="5"/>
      <c r="C63" s="5"/>
      <c r="D63" s="5"/>
      <c r="E63" s="5"/>
      <c r="F63" s="5"/>
      <c r="G63" s="5"/>
      <c r="H63" s="5"/>
      <c r="I63" s="5"/>
      <c r="J63" s="5"/>
      <c r="K63" s="5"/>
      <c r="L63" s="5"/>
      <c r="M63" s="5"/>
      <c r="N63" s="5"/>
      <c r="O63" s="5"/>
      <c r="P63" s="5"/>
      <c r="Q63" s="5"/>
      <c r="R63" s="5"/>
      <c r="S63" s="5"/>
      <c r="T63" s="5"/>
      <c r="U63" s="5"/>
      <c r="V63" s="5"/>
      <c r="W63" s="5"/>
      <c r="X63" s="5"/>
      <c r="Y63" s="5"/>
      <c r="Z63" s="5"/>
      <c r="AA63" s="5"/>
      <c r="AB63" s="5"/>
      <c r="AC63" s="5"/>
      <c r="AD63" s="5"/>
      <c r="AE63" s="5"/>
      <c r="AF63" s="5"/>
      <c r="AG63" s="5"/>
      <c r="AH63" s="5"/>
      <c r="AI63" s="5"/>
      <c r="AJ63" s="5"/>
      <c r="AK63" s="5"/>
      <c r="AL63" s="5"/>
      <c r="AM63" s="5"/>
      <c r="AN63" s="5"/>
    </row>
    <row r="64" spans="2:40" x14ac:dyDescent="0.3">
      <c r="B64" s="5"/>
      <c r="C64" s="5"/>
      <c r="D64" s="5"/>
      <c r="E64" s="5"/>
      <c r="F64" s="5"/>
      <c r="G64" s="5"/>
      <c r="H64" s="5"/>
      <c r="I64" s="5"/>
      <c r="J64" s="5"/>
      <c r="K64" s="5"/>
      <c r="L64" s="5"/>
      <c r="M64" s="5"/>
      <c r="N64" s="5"/>
      <c r="O64" s="5"/>
      <c r="P64" s="5"/>
      <c r="Q64" s="5"/>
      <c r="R64" s="5"/>
      <c r="S64" s="5"/>
      <c r="T64" s="5"/>
      <c r="U64" s="5"/>
      <c r="V64" s="5"/>
      <c r="W64" s="5"/>
      <c r="X64" s="5"/>
      <c r="Y64" s="5"/>
      <c r="Z64" s="5"/>
      <c r="AA64" s="5"/>
      <c r="AB64" s="5"/>
      <c r="AC64" s="5"/>
      <c r="AD64" s="5"/>
      <c r="AE64" s="5"/>
      <c r="AF64" s="5"/>
      <c r="AG64" s="5"/>
      <c r="AH64" s="5"/>
      <c r="AI64" s="5"/>
      <c r="AJ64" s="5"/>
      <c r="AK64" s="5"/>
      <c r="AL64" s="5"/>
      <c r="AM64" s="5"/>
      <c r="AN64" s="5"/>
    </row>
    <row r="65" spans="2:40" x14ac:dyDescent="0.3">
      <c r="B65" s="5"/>
      <c r="C65" s="5"/>
      <c r="D65" s="5"/>
      <c r="E65" s="5"/>
      <c r="F65" s="5"/>
      <c r="G65" s="5"/>
      <c r="H65" s="5"/>
      <c r="I65" s="5"/>
      <c r="J65" s="5"/>
      <c r="K65" s="5"/>
      <c r="L65" s="5"/>
      <c r="M65" s="5"/>
      <c r="N65" s="5"/>
      <c r="O65" s="5"/>
      <c r="P65" s="5"/>
      <c r="Q65" s="5"/>
      <c r="R65" s="5"/>
      <c r="S65" s="5"/>
      <c r="T65" s="5"/>
      <c r="U65" s="5"/>
      <c r="V65" s="5"/>
      <c r="W65" s="5"/>
      <c r="X65" s="5"/>
      <c r="Y65" s="5"/>
      <c r="Z65" s="5"/>
      <c r="AA65" s="5"/>
      <c r="AB65" s="5"/>
      <c r="AC65" s="5"/>
      <c r="AD65" s="5"/>
      <c r="AE65" s="5"/>
      <c r="AF65" s="5"/>
      <c r="AG65" s="5"/>
      <c r="AH65" s="5"/>
      <c r="AI65" s="5"/>
      <c r="AJ65" s="5"/>
      <c r="AK65" s="5"/>
      <c r="AL65" s="5"/>
      <c r="AM65" s="5"/>
      <c r="AN65" s="5"/>
    </row>
    <row r="66" spans="2:40" x14ac:dyDescent="0.3">
      <c r="B66" s="5"/>
      <c r="C66" s="5"/>
      <c r="D66" s="5"/>
      <c r="E66" s="5"/>
      <c r="F66" s="5"/>
      <c r="G66" s="5"/>
      <c r="H66" s="5"/>
      <c r="I66" s="5"/>
      <c r="J66" s="5"/>
      <c r="K66" s="5"/>
      <c r="L66" s="5"/>
      <c r="M66" s="5"/>
      <c r="N66" s="5"/>
      <c r="O66" s="5"/>
      <c r="P66" s="5"/>
      <c r="Q66" s="5"/>
      <c r="R66" s="5"/>
      <c r="S66" s="5"/>
      <c r="T66" s="5"/>
      <c r="U66" s="5"/>
      <c r="V66" s="5"/>
      <c r="W66" s="5"/>
      <c r="X66" s="5"/>
      <c r="Y66" s="5"/>
      <c r="Z66" s="5"/>
      <c r="AA66" s="5"/>
      <c r="AB66" s="5"/>
      <c r="AC66" s="5"/>
      <c r="AD66" s="5"/>
      <c r="AE66" s="5"/>
      <c r="AF66" s="5"/>
      <c r="AG66" s="5"/>
      <c r="AH66" s="5"/>
      <c r="AI66" s="5"/>
      <c r="AJ66" s="5"/>
      <c r="AK66" s="5"/>
      <c r="AL66" s="5"/>
      <c r="AM66" s="5"/>
      <c r="AN66" s="5"/>
    </row>
    <row r="67" spans="2:40" x14ac:dyDescent="0.3">
      <c r="B67" s="5"/>
      <c r="C67" s="5"/>
      <c r="D67" s="5"/>
      <c r="E67" s="5"/>
      <c r="F67" s="5"/>
      <c r="G67" s="5"/>
      <c r="H67" s="5"/>
      <c r="I67" s="5"/>
      <c r="J67" s="5"/>
      <c r="K67" s="5"/>
      <c r="L67" s="5"/>
      <c r="M67" s="5"/>
      <c r="N67" s="5"/>
      <c r="O67" s="5"/>
      <c r="P67" s="5"/>
      <c r="Q67" s="5"/>
      <c r="R67" s="5"/>
      <c r="S67" s="5"/>
      <c r="T67" s="5"/>
      <c r="U67" s="5"/>
      <c r="V67" s="5"/>
      <c r="W67" s="5"/>
      <c r="X67" s="5"/>
      <c r="Y67" s="5"/>
      <c r="Z67" s="5"/>
      <c r="AA67" s="5"/>
      <c r="AB67" s="5"/>
      <c r="AC67" s="5"/>
      <c r="AD67" s="5"/>
      <c r="AE67" s="5"/>
      <c r="AF67" s="5"/>
      <c r="AG67" s="5"/>
      <c r="AH67" s="5"/>
      <c r="AI67" s="5"/>
      <c r="AJ67" s="5"/>
      <c r="AK67" s="5"/>
      <c r="AL67" s="5"/>
      <c r="AM67" s="5"/>
      <c r="AN67" s="5"/>
    </row>
    <row r="68" spans="2:40" x14ac:dyDescent="0.3">
      <c r="B68" s="5"/>
      <c r="C68" s="5"/>
      <c r="D68" s="5"/>
      <c r="E68" s="5"/>
      <c r="F68" s="5"/>
      <c r="G68" s="5"/>
      <c r="H68" s="5"/>
      <c r="I68" s="5"/>
      <c r="J68" s="5"/>
      <c r="K68" s="5"/>
      <c r="L68" s="5"/>
      <c r="M68" s="5"/>
      <c r="N68" s="5"/>
      <c r="O68" s="5"/>
      <c r="P68" s="5"/>
      <c r="Q68" s="5"/>
      <c r="R68" s="5"/>
      <c r="S68" s="5"/>
      <c r="T68" s="5"/>
      <c r="U68" s="5"/>
      <c r="V68" s="5"/>
      <c r="W68" s="5"/>
      <c r="X68" s="5"/>
      <c r="Y68" s="5"/>
      <c r="Z68" s="5"/>
      <c r="AA68" s="5"/>
      <c r="AB68" s="5"/>
      <c r="AC68" s="5"/>
      <c r="AD68" s="5"/>
      <c r="AE68" s="5"/>
      <c r="AF68" s="5"/>
      <c r="AG68" s="5"/>
      <c r="AH68" s="5"/>
      <c r="AI68" s="5"/>
      <c r="AJ68" s="5"/>
      <c r="AK68" s="5"/>
      <c r="AL68" s="5"/>
      <c r="AM68" s="5"/>
      <c r="AN68" s="5"/>
    </row>
    <row r="69" spans="2:40" x14ac:dyDescent="0.3">
      <c r="B69" s="5"/>
      <c r="C69" s="5"/>
      <c r="D69" s="5"/>
      <c r="E69" s="5"/>
      <c r="F69" s="5"/>
      <c r="G69" s="5"/>
      <c r="H69" s="5"/>
      <c r="I69" s="5"/>
      <c r="J69" s="5"/>
      <c r="K69" s="5"/>
      <c r="L69" s="5"/>
      <c r="M69" s="5"/>
      <c r="N69" s="5"/>
      <c r="O69" s="5"/>
      <c r="P69" s="5"/>
      <c r="Q69" s="5"/>
      <c r="R69" s="5"/>
      <c r="S69" s="5"/>
      <c r="T69" s="5"/>
      <c r="U69" s="5"/>
      <c r="V69" s="5"/>
      <c r="W69" s="5"/>
      <c r="X69" s="5"/>
      <c r="Y69" s="5"/>
      <c r="Z69" s="5"/>
      <c r="AA69" s="5"/>
      <c r="AB69" s="5"/>
      <c r="AC69" s="5"/>
      <c r="AD69" s="5"/>
      <c r="AE69" s="5"/>
      <c r="AF69" s="5"/>
      <c r="AG69" s="5"/>
      <c r="AH69" s="5"/>
      <c r="AI69" s="5"/>
      <c r="AJ69" s="5"/>
      <c r="AK69" s="5"/>
      <c r="AL69" s="5"/>
      <c r="AM69" s="5"/>
      <c r="AN69" s="5"/>
    </row>
    <row r="70" spans="2:40" x14ac:dyDescent="0.3">
      <c r="B70" s="5"/>
      <c r="C70" s="5"/>
      <c r="D70" s="5"/>
      <c r="E70" s="5"/>
      <c r="F70" s="5"/>
      <c r="G70" s="5"/>
      <c r="H70" s="5"/>
      <c r="I70" s="5"/>
      <c r="J70" s="5"/>
      <c r="K70" s="5"/>
      <c r="L70" s="5"/>
      <c r="M70" s="5"/>
      <c r="N70" s="5"/>
      <c r="O70" s="5"/>
      <c r="P70" s="5"/>
      <c r="Q70" s="5"/>
      <c r="R70" s="5"/>
      <c r="S70" s="5"/>
      <c r="T70" s="5"/>
      <c r="U70" s="5"/>
      <c r="V70" s="5"/>
      <c r="W70" s="5"/>
      <c r="X70" s="5"/>
      <c r="Y70" s="5"/>
      <c r="Z70" s="5"/>
      <c r="AA70" s="5"/>
      <c r="AB70" s="5"/>
      <c r="AC70" s="5"/>
      <c r="AD70" s="5"/>
      <c r="AE70" s="5"/>
      <c r="AF70" s="5"/>
      <c r="AG70" s="5"/>
      <c r="AH70" s="5"/>
      <c r="AI70" s="5"/>
      <c r="AJ70" s="5"/>
      <c r="AK70" s="5"/>
      <c r="AL70" s="5"/>
      <c r="AM70" s="5"/>
      <c r="AN70" s="5"/>
    </row>
    <row r="71" spans="2:40" x14ac:dyDescent="0.3">
      <c r="B71" s="5"/>
      <c r="C71" s="5"/>
      <c r="D71" s="5"/>
      <c r="E71" s="5"/>
      <c r="F71" s="5"/>
      <c r="G71" s="5"/>
      <c r="H71" s="5"/>
      <c r="I71" s="5"/>
      <c r="J71" s="5"/>
      <c r="K71" s="5"/>
      <c r="L71" s="5"/>
      <c r="M71" s="5"/>
      <c r="N71" s="5"/>
      <c r="O71" s="5"/>
      <c r="P71" s="5"/>
      <c r="Q71" s="5"/>
      <c r="R71" s="5"/>
      <c r="S71" s="5"/>
      <c r="T71" s="5"/>
      <c r="U71" s="5"/>
      <c r="V71" s="5"/>
      <c r="W71" s="5"/>
      <c r="X71" s="5"/>
      <c r="Y71" s="5"/>
      <c r="Z71" s="5"/>
      <c r="AA71" s="5"/>
      <c r="AB71" s="5"/>
      <c r="AC71" s="5"/>
      <c r="AD71" s="5"/>
      <c r="AE71" s="5"/>
      <c r="AF71" s="5"/>
      <c r="AG71" s="5"/>
      <c r="AH71" s="5"/>
      <c r="AI71" s="5"/>
      <c r="AJ71" s="5"/>
      <c r="AK71" s="5"/>
      <c r="AL71" s="5"/>
      <c r="AM71" s="5"/>
      <c r="AN71" s="5"/>
    </row>
    <row r="72" spans="2:40" x14ac:dyDescent="0.3">
      <c r="B72" s="5"/>
      <c r="C72" s="5"/>
      <c r="D72" s="5"/>
      <c r="E72" s="5"/>
      <c r="F72" s="5"/>
      <c r="G72" s="5"/>
      <c r="H72" s="5"/>
      <c r="I72" s="5"/>
      <c r="J72" s="5"/>
      <c r="K72" s="5"/>
      <c r="L72" s="5"/>
      <c r="M72" s="5"/>
      <c r="N72" s="5"/>
      <c r="O72" s="5"/>
      <c r="P72" s="5"/>
      <c r="Q72" s="5"/>
      <c r="R72" s="5"/>
      <c r="S72" s="5"/>
      <c r="T72" s="5"/>
      <c r="U72" s="5"/>
      <c r="V72" s="5"/>
      <c r="W72" s="5"/>
      <c r="X72" s="5"/>
      <c r="Y72" s="5"/>
      <c r="Z72" s="5"/>
      <c r="AA72" s="5"/>
      <c r="AB72" s="5"/>
      <c r="AC72" s="5"/>
      <c r="AD72" s="5"/>
      <c r="AE72" s="5"/>
      <c r="AF72" s="5"/>
      <c r="AG72" s="5"/>
      <c r="AH72" s="5"/>
      <c r="AI72" s="5"/>
      <c r="AJ72" s="5"/>
      <c r="AK72" s="5"/>
      <c r="AL72" s="5"/>
      <c r="AM72" s="5"/>
      <c r="AN72" s="5"/>
    </row>
    <row r="73" spans="2:40" x14ac:dyDescent="0.3">
      <c r="B73" s="5"/>
      <c r="C73" s="5"/>
      <c r="D73" s="5"/>
      <c r="E73" s="5"/>
      <c r="F73" s="5"/>
      <c r="G73" s="5"/>
      <c r="H73" s="5"/>
      <c r="I73" s="5"/>
      <c r="J73" s="5"/>
      <c r="K73" s="5"/>
      <c r="L73" s="5"/>
      <c r="M73" s="5"/>
      <c r="N73" s="5"/>
      <c r="O73" s="5"/>
      <c r="P73" s="5"/>
      <c r="Q73" s="5"/>
      <c r="R73" s="5"/>
      <c r="S73" s="5"/>
      <c r="T73" s="5"/>
      <c r="U73" s="5"/>
      <c r="V73" s="5"/>
      <c r="W73" s="5"/>
      <c r="X73" s="5"/>
      <c r="Y73" s="5"/>
      <c r="Z73" s="5"/>
      <c r="AA73" s="5"/>
      <c r="AB73" s="5"/>
      <c r="AC73" s="5"/>
      <c r="AD73" s="5"/>
      <c r="AE73" s="5"/>
      <c r="AF73" s="5"/>
      <c r="AG73" s="5"/>
      <c r="AH73" s="5"/>
      <c r="AI73" s="5"/>
      <c r="AJ73" s="5"/>
      <c r="AK73" s="5"/>
      <c r="AL73" s="5"/>
      <c r="AM73" s="5"/>
      <c r="AN73" s="5"/>
    </row>
    <row r="74" spans="2:40" x14ac:dyDescent="0.3">
      <c r="B74" s="5"/>
      <c r="C74" s="5"/>
      <c r="D74" s="5"/>
      <c r="E74" s="5"/>
      <c r="F74" s="5"/>
      <c r="G74" s="5"/>
      <c r="H74" s="5"/>
      <c r="I74" s="5"/>
      <c r="J74" s="5"/>
      <c r="K74" s="5"/>
      <c r="L74" s="5"/>
      <c r="M74" s="5"/>
      <c r="N74" s="5"/>
      <c r="O74" s="5"/>
      <c r="P74" s="5"/>
      <c r="Q74" s="5"/>
      <c r="R74" s="5"/>
      <c r="S74" s="5"/>
      <c r="T74" s="5"/>
      <c r="U74" s="5"/>
      <c r="V74" s="5"/>
      <c r="W74" s="5"/>
      <c r="X74" s="5"/>
      <c r="Y74" s="5"/>
      <c r="Z74" s="5"/>
      <c r="AA74" s="5"/>
      <c r="AB74" s="5"/>
      <c r="AC74" s="5"/>
      <c r="AD74" s="5"/>
      <c r="AE74" s="5"/>
      <c r="AF74" s="5"/>
      <c r="AG74" s="5"/>
      <c r="AH74" s="5"/>
      <c r="AI74" s="5"/>
      <c r="AJ74" s="5"/>
      <c r="AK74" s="5"/>
      <c r="AL74" s="5"/>
      <c r="AM74" s="5"/>
      <c r="AN74" s="5"/>
    </row>
    <row r="75" spans="2:40" x14ac:dyDescent="0.3">
      <c r="B75" s="5"/>
      <c r="C75" s="5"/>
      <c r="D75" s="5"/>
      <c r="E75" s="5"/>
      <c r="F75" s="5"/>
      <c r="G75" s="5"/>
      <c r="H75" s="5"/>
      <c r="I75" s="5"/>
      <c r="J75" s="5"/>
      <c r="K75" s="5"/>
      <c r="L75" s="5"/>
      <c r="M75" s="5"/>
      <c r="N75" s="5"/>
      <c r="O75" s="5"/>
      <c r="P75" s="5"/>
      <c r="Q75" s="5"/>
      <c r="R75" s="5"/>
      <c r="S75" s="5"/>
      <c r="T75" s="5"/>
      <c r="U75" s="5"/>
      <c r="V75" s="5"/>
      <c r="W75" s="5"/>
      <c r="X75" s="5"/>
      <c r="Y75" s="5"/>
      <c r="Z75" s="5"/>
      <c r="AA75" s="5"/>
      <c r="AB75" s="5"/>
      <c r="AC75" s="5"/>
      <c r="AD75" s="5"/>
      <c r="AE75" s="5"/>
      <c r="AF75" s="5"/>
      <c r="AG75" s="5"/>
      <c r="AH75" s="5"/>
      <c r="AI75" s="5"/>
      <c r="AJ75" s="5"/>
      <c r="AK75" s="5"/>
      <c r="AL75" s="5"/>
      <c r="AM75" s="5"/>
      <c r="AN75" s="5"/>
    </row>
    <row r="76" spans="2:40" x14ac:dyDescent="0.3">
      <c r="B76" s="5"/>
      <c r="C76" s="5"/>
      <c r="D76" s="5"/>
      <c r="E76" s="5"/>
      <c r="F76" s="5"/>
      <c r="G76" s="5"/>
      <c r="H76" s="5"/>
      <c r="I76" s="5"/>
      <c r="J76" s="5"/>
      <c r="K76" s="5"/>
      <c r="L76" s="5"/>
      <c r="M76" s="5"/>
      <c r="N76" s="5"/>
      <c r="O76" s="5"/>
      <c r="P76" s="5"/>
      <c r="Q76" s="5"/>
      <c r="R76" s="5"/>
      <c r="S76" s="5"/>
      <c r="T76" s="5"/>
      <c r="U76" s="5"/>
      <c r="V76" s="5"/>
      <c r="W76" s="5"/>
      <c r="X76" s="5"/>
      <c r="Y76" s="5"/>
      <c r="Z76" s="5"/>
      <c r="AA76" s="5"/>
      <c r="AB76" s="5"/>
      <c r="AC76" s="5"/>
      <c r="AD76" s="5"/>
      <c r="AE76" s="5"/>
      <c r="AF76" s="5"/>
      <c r="AG76" s="5"/>
      <c r="AH76" s="5"/>
      <c r="AI76" s="5"/>
      <c r="AJ76" s="5"/>
      <c r="AK76" s="5"/>
      <c r="AL76" s="5"/>
      <c r="AM76" s="5"/>
      <c r="AN76" s="5"/>
    </row>
    <row r="77" spans="2:40" x14ac:dyDescent="0.3">
      <c r="B77" s="5"/>
      <c r="C77" s="5"/>
      <c r="D77" s="5"/>
      <c r="E77" s="5"/>
      <c r="F77" s="5"/>
      <c r="G77" s="5"/>
      <c r="H77" s="5"/>
      <c r="I77" s="5"/>
      <c r="J77" s="5"/>
      <c r="K77" s="5"/>
      <c r="L77" s="5"/>
      <c r="M77" s="5"/>
      <c r="N77" s="5"/>
      <c r="O77" s="5"/>
      <c r="P77" s="5"/>
      <c r="Q77" s="5"/>
      <c r="R77" s="5"/>
      <c r="S77" s="5"/>
      <c r="T77" s="5"/>
      <c r="U77" s="5"/>
      <c r="V77" s="5"/>
      <c r="W77" s="5"/>
      <c r="X77" s="5"/>
      <c r="Y77" s="5"/>
      <c r="Z77" s="5"/>
      <c r="AA77" s="5"/>
      <c r="AB77" s="5"/>
      <c r="AC77" s="5"/>
      <c r="AD77" s="5"/>
      <c r="AE77" s="5"/>
      <c r="AF77" s="5"/>
      <c r="AG77" s="5"/>
      <c r="AH77" s="5"/>
      <c r="AI77" s="5"/>
      <c r="AJ77" s="5"/>
      <c r="AK77" s="5"/>
      <c r="AL77" s="5"/>
      <c r="AM77" s="5"/>
      <c r="AN77" s="5"/>
    </row>
    <row r="78" spans="2:40" x14ac:dyDescent="0.3">
      <c r="B78" s="5"/>
      <c r="C78" s="5"/>
      <c r="D78" s="5"/>
      <c r="E78" s="5"/>
      <c r="F78" s="5"/>
      <c r="G78" s="5"/>
      <c r="H78" s="5"/>
      <c r="I78" s="5"/>
      <c r="J78" s="5"/>
      <c r="K78" s="5"/>
      <c r="L78" s="5"/>
      <c r="M78" s="5"/>
      <c r="N78" s="5"/>
      <c r="O78" s="5"/>
      <c r="P78" s="5"/>
      <c r="Q78" s="5"/>
      <c r="R78" s="5"/>
      <c r="S78" s="5"/>
      <c r="T78" s="5"/>
      <c r="U78" s="5"/>
      <c r="V78" s="5"/>
      <c r="W78" s="5"/>
      <c r="X78" s="5"/>
      <c r="Y78" s="5"/>
      <c r="Z78" s="5"/>
      <c r="AA78" s="5"/>
      <c r="AB78" s="5"/>
      <c r="AC78" s="5"/>
      <c r="AD78" s="5"/>
      <c r="AE78" s="5"/>
      <c r="AF78" s="5"/>
      <c r="AG78" s="5"/>
      <c r="AH78" s="5"/>
      <c r="AI78" s="5"/>
      <c r="AJ78" s="5"/>
      <c r="AK78" s="5"/>
      <c r="AL78" s="5"/>
      <c r="AM78" s="5"/>
      <c r="AN78" s="5"/>
    </row>
    <row r="79" spans="2:40" x14ac:dyDescent="0.3">
      <c r="B79" s="5"/>
      <c r="C79" s="5"/>
      <c r="D79" s="5"/>
      <c r="E79" s="5"/>
      <c r="F79" s="5"/>
      <c r="G79" s="5"/>
      <c r="H79" s="5"/>
      <c r="I79" s="5"/>
      <c r="J79" s="5"/>
      <c r="K79" s="5"/>
      <c r="L79" s="5"/>
      <c r="M79" s="5"/>
      <c r="N79" s="5"/>
      <c r="O79" s="5"/>
      <c r="P79" s="5"/>
      <c r="Q79" s="5"/>
      <c r="R79" s="5"/>
      <c r="S79" s="5"/>
      <c r="T79" s="5"/>
      <c r="U79" s="5"/>
      <c r="V79" s="5"/>
      <c r="W79" s="5"/>
      <c r="X79" s="5"/>
      <c r="Y79" s="5"/>
      <c r="Z79" s="5"/>
      <c r="AA79" s="5"/>
      <c r="AB79" s="5"/>
      <c r="AC79" s="5"/>
      <c r="AD79" s="5"/>
      <c r="AE79" s="5"/>
      <c r="AF79" s="5"/>
      <c r="AG79" s="5"/>
      <c r="AH79" s="5"/>
      <c r="AI79" s="5"/>
      <c r="AJ79" s="5"/>
      <c r="AK79" s="5"/>
      <c r="AL79" s="5"/>
      <c r="AM79" s="5"/>
      <c r="AN79" s="5"/>
    </row>
    <row r="80" spans="2:40" x14ac:dyDescent="0.3">
      <c r="B80" s="5"/>
      <c r="C80" s="5"/>
      <c r="D80" s="5"/>
      <c r="E80" s="5"/>
      <c r="F80" s="5"/>
      <c r="G80" s="5"/>
      <c r="H80" s="5"/>
      <c r="I80" s="5"/>
      <c r="J80" s="5"/>
      <c r="K80" s="5"/>
      <c r="L80" s="5"/>
      <c r="M80" s="5"/>
      <c r="N80" s="5"/>
      <c r="O80" s="5"/>
      <c r="P80" s="5"/>
      <c r="Q80" s="5"/>
      <c r="R80" s="5"/>
      <c r="S80" s="5"/>
      <c r="T80" s="5"/>
      <c r="U80" s="5"/>
      <c r="V80" s="5"/>
      <c r="W80" s="5"/>
      <c r="X80" s="5"/>
      <c r="Y80" s="5"/>
      <c r="Z80" s="5"/>
      <c r="AA80" s="5"/>
      <c r="AB80" s="5"/>
      <c r="AC80" s="5"/>
      <c r="AD80" s="5"/>
      <c r="AE80" s="5"/>
      <c r="AF80" s="5"/>
      <c r="AG80" s="5"/>
      <c r="AH80" s="5"/>
      <c r="AI80" s="5"/>
      <c r="AJ80" s="5"/>
      <c r="AK80" s="5"/>
      <c r="AL80" s="5"/>
      <c r="AM80" s="5"/>
      <c r="AN80" s="5"/>
    </row>
    <row r="81" spans="2:40" x14ac:dyDescent="0.3">
      <c r="B81" s="5"/>
      <c r="C81" s="5"/>
      <c r="D81" s="5"/>
      <c r="E81" s="5"/>
      <c r="F81" s="5"/>
      <c r="G81" s="5"/>
      <c r="H81" s="5"/>
      <c r="I81" s="5"/>
      <c r="J81" s="5"/>
      <c r="K81" s="5"/>
      <c r="L81" s="5"/>
      <c r="M81" s="5"/>
      <c r="N81" s="5"/>
      <c r="O81" s="5"/>
      <c r="P81" s="5"/>
      <c r="Q81" s="5"/>
      <c r="R81" s="5"/>
      <c r="S81" s="5"/>
      <c r="T81" s="5"/>
      <c r="U81" s="5"/>
      <c r="V81" s="5"/>
      <c r="W81" s="5"/>
      <c r="X81" s="5"/>
      <c r="Y81" s="5"/>
      <c r="Z81" s="5"/>
      <c r="AA81" s="5"/>
      <c r="AB81" s="5"/>
      <c r="AC81" s="5"/>
      <c r="AD81" s="5"/>
      <c r="AE81" s="5"/>
      <c r="AF81" s="5"/>
      <c r="AG81" s="5"/>
      <c r="AH81" s="5"/>
      <c r="AI81" s="5"/>
      <c r="AJ81" s="5"/>
      <c r="AK81" s="5"/>
      <c r="AL81" s="5"/>
      <c r="AM81" s="5"/>
      <c r="AN81" s="5"/>
    </row>
    <row r="82" spans="2:40" x14ac:dyDescent="0.3">
      <c r="B82" s="5"/>
      <c r="C82" s="5"/>
      <c r="D82" s="5"/>
      <c r="E82" s="5"/>
      <c r="F82" s="5"/>
      <c r="G82" s="5"/>
      <c r="H82" s="5"/>
      <c r="I82" s="5"/>
      <c r="J82" s="5"/>
      <c r="K82" s="5"/>
      <c r="L82" s="5"/>
      <c r="M82" s="5"/>
      <c r="N82" s="5"/>
      <c r="O82" s="5"/>
      <c r="P82" s="5"/>
      <c r="Q82" s="5"/>
      <c r="R82" s="5"/>
      <c r="S82" s="5"/>
      <c r="T82" s="5"/>
      <c r="U82" s="5"/>
      <c r="V82" s="5"/>
      <c r="W82" s="5"/>
      <c r="X82" s="5"/>
      <c r="Y82" s="5"/>
      <c r="Z82" s="5"/>
      <c r="AA82" s="5"/>
      <c r="AB82" s="5"/>
      <c r="AC82" s="5"/>
      <c r="AD82" s="5"/>
      <c r="AE82" s="5"/>
      <c r="AF82" s="5"/>
      <c r="AG82" s="5"/>
      <c r="AH82" s="5"/>
      <c r="AI82" s="5"/>
      <c r="AJ82" s="5"/>
      <c r="AK82" s="5"/>
      <c r="AL82" s="5"/>
      <c r="AM82" s="5"/>
      <c r="AN82" s="5"/>
    </row>
    <row r="83" spans="2:40" x14ac:dyDescent="0.3">
      <c r="B83" s="5"/>
      <c r="C83" s="5"/>
      <c r="D83" s="5"/>
      <c r="E83" s="5"/>
      <c r="F83" s="5"/>
      <c r="G83" s="5"/>
      <c r="H83" s="5"/>
      <c r="I83" s="5"/>
      <c r="J83" s="5"/>
      <c r="K83" s="5"/>
      <c r="L83" s="5"/>
      <c r="M83" s="5"/>
      <c r="N83" s="5"/>
      <c r="O83" s="5"/>
      <c r="P83" s="5"/>
      <c r="Q83" s="5"/>
      <c r="R83" s="5"/>
      <c r="S83" s="5"/>
      <c r="T83" s="5"/>
      <c r="U83" s="5"/>
      <c r="V83" s="5"/>
      <c r="W83" s="5"/>
      <c r="X83" s="5"/>
      <c r="Y83" s="5"/>
      <c r="Z83" s="5"/>
      <c r="AA83" s="5"/>
      <c r="AB83" s="5"/>
      <c r="AC83" s="5"/>
      <c r="AD83" s="5"/>
      <c r="AE83" s="5"/>
      <c r="AF83" s="5"/>
      <c r="AG83" s="5"/>
      <c r="AH83" s="5"/>
      <c r="AI83" s="5"/>
      <c r="AJ83" s="5"/>
      <c r="AK83" s="5"/>
      <c r="AL83" s="5"/>
      <c r="AM83" s="5"/>
      <c r="AN83" s="5"/>
    </row>
    <row r="84" spans="2:40" x14ac:dyDescent="0.3">
      <c r="B84" s="5"/>
      <c r="C84" s="5"/>
      <c r="D84" s="5"/>
      <c r="E84" s="5"/>
      <c r="F84" s="5"/>
      <c r="G84" s="5"/>
      <c r="H84" s="5"/>
      <c r="I84" s="5"/>
      <c r="J84" s="5"/>
      <c r="K84" s="5"/>
      <c r="L84" s="5"/>
      <c r="M84" s="5"/>
      <c r="N84" s="5"/>
      <c r="O84" s="5"/>
      <c r="P84" s="5"/>
      <c r="Q84" s="5"/>
      <c r="R84" s="5"/>
      <c r="S84" s="5"/>
      <c r="T84" s="5"/>
      <c r="U84" s="5"/>
      <c r="V84" s="5"/>
      <c r="W84" s="5"/>
      <c r="X84" s="5"/>
      <c r="Y84" s="5"/>
      <c r="Z84" s="5"/>
      <c r="AA84" s="5"/>
      <c r="AB84" s="5"/>
      <c r="AC84" s="5"/>
      <c r="AD84" s="5"/>
      <c r="AE84" s="5"/>
      <c r="AF84" s="5"/>
      <c r="AG84" s="5"/>
      <c r="AH84" s="5"/>
      <c r="AI84" s="5"/>
      <c r="AJ84" s="5"/>
      <c r="AK84" s="5"/>
      <c r="AL84" s="5"/>
      <c r="AM84" s="5"/>
      <c r="AN84" s="5"/>
    </row>
    <row r="85" spans="2:40" x14ac:dyDescent="0.3">
      <c r="B85" s="5"/>
      <c r="C85" s="5"/>
      <c r="D85" s="5"/>
      <c r="E85" s="5"/>
      <c r="F85" s="5"/>
      <c r="G85" s="5"/>
      <c r="H85" s="5"/>
      <c r="I85" s="5"/>
      <c r="J85" s="5"/>
      <c r="K85" s="5"/>
      <c r="L85" s="5"/>
      <c r="M85" s="5"/>
      <c r="N85" s="5"/>
      <c r="O85" s="5"/>
      <c r="P85" s="5"/>
      <c r="Q85" s="5"/>
      <c r="R85" s="5"/>
      <c r="S85" s="5"/>
      <c r="T85" s="5"/>
      <c r="U85" s="5"/>
      <c r="V85" s="5"/>
      <c r="W85" s="5"/>
      <c r="X85" s="5"/>
      <c r="Y85" s="5"/>
      <c r="Z85" s="5"/>
      <c r="AA85" s="5"/>
      <c r="AB85" s="5"/>
      <c r="AC85" s="5"/>
      <c r="AD85" s="5"/>
      <c r="AE85" s="5"/>
      <c r="AF85" s="5"/>
      <c r="AG85" s="5"/>
      <c r="AH85" s="5"/>
      <c r="AI85" s="5"/>
      <c r="AJ85" s="5"/>
      <c r="AK85" s="5"/>
      <c r="AL85" s="5"/>
      <c r="AM85" s="5"/>
      <c r="AN85" s="5"/>
    </row>
    <row r="86" spans="2:40" x14ac:dyDescent="0.3">
      <c r="B86" s="5"/>
      <c r="C86" s="5"/>
      <c r="D86" s="5"/>
      <c r="E86" s="5"/>
      <c r="F86" s="5"/>
      <c r="G86" s="5"/>
      <c r="H86" s="5"/>
      <c r="I86" s="5"/>
      <c r="J86" s="5"/>
      <c r="K86" s="5"/>
      <c r="L86" s="5"/>
      <c r="M86" s="5"/>
      <c r="N86" s="5"/>
      <c r="O86" s="5"/>
      <c r="P86" s="5"/>
      <c r="Q86" s="5"/>
      <c r="R86" s="5"/>
      <c r="S86" s="5"/>
      <c r="T86" s="5"/>
      <c r="U86" s="5"/>
      <c r="V86" s="5"/>
      <c r="W86" s="5"/>
      <c r="X86" s="5"/>
      <c r="Y86" s="5"/>
      <c r="Z86" s="5"/>
      <c r="AA86" s="5"/>
      <c r="AB86" s="5"/>
      <c r="AC86" s="5"/>
      <c r="AD86" s="5"/>
      <c r="AE86" s="5"/>
      <c r="AF86" s="5"/>
      <c r="AG86" s="5"/>
      <c r="AH86" s="5"/>
      <c r="AI86" s="5"/>
      <c r="AJ86" s="5"/>
      <c r="AK86" s="5"/>
      <c r="AL86" s="5"/>
      <c r="AM86" s="5"/>
      <c r="AN86" s="5"/>
    </row>
    <row r="87" spans="2:40" x14ac:dyDescent="0.3">
      <c r="B87" s="5"/>
      <c r="C87" s="5"/>
      <c r="D87" s="5"/>
      <c r="E87" s="5"/>
      <c r="F87" s="5"/>
      <c r="G87" s="5"/>
      <c r="H87" s="5"/>
      <c r="I87" s="5"/>
      <c r="J87" s="5"/>
      <c r="K87" s="5"/>
      <c r="L87" s="5"/>
      <c r="M87" s="5"/>
      <c r="N87" s="5"/>
      <c r="O87" s="5"/>
      <c r="P87" s="5"/>
      <c r="Q87" s="5"/>
      <c r="R87" s="5"/>
      <c r="S87" s="5"/>
      <c r="T87" s="5"/>
      <c r="U87" s="5"/>
      <c r="V87" s="5"/>
      <c r="W87" s="5"/>
      <c r="X87" s="5"/>
      <c r="Y87" s="5"/>
      <c r="Z87" s="5"/>
      <c r="AA87" s="5"/>
      <c r="AB87" s="5"/>
      <c r="AC87" s="5"/>
      <c r="AD87" s="5"/>
      <c r="AE87" s="5"/>
      <c r="AF87" s="5"/>
      <c r="AG87" s="5"/>
      <c r="AH87" s="5"/>
      <c r="AI87" s="5"/>
      <c r="AJ87" s="5"/>
      <c r="AK87" s="5"/>
      <c r="AL87" s="5"/>
      <c r="AM87" s="5"/>
      <c r="AN87" s="5"/>
    </row>
    <row r="88" spans="2:40" x14ac:dyDescent="0.3">
      <c r="B88" s="5"/>
      <c r="C88" s="5"/>
      <c r="D88" s="5"/>
      <c r="E88" s="5"/>
      <c r="F88" s="5"/>
      <c r="G88" s="5"/>
      <c r="H88" s="5"/>
      <c r="I88" s="5"/>
      <c r="J88" s="5"/>
      <c r="K88" s="5"/>
      <c r="L88" s="5"/>
      <c r="M88" s="5"/>
      <c r="N88" s="5"/>
      <c r="O88" s="5"/>
      <c r="P88" s="5"/>
      <c r="Q88" s="5"/>
      <c r="R88" s="5"/>
      <c r="S88" s="5"/>
      <c r="T88" s="5"/>
      <c r="U88" s="5"/>
      <c r="V88" s="5"/>
      <c r="W88" s="5"/>
      <c r="X88" s="5"/>
      <c r="Y88" s="5"/>
      <c r="Z88" s="5"/>
      <c r="AA88" s="5"/>
      <c r="AB88" s="5"/>
      <c r="AC88" s="5"/>
      <c r="AD88" s="5"/>
      <c r="AE88" s="5"/>
      <c r="AF88" s="5"/>
      <c r="AG88" s="5"/>
      <c r="AH88" s="5"/>
      <c r="AI88" s="5"/>
      <c r="AJ88" s="5"/>
      <c r="AK88" s="5"/>
      <c r="AL88" s="5"/>
      <c r="AM88" s="5"/>
      <c r="AN88" s="5"/>
    </row>
    <row r="89" spans="2:40" x14ac:dyDescent="0.3">
      <c r="B89" s="5"/>
      <c r="C89" s="5"/>
      <c r="D89" s="5"/>
      <c r="E89" s="5"/>
      <c r="F89" s="5"/>
      <c r="G89" s="5"/>
      <c r="H89" s="5"/>
      <c r="I89" s="5"/>
      <c r="J89" s="5"/>
      <c r="K89" s="5"/>
      <c r="L89" s="5"/>
      <c r="M89" s="5"/>
      <c r="N89" s="5"/>
      <c r="O89" s="5"/>
      <c r="P89" s="5"/>
      <c r="Q89" s="5"/>
      <c r="R89" s="5"/>
      <c r="S89" s="5"/>
      <c r="T89" s="5"/>
      <c r="U89" s="5"/>
      <c r="V89" s="5"/>
      <c r="W89" s="5"/>
      <c r="X89" s="5"/>
      <c r="Y89" s="5"/>
      <c r="Z89" s="5"/>
      <c r="AA89" s="5"/>
      <c r="AB89" s="5"/>
      <c r="AC89" s="5"/>
      <c r="AD89" s="5"/>
      <c r="AE89" s="5"/>
      <c r="AF89" s="5"/>
      <c r="AG89" s="5"/>
      <c r="AH89" s="5"/>
      <c r="AI89" s="5"/>
      <c r="AJ89" s="5"/>
      <c r="AK89" s="5"/>
      <c r="AL89" s="5"/>
      <c r="AM89" s="5"/>
      <c r="AN89" s="5"/>
    </row>
    <row r="90" spans="2:40" x14ac:dyDescent="0.3">
      <c r="B90" s="5"/>
      <c r="C90" s="5"/>
      <c r="D90" s="5"/>
      <c r="E90" s="5"/>
      <c r="F90" s="5"/>
      <c r="G90" s="5"/>
      <c r="H90" s="5"/>
      <c r="I90" s="5"/>
      <c r="J90" s="5"/>
      <c r="K90" s="5"/>
      <c r="L90" s="5"/>
      <c r="M90" s="5"/>
      <c r="N90" s="5"/>
      <c r="O90" s="5"/>
      <c r="P90" s="5"/>
      <c r="Q90" s="5"/>
      <c r="R90" s="5"/>
      <c r="S90" s="5"/>
      <c r="T90" s="5"/>
      <c r="U90" s="5"/>
      <c r="V90" s="5"/>
      <c r="W90" s="5"/>
      <c r="X90" s="5"/>
      <c r="Y90" s="5"/>
      <c r="Z90" s="5"/>
      <c r="AA90" s="5"/>
      <c r="AB90" s="5"/>
      <c r="AC90" s="5"/>
      <c r="AD90" s="5"/>
      <c r="AE90" s="5"/>
      <c r="AF90" s="5"/>
      <c r="AG90" s="5"/>
      <c r="AH90" s="5"/>
      <c r="AI90" s="5"/>
      <c r="AJ90" s="5"/>
      <c r="AK90" s="5"/>
      <c r="AL90" s="5"/>
      <c r="AM90" s="5"/>
      <c r="AN90" s="5"/>
    </row>
    <row r="91" spans="2:40" x14ac:dyDescent="0.3">
      <c r="B91" s="5"/>
      <c r="C91" s="5"/>
      <c r="D91" s="5"/>
      <c r="E91" s="5"/>
      <c r="F91" s="5"/>
      <c r="G91" s="5"/>
      <c r="H91" s="5"/>
      <c r="I91" s="5"/>
      <c r="J91" s="5"/>
      <c r="K91" s="5"/>
      <c r="L91" s="5"/>
      <c r="M91" s="5"/>
      <c r="N91" s="5"/>
      <c r="O91" s="5"/>
      <c r="P91" s="5"/>
      <c r="Q91" s="5"/>
      <c r="R91" s="5"/>
      <c r="S91" s="5"/>
      <c r="T91" s="5"/>
      <c r="U91" s="5"/>
      <c r="V91" s="5"/>
      <c r="W91" s="5"/>
      <c r="X91" s="5"/>
      <c r="Y91" s="5"/>
      <c r="Z91" s="5"/>
      <c r="AA91" s="5"/>
      <c r="AB91" s="5"/>
      <c r="AC91" s="5"/>
      <c r="AD91" s="5"/>
      <c r="AE91" s="5"/>
      <c r="AF91" s="5"/>
      <c r="AG91" s="5"/>
      <c r="AH91" s="5"/>
      <c r="AI91" s="5"/>
      <c r="AJ91" s="5"/>
      <c r="AK91" s="5"/>
      <c r="AL91" s="5"/>
      <c r="AM91" s="5"/>
      <c r="AN91" s="5"/>
    </row>
    <row r="92" spans="2:40" x14ac:dyDescent="0.3">
      <c r="B92" s="5"/>
      <c r="C92" s="5"/>
      <c r="D92" s="5"/>
      <c r="E92" s="5"/>
      <c r="F92" s="5"/>
      <c r="G92" s="5"/>
      <c r="H92" s="5"/>
      <c r="I92" s="5"/>
      <c r="J92" s="5"/>
      <c r="K92" s="5"/>
      <c r="L92" s="5"/>
      <c r="M92" s="5"/>
      <c r="N92" s="5"/>
      <c r="O92" s="5"/>
      <c r="P92" s="5"/>
      <c r="Q92" s="5"/>
      <c r="R92" s="5"/>
      <c r="S92" s="5"/>
      <c r="T92" s="5"/>
      <c r="U92" s="5"/>
      <c r="V92" s="5"/>
      <c r="W92" s="5"/>
      <c r="X92" s="5"/>
      <c r="Y92" s="5"/>
      <c r="Z92" s="5"/>
      <c r="AA92" s="5"/>
      <c r="AB92" s="5"/>
      <c r="AC92" s="5"/>
      <c r="AD92" s="5"/>
      <c r="AE92" s="5"/>
      <c r="AF92" s="5"/>
      <c r="AG92" s="5"/>
      <c r="AH92" s="5"/>
      <c r="AI92" s="5"/>
      <c r="AJ92" s="5"/>
      <c r="AK92" s="5"/>
      <c r="AL92" s="5"/>
      <c r="AM92" s="5"/>
      <c r="AN92" s="5"/>
    </row>
    <row r="93" spans="2:40" x14ac:dyDescent="0.3">
      <c r="B93" s="5"/>
      <c r="C93" s="5"/>
      <c r="D93" s="5"/>
      <c r="E93" s="5"/>
      <c r="F93" s="5"/>
      <c r="G93" s="5"/>
      <c r="H93" s="5"/>
      <c r="I93" s="5"/>
      <c r="J93" s="5"/>
      <c r="K93" s="5"/>
      <c r="L93" s="5"/>
      <c r="M93" s="5"/>
      <c r="N93" s="5"/>
      <c r="O93" s="5"/>
      <c r="P93" s="5"/>
      <c r="Q93" s="5"/>
      <c r="R93" s="5"/>
      <c r="S93" s="5"/>
      <c r="T93" s="5"/>
      <c r="U93" s="5"/>
      <c r="V93" s="5"/>
      <c r="W93" s="5"/>
      <c r="X93" s="5"/>
      <c r="Y93" s="5"/>
      <c r="Z93" s="5"/>
      <c r="AA93" s="5"/>
      <c r="AB93" s="5"/>
      <c r="AC93" s="5"/>
      <c r="AD93" s="5"/>
      <c r="AE93" s="5"/>
      <c r="AF93" s="5"/>
      <c r="AG93" s="5"/>
      <c r="AH93" s="5"/>
      <c r="AI93" s="5"/>
      <c r="AJ93" s="5"/>
      <c r="AK93" s="5"/>
      <c r="AL93" s="5"/>
      <c r="AM93" s="5"/>
      <c r="AN93" s="5"/>
    </row>
    <row r="94" spans="2:40" x14ac:dyDescent="0.3">
      <c r="B94" s="5"/>
      <c r="C94" s="5"/>
      <c r="D94" s="5"/>
      <c r="E94" s="5"/>
      <c r="F94" s="5"/>
      <c r="G94" s="5"/>
      <c r="H94" s="5"/>
      <c r="I94" s="5"/>
      <c r="J94" s="5"/>
      <c r="K94" s="5"/>
      <c r="L94" s="5"/>
      <c r="M94" s="5"/>
      <c r="N94" s="5"/>
      <c r="O94" s="5"/>
      <c r="P94" s="5"/>
      <c r="Q94" s="5"/>
      <c r="R94" s="5"/>
      <c r="S94" s="5"/>
      <c r="T94" s="5"/>
      <c r="U94" s="5"/>
      <c r="V94" s="5"/>
      <c r="W94" s="5"/>
      <c r="X94" s="5"/>
      <c r="Y94" s="5"/>
      <c r="Z94" s="5"/>
      <c r="AA94" s="5"/>
      <c r="AB94" s="5"/>
      <c r="AC94" s="5"/>
      <c r="AD94" s="5"/>
      <c r="AE94" s="5"/>
      <c r="AF94" s="5"/>
      <c r="AG94" s="5"/>
      <c r="AH94" s="5"/>
      <c r="AI94" s="5"/>
      <c r="AJ94" s="5"/>
      <c r="AK94" s="5"/>
      <c r="AL94" s="5"/>
      <c r="AM94" s="5"/>
      <c r="AN94" s="5"/>
    </row>
    <row r="95" spans="2:40" x14ac:dyDescent="0.3">
      <c r="B95" s="5"/>
      <c r="C95" s="5"/>
      <c r="D95" s="5"/>
      <c r="E95" s="5"/>
      <c r="F95" s="5"/>
      <c r="G95" s="5"/>
      <c r="H95" s="5"/>
      <c r="I95" s="5"/>
      <c r="J95" s="5"/>
      <c r="K95" s="5"/>
      <c r="L95" s="5"/>
      <c r="M95" s="5"/>
      <c r="N95" s="5"/>
      <c r="O95" s="5"/>
      <c r="P95" s="5"/>
      <c r="Q95" s="5"/>
      <c r="R95" s="5"/>
      <c r="S95" s="5"/>
      <c r="T95" s="5"/>
      <c r="U95" s="5"/>
      <c r="V95" s="5"/>
      <c r="W95" s="5"/>
      <c r="X95" s="5"/>
      <c r="Y95" s="5"/>
      <c r="Z95" s="5"/>
      <c r="AA95" s="5"/>
      <c r="AB95" s="5"/>
      <c r="AC95" s="5"/>
      <c r="AD95" s="5"/>
      <c r="AE95" s="5"/>
      <c r="AF95" s="5"/>
      <c r="AG95" s="5"/>
      <c r="AH95" s="5"/>
      <c r="AI95" s="5"/>
      <c r="AJ95" s="5"/>
      <c r="AK95" s="5"/>
      <c r="AL95" s="5"/>
      <c r="AM95" s="5"/>
      <c r="AN95" s="5"/>
    </row>
    <row r="96" spans="2:40" x14ac:dyDescent="0.3">
      <c r="B96" s="5"/>
      <c r="C96" s="5"/>
      <c r="D96" s="5"/>
      <c r="E96" s="5"/>
      <c r="F96" s="5"/>
      <c r="G96" s="5"/>
      <c r="H96" s="5"/>
      <c r="I96" s="5"/>
      <c r="J96" s="5"/>
      <c r="K96" s="5"/>
      <c r="L96" s="5"/>
      <c r="M96" s="5"/>
      <c r="N96" s="5"/>
      <c r="O96" s="5"/>
      <c r="P96" s="5"/>
      <c r="Q96" s="5"/>
      <c r="R96" s="5"/>
      <c r="S96" s="5"/>
      <c r="T96" s="5"/>
      <c r="U96" s="5"/>
      <c r="V96" s="5"/>
      <c r="W96" s="5"/>
      <c r="X96" s="5"/>
      <c r="Y96" s="5"/>
      <c r="Z96" s="5"/>
      <c r="AA96" s="5"/>
      <c r="AB96" s="5"/>
      <c r="AC96" s="5"/>
      <c r="AD96" s="5"/>
      <c r="AE96" s="5"/>
      <c r="AF96" s="5"/>
      <c r="AG96" s="5"/>
      <c r="AH96" s="5"/>
      <c r="AI96" s="5"/>
      <c r="AJ96" s="5"/>
      <c r="AK96" s="5"/>
      <c r="AL96" s="5"/>
      <c r="AM96" s="5"/>
      <c r="AN96" s="5"/>
    </row>
    <row r="97" spans="2:40" x14ac:dyDescent="0.3">
      <c r="B97" s="5"/>
      <c r="C97" s="5"/>
      <c r="D97" s="5"/>
      <c r="E97" s="5"/>
      <c r="F97" s="5"/>
      <c r="G97" s="5"/>
      <c r="H97" s="5"/>
      <c r="I97" s="5"/>
      <c r="J97" s="5"/>
      <c r="K97" s="5"/>
      <c r="L97" s="5"/>
      <c r="M97" s="5"/>
      <c r="N97" s="5"/>
      <c r="O97" s="5"/>
      <c r="P97" s="5"/>
      <c r="Q97" s="5"/>
      <c r="R97" s="5"/>
      <c r="S97" s="5"/>
      <c r="T97" s="5"/>
      <c r="U97" s="5"/>
      <c r="V97" s="5"/>
      <c r="W97" s="5"/>
      <c r="X97" s="5"/>
      <c r="Y97" s="5"/>
      <c r="Z97" s="5"/>
      <c r="AA97" s="5"/>
      <c r="AB97" s="5"/>
      <c r="AC97" s="5"/>
      <c r="AD97" s="5"/>
      <c r="AE97" s="5"/>
      <c r="AF97" s="5"/>
      <c r="AG97" s="5"/>
      <c r="AH97" s="5"/>
      <c r="AI97" s="5"/>
      <c r="AJ97" s="5"/>
      <c r="AK97" s="5"/>
      <c r="AL97" s="5"/>
      <c r="AM97" s="5"/>
      <c r="AN97" s="5"/>
    </row>
    <row r="98" spans="2:40" x14ac:dyDescent="0.3">
      <c r="B98" s="5"/>
      <c r="C98" s="5"/>
      <c r="D98" s="5"/>
      <c r="E98" s="5"/>
      <c r="F98" s="5"/>
      <c r="G98" s="5"/>
      <c r="H98" s="5"/>
      <c r="I98" s="5"/>
      <c r="J98" s="5"/>
      <c r="K98" s="5"/>
      <c r="L98" s="5"/>
      <c r="M98" s="5"/>
      <c r="N98" s="5"/>
      <c r="O98" s="5"/>
      <c r="P98" s="5"/>
      <c r="Q98" s="5"/>
      <c r="R98" s="5"/>
      <c r="S98" s="5"/>
      <c r="T98" s="5"/>
      <c r="U98" s="5"/>
      <c r="V98" s="5"/>
      <c r="W98" s="5"/>
      <c r="X98" s="5"/>
      <c r="Y98" s="5"/>
      <c r="Z98" s="5"/>
      <c r="AA98" s="5"/>
      <c r="AB98" s="5"/>
      <c r="AC98" s="5"/>
      <c r="AD98" s="5"/>
      <c r="AE98" s="5"/>
      <c r="AF98" s="5"/>
      <c r="AG98" s="5"/>
      <c r="AH98" s="5"/>
      <c r="AI98" s="5"/>
      <c r="AJ98" s="5"/>
      <c r="AK98" s="5"/>
      <c r="AL98" s="5"/>
      <c r="AM98" s="5"/>
      <c r="AN98" s="5"/>
    </row>
    <row r="99" spans="2:40" x14ac:dyDescent="0.3">
      <c r="B99" s="5"/>
      <c r="C99" s="5"/>
      <c r="D99" s="5"/>
      <c r="E99" s="5"/>
      <c r="F99" s="5"/>
      <c r="G99" s="5"/>
      <c r="H99" s="5"/>
      <c r="I99" s="5"/>
      <c r="J99" s="5"/>
      <c r="K99" s="5"/>
      <c r="L99" s="5"/>
      <c r="M99" s="5"/>
      <c r="N99" s="5"/>
      <c r="O99" s="5"/>
      <c r="P99" s="5"/>
      <c r="Q99" s="5"/>
      <c r="R99" s="5"/>
      <c r="S99" s="5"/>
      <c r="T99" s="5"/>
      <c r="U99" s="5"/>
      <c r="V99" s="5"/>
      <c r="W99" s="5"/>
      <c r="X99" s="5"/>
      <c r="Y99" s="5"/>
      <c r="Z99" s="5"/>
      <c r="AA99" s="5"/>
      <c r="AB99" s="5"/>
      <c r="AC99" s="5"/>
      <c r="AD99" s="5"/>
      <c r="AE99" s="5"/>
      <c r="AF99" s="5"/>
      <c r="AG99" s="5"/>
      <c r="AH99" s="5"/>
      <c r="AI99" s="5"/>
      <c r="AJ99" s="5"/>
      <c r="AK99" s="5"/>
      <c r="AL99" s="5"/>
      <c r="AM99" s="5"/>
      <c r="AN99" s="5"/>
    </row>
    <row r="100" spans="2:40" x14ac:dyDescent="0.3">
      <c r="B100" s="5"/>
      <c r="C100" s="5"/>
      <c r="D100" s="5"/>
      <c r="E100" s="5"/>
      <c r="F100" s="5"/>
      <c r="G100" s="5"/>
      <c r="H100" s="5"/>
      <c r="I100" s="5"/>
      <c r="J100" s="5"/>
      <c r="K100" s="5"/>
      <c r="L100" s="5"/>
      <c r="M100" s="5"/>
      <c r="N100" s="5"/>
      <c r="O100" s="5"/>
      <c r="P100" s="5"/>
      <c r="Q100" s="5"/>
      <c r="R100" s="5"/>
      <c r="S100" s="5"/>
      <c r="T100" s="5"/>
      <c r="U100" s="5"/>
      <c r="V100" s="5"/>
      <c r="W100" s="5"/>
      <c r="X100" s="5"/>
      <c r="Y100" s="5"/>
      <c r="Z100" s="5"/>
      <c r="AA100" s="5"/>
      <c r="AB100" s="5"/>
      <c r="AC100" s="5"/>
      <c r="AD100" s="5"/>
      <c r="AE100" s="5"/>
      <c r="AF100" s="5"/>
      <c r="AG100" s="5"/>
      <c r="AH100" s="5"/>
      <c r="AI100" s="5"/>
      <c r="AJ100" s="5"/>
      <c r="AK100" s="5"/>
      <c r="AL100" s="5"/>
      <c r="AM100" s="5"/>
      <c r="AN100" s="5"/>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D3CDBA-67DF-4ADD-A476-0825CA87F098}">
  <sheetPr>
    <tabColor rgb="FF2E8B8B"/>
  </sheetPr>
  <dimension ref="A1:AN100"/>
  <sheetViews>
    <sheetView workbookViewId="0">
      <pane xSplit="1" ySplit="2" topLeftCell="AL3" activePane="bottomRight" state="frozen"/>
      <selection pane="topRight" activeCell="B1" sqref="B1"/>
      <selection pane="bottomLeft" activeCell="A3" sqref="A3"/>
      <selection pane="bottomRight" activeCell="J26" sqref="J26"/>
    </sheetView>
  </sheetViews>
  <sheetFormatPr defaultRowHeight="14.4" x14ac:dyDescent="0.3"/>
  <cols>
    <col min="1" max="1" width="24" bestFit="1" customWidth="1"/>
    <col min="2" max="2" width="9.109375" bestFit="1" customWidth="1"/>
    <col min="3" max="11" width="10.109375" bestFit="1" customWidth="1"/>
    <col min="12" max="13" width="11" bestFit="1" customWidth="1"/>
    <col min="14" max="26" width="11.109375" bestFit="1" customWidth="1"/>
    <col min="27" max="30" width="12" customWidth="1"/>
    <col min="31" max="31" width="12" bestFit="1" customWidth="1"/>
    <col min="32" max="37" width="12.5546875" bestFit="1" customWidth="1"/>
    <col min="38" max="38" width="11.109375" bestFit="1" customWidth="1"/>
    <col min="39" max="39" width="12.5546875" bestFit="1" customWidth="1"/>
    <col min="40" max="40" width="13.6640625" bestFit="1" customWidth="1"/>
  </cols>
  <sheetData>
    <row r="1" spans="1:40" ht="24" customHeight="1" thickBot="1" x14ac:dyDescent="0.35">
      <c r="A1" s="180" t="str" cm="1">
        <f t="array" ref="A1:AK2">'23_Time'!A1:AK2</f>
        <v>Month Index</v>
      </c>
      <c r="B1" s="181">
        <v>1</v>
      </c>
      <c r="C1" s="181">
        <v>2</v>
      </c>
      <c r="D1" s="181">
        <v>3</v>
      </c>
      <c r="E1" s="181">
        <v>4</v>
      </c>
      <c r="F1" s="181">
        <v>5</v>
      </c>
      <c r="G1" s="181">
        <v>6</v>
      </c>
      <c r="H1" s="181">
        <v>7</v>
      </c>
      <c r="I1" s="181">
        <v>8</v>
      </c>
      <c r="J1" s="181">
        <v>9</v>
      </c>
      <c r="K1" s="181">
        <v>10</v>
      </c>
      <c r="L1" s="181">
        <v>11</v>
      </c>
      <c r="M1" s="181">
        <v>12</v>
      </c>
      <c r="N1" s="181">
        <v>13</v>
      </c>
      <c r="O1" s="181">
        <v>14</v>
      </c>
      <c r="P1" s="181">
        <v>15</v>
      </c>
      <c r="Q1" s="181">
        <v>16</v>
      </c>
      <c r="R1" s="181">
        <v>17</v>
      </c>
      <c r="S1" s="181">
        <v>18</v>
      </c>
      <c r="T1" s="181">
        <v>19</v>
      </c>
      <c r="U1" s="181">
        <v>20</v>
      </c>
      <c r="V1" s="181">
        <v>21</v>
      </c>
      <c r="W1" s="181">
        <v>22</v>
      </c>
      <c r="X1" s="181">
        <v>23</v>
      </c>
      <c r="Y1" s="181">
        <v>24</v>
      </c>
      <c r="Z1" s="181">
        <v>25</v>
      </c>
      <c r="AA1" s="181">
        <v>26</v>
      </c>
      <c r="AB1" s="181">
        <v>27</v>
      </c>
      <c r="AC1" s="181">
        <v>28</v>
      </c>
      <c r="AD1" s="181">
        <v>29</v>
      </c>
      <c r="AE1" s="181">
        <v>30</v>
      </c>
      <c r="AF1" s="181">
        <v>31</v>
      </c>
      <c r="AG1" s="181">
        <v>32</v>
      </c>
      <c r="AH1" s="181">
        <v>33</v>
      </c>
      <c r="AI1" s="181">
        <v>34</v>
      </c>
      <c r="AJ1" s="181">
        <v>35</v>
      </c>
      <c r="AK1" s="182">
        <v>36</v>
      </c>
      <c r="AL1" s="126"/>
      <c r="AM1" s="126"/>
      <c r="AN1" s="126"/>
    </row>
    <row r="2" spans="1:40" ht="15" thickBot="1" x14ac:dyDescent="0.35">
      <c r="A2" s="166" t="str">
        <v>Month Label</v>
      </c>
      <c r="B2" s="442" t="str">
        <v>M1</v>
      </c>
      <c r="C2" s="442" t="str">
        <v>M2</v>
      </c>
      <c r="D2" s="442" t="str">
        <v>M3</v>
      </c>
      <c r="E2" s="442" t="str">
        <v>M4</v>
      </c>
      <c r="F2" s="442" t="str">
        <v>M5</v>
      </c>
      <c r="G2" s="442" t="str">
        <v>M6</v>
      </c>
      <c r="H2" s="442" t="str">
        <v>M7</v>
      </c>
      <c r="I2" s="442" t="str">
        <v>M8</v>
      </c>
      <c r="J2" s="442" t="str">
        <v>M9</v>
      </c>
      <c r="K2" s="442" t="str">
        <v>M10</v>
      </c>
      <c r="L2" s="442" t="str">
        <v>M11</v>
      </c>
      <c r="M2" s="442" t="str">
        <v>M12</v>
      </c>
      <c r="N2" s="442" t="str">
        <v>M13</v>
      </c>
      <c r="O2" s="442" t="str">
        <v>M14</v>
      </c>
      <c r="P2" s="442" t="str">
        <v>M15</v>
      </c>
      <c r="Q2" s="442" t="str">
        <v>M16</v>
      </c>
      <c r="R2" s="442" t="str">
        <v>M17</v>
      </c>
      <c r="S2" s="442" t="str">
        <v>M18</v>
      </c>
      <c r="T2" s="442" t="str">
        <v>M19</v>
      </c>
      <c r="U2" s="442" t="str">
        <v>M20</v>
      </c>
      <c r="V2" s="442" t="str">
        <v>M21</v>
      </c>
      <c r="W2" s="442" t="str">
        <v>M22</v>
      </c>
      <c r="X2" s="442" t="str">
        <v>M23</v>
      </c>
      <c r="Y2" s="442" t="str">
        <v>M24</v>
      </c>
      <c r="Z2" s="442" t="str">
        <v>M25</v>
      </c>
      <c r="AA2" s="442" t="str">
        <v>M26</v>
      </c>
      <c r="AB2" s="442" t="str">
        <v>M27</v>
      </c>
      <c r="AC2" s="442" t="str">
        <v>M28</v>
      </c>
      <c r="AD2" s="442" t="str">
        <v>M29</v>
      </c>
      <c r="AE2" s="442" t="str">
        <v>M30</v>
      </c>
      <c r="AF2" s="442" t="str">
        <v>M31</v>
      </c>
      <c r="AG2" s="442" t="str">
        <v>M32</v>
      </c>
      <c r="AH2" s="442" t="str">
        <v>M33</v>
      </c>
      <c r="AI2" s="442" t="str">
        <v>M34</v>
      </c>
      <c r="AJ2" s="442" t="str">
        <v>M35</v>
      </c>
      <c r="AK2" s="442" t="str">
        <v>M36</v>
      </c>
      <c r="AL2" s="210" t="s">
        <v>72</v>
      </c>
      <c r="AM2" s="211" t="s">
        <v>73</v>
      </c>
      <c r="AN2" s="212" t="s">
        <v>74</v>
      </c>
    </row>
    <row r="3" spans="1:40" x14ac:dyDescent="0.3">
      <c r="A3" s="129" t="s">
        <v>556</v>
      </c>
      <c r="B3" s="186">
        <f>'40_Customers_Orders'!B8*'31_Inputs_UnitEconomics'!$C$2</f>
        <v>904090.90909090906</v>
      </c>
      <c r="C3" s="186">
        <f>'40_Customers_Orders'!C8*'31_Inputs_UnitEconomics'!$C$2</f>
        <v>1816124.200902238</v>
      </c>
      <c r="D3" s="186">
        <f>'40_Customers_Orders'!D8*'31_Inputs_UnitEconomics'!$C$2</f>
        <v>2736899.2483908264</v>
      </c>
      <c r="E3" s="186">
        <f>'40_Customers_Orders'!E8*'31_Inputs_UnitEconomics'!$C$2</f>
        <v>3667215.0022906726</v>
      </c>
      <c r="F3" s="186">
        <f>'40_Customers_Orders'!F8*'31_Inputs_UnitEconomics'!$C$2</f>
        <v>4607870.6982236747</v>
      </c>
      <c r="G3" s="186">
        <f>'40_Customers_Orders'!G8*'31_Inputs_UnitEconomics'!$C$2</f>
        <v>5559666.556542851</v>
      </c>
      <c r="H3" s="186">
        <f>'40_Customers_Orders'!H8*'31_Inputs_UnitEconomics'!$C$2</f>
        <v>6523404.4755990608</v>
      </c>
      <c r="I3" s="186">
        <f>'40_Customers_Orders'!I8*'31_Inputs_UnitEconomics'!$C$2</f>
        <v>7499888.7191091161</v>
      </c>
      <c r="J3" s="186">
        <f>'40_Customers_Orders'!J8*'31_Inputs_UnitEconomics'!$C$2</f>
        <v>8489926.5982908085</v>
      </c>
      <c r="K3" s="186">
        <f>'40_Customers_Orders'!K8*'31_Inputs_UnitEconomics'!$C$2</f>
        <v>9494329.1494186576</v>
      </c>
      <c r="L3" s="186">
        <f>'40_Customers_Orders'!L8*'31_Inputs_UnitEconomics'!$C$2</f>
        <v>10513911.807443269</v>
      </c>
      <c r="M3" s="186">
        <f>'40_Customers_Orders'!M8*'31_Inputs_UnitEconomics'!$C$2</f>
        <v>11549495.076306852</v>
      </c>
      <c r="N3" s="186">
        <f>'40_Customers_Orders'!N8*'31_Inputs_UnitEconomics'!$C$2</f>
        <v>15430182.609482622</v>
      </c>
      <c r="O3" s="186">
        <f>'40_Customers_Orders'!O8*'31_Inputs_UnitEconomics'!$C$2</f>
        <v>19300899.143060151</v>
      </c>
      <c r="P3" s="186">
        <f>'40_Customers_Orders'!P8*'31_Inputs_UnitEconomics'!$C$2</f>
        <v>23165234.035763741</v>
      </c>
      <c r="Q3" s="186">
        <f>'40_Customers_Orders'!Q8*'31_Inputs_UnitEconomics'!$C$2</f>
        <v>27026733.288232259</v>
      </c>
      <c r="R3" s="186">
        <f>'40_Customers_Orders'!R8*'31_Inputs_UnitEconomics'!$C$2</f>
        <v>30888903.115862846</v>
      </c>
      <c r="S3" s="186">
        <f>'40_Customers_Orders'!S8*'31_Inputs_UnitEconomics'!$C$2</f>
        <v>34755213.448746882</v>
      </c>
      <c r="T3" s="186">
        <f>'40_Customers_Orders'!T8*'31_Inputs_UnitEconomics'!$C$2</f>
        <v>38629101.362543233</v>
      </c>
      <c r="U3" s="186">
        <f>'40_Customers_Orders'!U8*'31_Inputs_UnitEconomics'!$C$2</f>
        <v>47837380.006170876</v>
      </c>
      <c r="V3" s="186">
        <f>'40_Customers_Orders'!V8*'31_Inputs_UnitEconomics'!$C$2</f>
        <v>57008018.890778169</v>
      </c>
      <c r="W3" s="186">
        <f>'40_Customers_Orders'!W8*'31_Inputs_UnitEconomics'!$C$2</f>
        <v>66149551.890711688</v>
      </c>
      <c r="X3" s="186">
        <f>'40_Customers_Orders'!X8*'31_Inputs_UnitEconomics'!$C$2</f>
        <v>75270396.974657327</v>
      </c>
      <c r="Y3" s="186">
        <f>'40_Customers_Orders'!Y8*'31_Inputs_UnitEconomics'!$C$2</f>
        <v>84378864.822456479</v>
      </c>
      <c r="Z3" s="186">
        <f>'40_Customers_Orders'!Z8*'31_Inputs_UnitEconomics'!$C$2</f>
        <v>93483167.256131798</v>
      </c>
      <c r="AA3" s="186">
        <f>'40_Customers_Orders'!AA8*'31_Inputs_UnitEconomics'!$C$2</f>
        <v>102591425.49449261</v>
      </c>
      <c r="AB3" s="186">
        <f>'40_Customers_Orders'!AB8*'31_Inputs_UnitEconomics'!$C$2</f>
        <v>111711678.24043517</v>
      </c>
      <c r="AC3" s="186">
        <f>'40_Customers_Orders'!AC8*'31_Inputs_UnitEconomics'!$C$2</f>
        <v>120851889.60981029</v>
      </c>
      <c r="AD3" s="186">
        <f>'40_Customers_Orders'!AD8*'31_Inputs_UnitEconomics'!$C$2</f>
        <v>130019956.91049586</v>
      </c>
      <c r="AE3" s="186">
        <f>'40_Customers_Orders'!AE8*'31_Inputs_UnitEconomics'!$C$2</f>
        <v>139223718.28009042</v>
      </c>
      <c r="AF3" s="186">
        <f>'40_Customers_Orders'!AF8*'31_Inputs_UnitEconomics'!$C$2</f>
        <v>148470960.19042841</v>
      </c>
      <c r="AG3" s="186">
        <f>'40_Customers_Orders'!AG8*'31_Inputs_UnitEconomics'!$C$2</f>
        <v>157769424.82691568</v>
      </c>
      <c r="AH3" s="186">
        <f>'40_Customers_Orders'!AH8*'31_Inputs_UnitEconomics'!$C$2</f>
        <v>167126817.35048684</v>
      </c>
      <c r="AI3" s="186">
        <f>'40_Customers_Orders'!AI8*'31_Inputs_UnitEconomics'!$C$2</f>
        <v>176550813.04980212</v>
      </c>
      <c r="AJ3" s="186">
        <f>'40_Customers_Orders'!AJ8*'31_Inputs_UnitEconomics'!$C$2</f>
        <v>186049064.39112213</v>
      </c>
      <c r="AK3" s="186">
        <f>'40_Customers_Orders'!AK8*'31_Inputs_UnitEconomics'!$C$2</f>
        <v>195629207.97313192</v>
      </c>
      <c r="AL3" s="185">
        <f>SUMIF('23_Time'!$B$3:$AK$3, 1,$B$3:$AK$3)</f>
        <v>73362822.441608936</v>
      </c>
      <c r="AM3" s="186">
        <f>SUMIF('23_Time'!$B$3:$AK$3, 2,$B$3:$AK$3)</f>
        <v>519840479.58846629</v>
      </c>
      <c r="AN3" s="187">
        <f>SUMIF('23_Time'!$B$3:$AK$3, 3,$B$3:$AK$3)</f>
        <v>1729478123.573343</v>
      </c>
    </row>
    <row r="4" spans="1:40" x14ac:dyDescent="0.3">
      <c r="A4" s="127" t="s">
        <v>140</v>
      </c>
      <c r="B4" s="199">
        <f>B3*'31_Inputs_UnitEconomics'!$C$3</f>
        <v>10849.090909090908</v>
      </c>
      <c r="C4" s="199">
        <f>C3*'31_Inputs_UnitEconomics'!$C$3</f>
        <v>21793.490410826857</v>
      </c>
      <c r="D4" s="199">
        <f>D3*'31_Inputs_UnitEconomics'!$C$3</f>
        <v>32842.790980689919</v>
      </c>
      <c r="E4" s="199">
        <f>E3*'31_Inputs_UnitEconomics'!$C$3</f>
        <v>44006.580027488075</v>
      </c>
      <c r="F4" s="199">
        <f>F3*'31_Inputs_UnitEconomics'!$C$3</f>
        <v>55294.448378684094</v>
      </c>
      <c r="G4" s="199">
        <f>G3*'31_Inputs_UnitEconomics'!$C$3</f>
        <v>66715.99867851421</v>
      </c>
      <c r="H4" s="199">
        <f>H3*'31_Inputs_UnitEconomics'!$C$3</f>
        <v>78280.853707188726</v>
      </c>
      <c r="I4" s="199">
        <f>I3*'31_Inputs_UnitEconomics'!$C$3</f>
        <v>89998.664629309395</v>
      </c>
      <c r="J4" s="199">
        <f>J3*'31_Inputs_UnitEconomics'!$C$3</f>
        <v>101879.1191794897</v>
      </c>
      <c r="K4" s="199">
        <f>K3*'31_Inputs_UnitEconomics'!$C$3</f>
        <v>113931.9497930239</v>
      </c>
      <c r="L4" s="199">
        <f>L3*'31_Inputs_UnitEconomics'!$C$3</f>
        <v>126166.94168931922</v>
      </c>
      <c r="M4" s="199">
        <f>M3*'31_Inputs_UnitEconomics'!$C$3</f>
        <v>138593.94091568221</v>
      </c>
      <c r="N4" s="199">
        <f>N3*'31_Inputs_UnitEconomics'!$C$3</f>
        <v>185162.19131379147</v>
      </c>
      <c r="O4" s="199">
        <f>O3*'31_Inputs_UnitEconomics'!$C$3</f>
        <v>231610.78971672183</v>
      </c>
      <c r="P4" s="199">
        <f>P3*'31_Inputs_UnitEconomics'!$C$3</f>
        <v>277982.80842916487</v>
      </c>
      <c r="Q4" s="199">
        <f>Q3*'31_Inputs_UnitEconomics'!$C$3</f>
        <v>324320.79945878714</v>
      </c>
      <c r="R4" s="199">
        <f>R3*'31_Inputs_UnitEconomics'!$C$3</f>
        <v>370666.83739035414</v>
      </c>
      <c r="S4" s="199">
        <f>S3*'31_Inputs_UnitEconomics'!$C$3</f>
        <v>417062.56138496258</v>
      </c>
      <c r="T4" s="199">
        <f>T3*'31_Inputs_UnitEconomics'!$C$3</f>
        <v>463549.21635051881</v>
      </c>
      <c r="U4" s="199">
        <f>U3*'31_Inputs_UnitEconomics'!$C$3</f>
        <v>574048.56007405056</v>
      </c>
      <c r="V4" s="199">
        <f>V3*'31_Inputs_UnitEconomics'!$C$3</f>
        <v>684096.22668933799</v>
      </c>
      <c r="W4" s="199">
        <f>W3*'31_Inputs_UnitEconomics'!$C$3</f>
        <v>793794.62268854026</v>
      </c>
      <c r="X4" s="199">
        <f>X3*'31_Inputs_UnitEconomics'!$C$3</f>
        <v>903244.76369588799</v>
      </c>
      <c r="Y4" s="199">
        <f>Y3*'31_Inputs_UnitEconomics'!$C$3</f>
        <v>1012546.3778694777</v>
      </c>
      <c r="Z4" s="199">
        <f>Z3*'31_Inputs_UnitEconomics'!$C$3</f>
        <v>1121798.0070735817</v>
      </c>
      <c r="AA4" s="199">
        <f>AA3*'31_Inputs_UnitEconomics'!$C$3</f>
        <v>1231097.1059339114</v>
      </c>
      <c r="AB4" s="199">
        <f>AB3*'31_Inputs_UnitEconomics'!$C$3</f>
        <v>1340540.1388852221</v>
      </c>
      <c r="AC4" s="199">
        <f>AC3*'31_Inputs_UnitEconomics'!$C$3</f>
        <v>1450222.6753177235</v>
      </c>
      <c r="AD4" s="199">
        <f>AD3*'31_Inputs_UnitEconomics'!$C$3</f>
        <v>1560239.4829259503</v>
      </c>
      <c r="AE4" s="199">
        <f>AE3*'31_Inputs_UnitEconomics'!$C$3</f>
        <v>1670684.6193610851</v>
      </c>
      <c r="AF4" s="199">
        <f>AF3*'31_Inputs_UnitEconomics'!$C$3</f>
        <v>1781651.5222851408</v>
      </c>
      <c r="AG4" s="199">
        <f>AG3*'31_Inputs_UnitEconomics'!$C$3</f>
        <v>1893233.0979229882</v>
      </c>
      <c r="AH4" s="199">
        <f>AH3*'31_Inputs_UnitEconomics'!$C$3</f>
        <v>2005521.8082058423</v>
      </c>
      <c r="AI4" s="199">
        <f>AI3*'31_Inputs_UnitEconomics'!$C$3</f>
        <v>2118609.7565976256</v>
      </c>
      <c r="AJ4" s="199">
        <f>AJ3*'31_Inputs_UnitEconomics'!$C$3</f>
        <v>2232588.7726934655</v>
      </c>
      <c r="AK4" s="199">
        <f>AK3*'31_Inputs_UnitEconomics'!$C$3</f>
        <v>2347550.4956775829</v>
      </c>
      <c r="AL4" s="188">
        <f>SUMIF('23_Time'!$B$3:$AK$3, 1,$B$4:$AK$4)</f>
        <v>880353.86929930723</v>
      </c>
      <c r="AM4" s="189">
        <f>SUMIF('23_Time'!$B$3:$AK$3, 2,$B$4:$AK$4)</f>
        <v>6238085.7550615948</v>
      </c>
      <c r="AN4" s="190">
        <f>SUMIF('23_Time'!$B$3:$AK$3, 3,$B$4:$AK$4)</f>
        <v>20753737.482880119</v>
      </c>
    </row>
    <row r="5" spans="1:40" x14ac:dyDescent="0.3">
      <c r="A5" s="127" t="s">
        <v>84</v>
      </c>
      <c r="B5" s="279">
        <f>B3*'31_Inputs_UnitEconomics'!$B$4</f>
        <v>3164.318181818182</v>
      </c>
      <c r="C5" s="279">
        <f>C3*'31_Inputs_UnitEconomics'!$B$4</f>
        <v>6356.4347031578336</v>
      </c>
      <c r="D5" s="279">
        <f>D3*'31_Inputs_UnitEconomics'!$B$4</f>
        <v>9579.1473693678927</v>
      </c>
      <c r="E5" s="279">
        <f>E3*'31_Inputs_UnitEconomics'!$B$4</f>
        <v>12835.252508017355</v>
      </c>
      <c r="F5" s="279">
        <f>F3*'31_Inputs_UnitEconomics'!$B$4</f>
        <v>16127.547443782862</v>
      </c>
      <c r="G5" s="279">
        <f>G3*'31_Inputs_UnitEconomics'!$B$4</f>
        <v>19458.83294789998</v>
      </c>
      <c r="H5" s="279">
        <f>H3*'31_Inputs_UnitEconomics'!$B$4</f>
        <v>22831.915664596712</v>
      </c>
      <c r="I5" s="279">
        <f>I3*'31_Inputs_UnitEconomics'!$B$4</f>
        <v>26249.610516881909</v>
      </c>
      <c r="J5" s="279">
        <f>J3*'31_Inputs_UnitEconomics'!$B$4</f>
        <v>29714.743094017831</v>
      </c>
      <c r="K5" s="279">
        <f>K3*'31_Inputs_UnitEconomics'!$B$4</f>
        <v>33230.152022965303</v>
      </c>
      <c r="L5" s="279">
        <f>L3*'31_Inputs_UnitEconomics'!$B$4</f>
        <v>36798.691326051441</v>
      </c>
      <c r="M5" s="279">
        <f>M3*'31_Inputs_UnitEconomics'!$B$4</f>
        <v>40423.232767073983</v>
      </c>
      <c r="N5" s="279">
        <f>N3*'31_Inputs_UnitEconomics'!$B$4</f>
        <v>54005.639133189179</v>
      </c>
      <c r="O5" s="279">
        <f>O3*'31_Inputs_UnitEconomics'!$B$4</f>
        <v>67553.147000710538</v>
      </c>
      <c r="P5" s="279">
        <f>P3*'31_Inputs_UnitEconomics'!$B$4</f>
        <v>81078.31912517309</v>
      </c>
      <c r="Q5" s="279">
        <f>Q3*'31_Inputs_UnitEconomics'!$B$4</f>
        <v>94593.566508812917</v>
      </c>
      <c r="R5" s="279">
        <f>R3*'31_Inputs_UnitEconomics'!$B$4</f>
        <v>108111.16090551997</v>
      </c>
      <c r="S5" s="279">
        <f>S3*'31_Inputs_UnitEconomics'!$B$4</f>
        <v>121643.24707061409</v>
      </c>
      <c r="T5" s="279">
        <f>T3*'31_Inputs_UnitEconomics'!$B$4</f>
        <v>135201.85476890131</v>
      </c>
      <c r="U5" s="279">
        <f>U3*'31_Inputs_UnitEconomics'!$B$4</f>
        <v>167430.83002159806</v>
      </c>
      <c r="V5" s="279">
        <f>V3*'31_Inputs_UnitEconomics'!$B$4</f>
        <v>199528.06611772359</v>
      </c>
      <c r="W5" s="279">
        <f>W3*'31_Inputs_UnitEconomics'!$B$4</f>
        <v>231523.43161749092</v>
      </c>
      <c r="X5" s="279">
        <f>X3*'31_Inputs_UnitEconomics'!$B$4</f>
        <v>263446.38941130065</v>
      </c>
      <c r="Y5" s="279">
        <f>Y3*'31_Inputs_UnitEconomics'!$B$4</f>
        <v>295326.02687859768</v>
      </c>
      <c r="Z5" s="279">
        <f>Z3*'31_Inputs_UnitEconomics'!$B$4</f>
        <v>327191.08539646131</v>
      </c>
      <c r="AA5" s="279">
        <f>AA3*'31_Inputs_UnitEconomics'!$B$4</f>
        <v>359069.98923072411</v>
      </c>
      <c r="AB5" s="279">
        <f>AB3*'31_Inputs_UnitEconomics'!$B$4</f>
        <v>390990.87384152308</v>
      </c>
      <c r="AC5" s="279">
        <f>AC3*'31_Inputs_UnitEconomics'!$B$4</f>
        <v>422981.61363433604</v>
      </c>
      <c r="AD5" s="279">
        <f>AD3*'31_Inputs_UnitEconomics'!$B$4</f>
        <v>455069.84918673552</v>
      </c>
      <c r="AE5" s="279">
        <f>AE3*'31_Inputs_UnitEconomics'!$B$4</f>
        <v>487283.01398031646</v>
      </c>
      <c r="AF5" s="279">
        <f>AF3*'31_Inputs_UnitEconomics'!$B$4</f>
        <v>519648.36066649941</v>
      </c>
      <c r="AG5" s="279">
        <f>AG3*'31_Inputs_UnitEconomics'!$B$4</f>
        <v>552192.98689420486</v>
      </c>
      <c r="AH5" s="279">
        <f>AH3*'31_Inputs_UnitEconomics'!$B$4</f>
        <v>584943.86072670401</v>
      </c>
      <c r="AI5" s="279">
        <f>AI3*'31_Inputs_UnitEconomics'!$B$4</f>
        <v>617927.84567430743</v>
      </c>
      <c r="AJ5" s="279">
        <f>AJ3*'31_Inputs_UnitEconomics'!$B$4</f>
        <v>651171.72536892747</v>
      </c>
      <c r="AK5" s="279">
        <f>AK3*'31_Inputs_UnitEconomics'!$B$4</f>
        <v>684702.2279059618</v>
      </c>
      <c r="AL5" s="160">
        <f>SUMIF('23_Time'!$B$3:$AK$3, 1,$B$5:$AK$5)</f>
        <v>256769.87854563128</v>
      </c>
      <c r="AM5" s="159">
        <f>SUMIF('23_Time'!$B$3:$AK$3, 2,$B$5:$AK$5)</f>
        <v>1819441.678559632</v>
      </c>
      <c r="AN5" s="161">
        <f>SUMIF('23_Time'!$B$3:$AK$3, 3,$B$5:$AK$5)</f>
        <v>6053173.432506701</v>
      </c>
    </row>
    <row r="6" spans="1:40" x14ac:dyDescent="0.3">
      <c r="A6" s="280" t="s">
        <v>85</v>
      </c>
      <c r="B6" s="279">
        <f>B3*'31_Inputs_UnitEconomics'!$C$5</f>
        <v>1356.1363636363635</v>
      </c>
      <c r="C6" s="279">
        <f>C3*'31_Inputs_UnitEconomics'!$C$5</f>
        <v>2724.1863013533571</v>
      </c>
      <c r="D6" s="279">
        <f>D3*'31_Inputs_UnitEconomics'!$C$5</f>
        <v>4105.3488725862398</v>
      </c>
      <c r="E6" s="279">
        <f>E3*'31_Inputs_UnitEconomics'!$C$5</f>
        <v>5500.8225034360094</v>
      </c>
      <c r="F6" s="279">
        <f>F3*'31_Inputs_UnitEconomics'!$C$5</f>
        <v>6911.8060473355117</v>
      </c>
      <c r="G6" s="279">
        <f>G3*'31_Inputs_UnitEconomics'!$C$5</f>
        <v>8339.4998348142763</v>
      </c>
      <c r="H6" s="279">
        <f>H3*'31_Inputs_UnitEconomics'!$C$5</f>
        <v>9785.1067133985907</v>
      </c>
      <c r="I6" s="279">
        <f>I3*'31_Inputs_UnitEconomics'!$C$5</f>
        <v>11249.833078663674</v>
      </c>
      <c r="J6" s="279">
        <f>J3*'31_Inputs_UnitEconomics'!$C$5</f>
        <v>12734.889897436213</v>
      </c>
      <c r="K6" s="279">
        <f>K3*'31_Inputs_UnitEconomics'!$C$5</f>
        <v>14241.493724127988</v>
      </c>
      <c r="L6" s="279">
        <f>L3*'31_Inputs_UnitEconomics'!$C$5</f>
        <v>15770.867711164903</v>
      </c>
      <c r="M6" s="279">
        <f>M3*'31_Inputs_UnitEconomics'!$C$5</f>
        <v>17324.242614460276</v>
      </c>
      <c r="N6" s="279">
        <f>N3*'31_Inputs_UnitEconomics'!$C$5</f>
        <v>23145.273914223933</v>
      </c>
      <c r="O6" s="279">
        <f>O3*'31_Inputs_UnitEconomics'!$C$5</f>
        <v>28951.348714590229</v>
      </c>
      <c r="P6" s="279">
        <f>P3*'31_Inputs_UnitEconomics'!$C$5</f>
        <v>34747.851053645609</v>
      </c>
      <c r="Q6" s="279">
        <f>Q3*'31_Inputs_UnitEconomics'!$C$5</f>
        <v>40540.099932348392</v>
      </c>
      <c r="R6" s="279">
        <f>R3*'31_Inputs_UnitEconomics'!$C$5</f>
        <v>46333.354673794267</v>
      </c>
      <c r="S6" s="279">
        <f>S3*'31_Inputs_UnitEconomics'!$C$5</f>
        <v>52132.820173120323</v>
      </c>
      <c r="T6" s="279">
        <f>T3*'31_Inputs_UnitEconomics'!$C$5</f>
        <v>57943.652043814851</v>
      </c>
      <c r="U6" s="279">
        <f>U3*'31_Inputs_UnitEconomics'!$C$5</f>
        <v>71756.07000925632</v>
      </c>
      <c r="V6" s="279">
        <f>V3*'31_Inputs_UnitEconomics'!$C$5</f>
        <v>85512.028336167248</v>
      </c>
      <c r="W6" s="279">
        <f>W3*'31_Inputs_UnitEconomics'!$C$5</f>
        <v>99224.327836067532</v>
      </c>
      <c r="X6" s="279">
        <f>X3*'31_Inputs_UnitEconomics'!$C$5</f>
        <v>112905.595461986</v>
      </c>
      <c r="Y6" s="279">
        <f>Y3*'31_Inputs_UnitEconomics'!$C$5</f>
        <v>126568.29723368472</v>
      </c>
      <c r="Z6" s="279">
        <f>Z3*'31_Inputs_UnitEconomics'!$C$5</f>
        <v>140224.75088419771</v>
      </c>
      <c r="AA6" s="279">
        <f>AA3*'31_Inputs_UnitEconomics'!$C$5</f>
        <v>153887.13824173892</v>
      </c>
      <c r="AB6" s="279">
        <f>AB3*'31_Inputs_UnitEconomics'!$C$5</f>
        <v>167567.51736065277</v>
      </c>
      <c r="AC6" s="279">
        <f>AC3*'31_Inputs_UnitEconomics'!$C$5</f>
        <v>181277.83441471544</v>
      </c>
      <c r="AD6" s="279">
        <f>AD3*'31_Inputs_UnitEconomics'!$C$5</f>
        <v>195029.93536574379</v>
      </c>
      <c r="AE6" s="279">
        <f>AE3*'31_Inputs_UnitEconomics'!$C$5</f>
        <v>208835.57742013564</v>
      </c>
      <c r="AF6" s="279">
        <f>AF3*'31_Inputs_UnitEconomics'!$C$5</f>
        <v>222706.4402856426</v>
      </c>
      <c r="AG6" s="279">
        <f>AG3*'31_Inputs_UnitEconomics'!$C$5</f>
        <v>236654.13724037353</v>
      </c>
      <c r="AH6" s="279">
        <f>AH3*'31_Inputs_UnitEconomics'!$C$5</f>
        <v>250690.22602573028</v>
      </c>
      <c r="AI6" s="279">
        <f>AI3*'31_Inputs_UnitEconomics'!$C$5</f>
        <v>264826.21957470319</v>
      </c>
      <c r="AJ6" s="279">
        <f>AJ3*'31_Inputs_UnitEconomics'!$C$5</f>
        <v>279073.59658668318</v>
      </c>
      <c r="AK6" s="279">
        <f>AK3*'31_Inputs_UnitEconomics'!$C$5</f>
        <v>293443.81195969786</v>
      </c>
      <c r="AL6" s="160">
        <f>SUMIF('23_Time'!$B$3:$AK$3, 1,$B$6:$AK$6)</f>
        <v>110044.2336624134</v>
      </c>
      <c r="AM6" s="159">
        <f>SUMIF('23_Time'!$B$3:$AK$3, 2,$B$6:$AK$6)</f>
        <v>779760.71938269935</v>
      </c>
      <c r="AN6" s="161">
        <f>SUMIF('23_Time'!$B$3:$AK$3, 3,$B$6:$AK$6)</f>
        <v>2594217.1853600149</v>
      </c>
    </row>
    <row r="7" spans="1:40" ht="15" thickBot="1" x14ac:dyDescent="0.35">
      <c r="A7" s="24" t="s">
        <v>141</v>
      </c>
      <c r="B7" s="281">
        <f>B4-B5-B6</f>
        <v>6328.6363636363621</v>
      </c>
      <c r="C7" s="281">
        <f t="shared" ref="C7:AK7" si="0">C4-C5-C6</f>
        <v>12712.869406315667</v>
      </c>
      <c r="D7" s="281">
        <f t="shared" si="0"/>
        <v>19158.294738735785</v>
      </c>
      <c r="E7" s="281">
        <f t="shared" si="0"/>
        <v>25670.505016034709</v>
      </c>
      <c r="F7" s="281">
        <f t="shared" si="0"/>
        <v>32255.094887565723</v>
      </c>
      <c r="G7" s="281">
        <f t="shared" si="0"/>
        <v>38917.665895799953</v>
      </c>
      <c r="H7" s="281">
        <f t="shared" si="0"/>
        <v>45663.831329193417</v>
      </c>
      <c r="I7" s="281">
        <f t="shared" si="0"/>
        <v>52499.221033763817</v>
      </c>
      <c r="J7" s="281">
        <f t="shared" si="0"/>
        <v>59429.486188035662</v>
      </c>
      <c r="K7" s="281">
        <f t="shared" si="0"/>
        <v>66460.304045930607</v>
      </c>
      <c r="L7" s="281">
        <f t="shared" si="0"/>
        <v>73597.382652102882</v>
      </c>
      <c r="M7" s="281">
        <f t="shared" si="0"/>
        <v>80846.465534147937</v>
      </c>
      <c r="N7" s="281">
        <f t="shared" si="0"/>
        <v>108011.27826637834</v>
      </c>
      <c r="O7" s="281">
        <f t="shared" si="0"/>
        <v>135106.29400142108</v>
      </c>
      <c r="P7" s="281">
        <f t="shared" si="0"/>
        <v>162156.63825034618</v>
      </c>
      <c r="Q7" s="281">
        <f t="shared" si="0"/>
        <v>189187.13301762583</v>
      </c>
      <c r="R7" s="281">
        <f t="shared" si="0"/>
        <v>216222.3218110399</v>
      </c>
      <c r="S7" s="281">
        <f t="shared" si="0"/>
        <v>243286.49414122818</v>
      </c>
      <c r="T7" s="281">
        <f t="shared" si="0"/>
        <v>270403.70953780267</v>
      </c>
      <c r="U7" s="281">
        <f t="shared" si="0"/>
        <v>334861.66004319623</v>
      </c>
      <c r="V7" s="281">
        <f t="shared" si="0"/>
        <v>399056.13223544718</v>
      </c>
      <c r="W7" s="281">
        <f t="shared" si="0"/>
        <v>463046.86323498178</v>
      </c>
      <c r="X7" s="281">
        <f t="shared" si="0"/>
        <v>526892.77882260131</v>
      </c>
      <c r="Y7" s="281">
        <f t="shared" si="0"/>
        <v>590652.05375719536</v>
      </c>
      <c r="Z7" s="281">
        <f t="shared" si="0"/>
        <v>654382.17079292261</v>
      </c>
      <c r="AA7" s="281">
        <f t="shared" si="0"/>
        <v>718139.97846144845</v>
      </c>
      <c r="AB7" s="281">
        <f t="shared" si="0"/>
        <v>781981.74768304627</v>
      </c>
      <c r="AC7" s="281">
        <f t="shared" si="0"/>
        <v>845963.22726867208</v>
      </c>
      <c r="AD7" s="281">
        <f t="shared" si="0"/>
        <v>910139.69837347104</v>
      </c>
      <c r="AE7" s="281">
        <f t="shared" si="0"/>
        <v>974566.02796063304</v>
      </c>
      <c r="AF7" s="281">
        <f t="shared" si="0"/>
        <v>1039296.7213329987</v>
      </c>
      <c r="AG7" s="281">
        <f t="shared" si="0"/>
        <v>1104385.97378841</v>
      </c>
      <c r="AH7" s="281">
        <f t="shared" si="0"/>
        <v>1169887.7214534078</v>
      </c>
      <c r="AI7" s="281">
        <f t="shared" si="0"/>
        <v>1235855.6913486149</v>
      </c>
      <c r="AJ7" s="281">
        <f t="shared" si="0"/>
        <v>1302343.4507378549</v>
      </c>
      <c r="AK7" s="281">
        <f t="shared" si="0"/>
        <v>1369404.4558119234</v>
      </c>
      <c r="AL7" s="299">
        <f>SUMIF('23_Time'!$B$3:$AK$3, 1,B7:AK7)</f>
        <v>513539.75709126249</v>
      </c>
      <c r="AM7" s="28">
        <f>SUMIF('23_Time'!$B$3:$AK$3, 2,B7:AK7)</f>
        <v>3638883.3571192641</v>
      </c>
      <c r="AN7" s="300">
        <f>SUMIF('23_Time'!$B$3:$AK$3, 3,B7:AK7)</f>
        <v>12106346.865013402</v>
      </c>
    </row>
    <row r="8" spans="1:40" x14ac:dyDescent="0.3">
      <c r="A8" s="129" t="s">
        <v>142</v>
      </c>
      <c r="B8" s="186">
        <f>'40_Customers_Orders'!B8*'31_Inputs_UnitEconomics'!$B$7</f>
        <v>8036.363636363636</v>
      </c>
      <c r="C8" s="186">
        <f>'40_Customers_Orders'!C8*'31_Inputs_UnitEconomics'!$B$7</f>
        <v>16143.326230242115</v>
      </c>
      <c r="D8" s="186">
        <f>'40_Customers_Orders'!D8*'31_Inputs_UnitEconomics'!$B$7</f>
        <v>24327.993319029567</v>
      </c>
      <c r="E8" s="186">
        <f>'40_Customers_Orders'!E8*'31_Inputs_UnitEconomics'!$B$7</f>
        <v>32597.466687028202</v>
      </c>
      <c r="F8" s="186">
        <f>'40_Customers_Orders'!F8*'31_Inputs_UnitEconomics'!$B$7</f>
        <v>40958.85065087711</v>
      </c>
      <c r="G8" s="186">
        <f>'40_Customers_Orders'!G8*'31_Inputs_UnitEconomics'!$B$7</f>
        <v>49419.258280380898</v>
      </c>
      <c r="H8" s="186">
        <f>'40_Customers_Orders'!H8*'31_Inputs_UnitEconomics'!$B$7</f>
        <v>57985.81756088054</v>
      </c>
      <c r="I8" s="186">
        <f>'40_Customers_Orders'!I8*'31_Inputs_UnitEconomics'!$B$7</f>
        <v>66665.677503192142</v>
      </c>
      <c r="J8" s="186">
        <f>'40_Customers_Orders'!J8*'31_Inputs_UnitEconomics'!$B$7</f>
        <v>75466.01420702941</v>
      </c>
      <c r="K8" s="186">
        <f>'40_Customers_Orders'!K8*'31_Inputs_UnitEconomics'!$B$7</f>
        <v>84394.036883721405</v>
      </c>
      <c r="L8" s="186">
        <f>'40_Customers_Orders'!L8*'31_Inputs_UnitEconomics'!$B$7</f>
        <v>93456.993843940159</v>
      </c>
      <c r="M8" s="186">
        <f>'40_Customers_Orders'!M8*'31_Inputs_UnitEconomics'!$B$7</f>
        <v>102662.17845606091</v>
      </c>
      <c r="N8" s="186">
        <f>'40_Customers_Orders'!N8*'31_Inputs_UnitEconomics'!$B$7</f>
        <v>137157.17875095663</v>
      </c>
      <c r="O8" s="186">
        <f>'40_Customers_Orders'!O8*'31_Inputs_UnitEconomics'!$B$7</f>
        <v>171563.54793831246</v>
      </c>
      <c r="P8" s="186">
        <f>'40_Customers_Orders'!P8*'31_Inputs_UnitEconomics'!$B$7</f>
        <v>205913.19142901103</v>
      </c>
      <c r="Q8" s="186">
        <f>'40_Customers_Orders'!Q8*'31_Inputs_UnitEconomics'!$B$7</f>
        <v>240237.62922873118</v>
      </c>
      <c r="R8" s="186">
        <f>'40_Customers_Orders'!R8*'31_Inputs_UnitEconomics'!$B$7</f>
        <v>274568.02769655862</v>
      </c>
      <c r="S8" s="186">
        <f>'40_Customers_Orders'!S8*'31_Inputs_UnitEconomics'!$B$7</f>
        <v>308935.23065552785</v>
      </c>
      <c r="T8" s="186">
        <f>'40_Customers_Orders'!T8*'31_Inputs_UnitEconomics'!$B$7</f>
        <v>343369.78988927318</v>
      </c>
      <c r="U8" s="186">
        <f>'40_Customers_Orders'!U8*'31_Inputs_UnitEconomics'!$B$7</f>
        <v>425221.15561040776</v>
      </c>
      <c r="V8" s="186">
        <f>'40_Customers_Orders'!V8*'31_Inputs_UnitEconomics'!$B$7</f>
        <v>506737.94569580595</v>
      </c>
      <c r="W8" s="186">
        <f>'40_Customers_Orders'!W8*'31_Inputs_UnitEconomics'!$B$7</f>
        <v>587996.01680632611</v>
      </c>
      <c r="X8" s="186">
        <f>'40_Customers_Orders'!X8*'31_Inputs_UnitEconomics'!$B$7</f>
        <v>669070.19533028733</v>
      </c>
      <c r="Y8" s="186">
        <f>'40_Customers_Orders'!Y8*'31_Inputs_UnitEconomics'!$B$7</f>
        <v>750034.35397739091</v>
      </c>
      <c r="Z8" s="186">
        <f>'40_Customers_Orders'!Z8*'31_Inputs_UnitEconomics'!$B$7</f>
        <v>830961.48672117153</v>
      </c>
      <c r="AA8" s="186">
        <f>'40_Customers_Orders'!AA8*'31_Inputs_UnitEconomics'!$B$7</f>
        <v>911923.78217326757</v>
      </c>
      <c r="AB8" s="186">
        <f>'40_Customers_Orders'!AB8*'31_Inputs_UnitEconomics'!$B$7</f>
        <v>992992.69547053485</v>
      </c>
      <c r="AC8" s="186">
        <f>'40_Customers_Orders'!AC8*'31_Inputs_UnitEconomics'!$B$7</f>
        <v>1074239.0187538692</v>
      </c>
      <c r="AD8" s="186">
        <f>'40_Customers_Orders'!AD8*'31_Inputs_UnitEconomics'!$B$7</f>
        <v>1155732.9503155188</v>
      </c>
      <c r="AE8" s="186">
        <f>'40_Customers_Orders'!AE8*'31_Inputs_UnitEconomics'!$B$7</f>
        <v>1237544.1624896927</v>
      </c>
      <c r="AF8" s="186">
        <f>'40_Customers_Orders'!AF8*'31_Inputs_UnitEconomics'!$B$7</f>
        <v>1319741.8683593636</v>
      </c>
      <c r="AG8" s="186">
        <f>'40_Customers_Orders'!AG8*'31_Inputs_UnitEconomics'!$B$7</f>
        <v>1402394.8873503616</v>
      </c>
      <c r="AH8" s="186">
        <f>'40_Customers_Orders'!AH8*'31_Inputs_UnitEconomics'!$B$7</f>
        <v>1485571.7097821054</v>
      </c>
      <c r="AI8" s="186">
        <f>'40_Customers_Orders'!AI8*'31_Inputs_UnitEconomics'!$B$7</f>
        <v>1569340.5604426856</v>
      </c>
      <c r="AJ8" s="186">
        <f>'40_Customers_Orders'!AJ8*'31_Inputs_UnitEconomics'!$B$7</f>
        <v>1653769.4612544191</v>
      </c>
      <c r="AK8" s="186">
        <f>'40_Customers_Orders'!AK8*'31_Inputs_UnitEconomics'!$B$7</f>
        <v>1738926.293094506</v>
      </c>
      <c r="AL8" s="185">
        <f>SUMIF('23_Time'!$B$3:$AK$3, 1,B8:AK8)</f>
        <v>652113.97725874616</v>
      </c>
      <c r="AM8" s="186">
        <f>SUMIF('23_Time'!$B$3:$AK$3, 2,B8:AK8)</f>
        <v>4620804.2630085889</v>
      </c>
      <c r="AN8" s="187">
        <f>SUMIF('23_Time'!$B$3:$AK$3, 3,B8:AK8)</f>
        <v>15373138.876207497</v>
      </c>
    </row>
    <row r="9" spans="1:40" x14ac:dyDescent="0.3">
      <c r="A9" s="127" t="s">
        <v>143</v>
      </c>
      <c r="B9" s="189">
        <f>'40_Customers_Orders'!B8*'31_Inputs_UnitEconomics'!$B$8</f>
        <v>180.81818181818181</v>
      </c>
      <c r="C9" s="189">
        <f>'40_Customers_Orders'!C8*'31_Inputs_UnitEconomics'!$B$8</f>
        <v>363.22484018044759</v>
      </c>
      <c r="D9" s="189">
        <f>'40_Customers_Orders'!D8*'31_Inputs_UnitEconomics'!$B$8</f>
        <v>547.37984967816521</v>
      </c>
      <c r="E9" s="189">
        <f>'40_Customers_Orders'!E8*'31_Inputs_UnitEconomics'!$B$8</f>
        <v>733.44300045813452</v>
      </c>
      <c r="F9" s="189">
        <f>'40_Customers_Orders'!F8*'31_Inputs_UnitEconomics'!$B$8</f>
        <v>921.57413964473494</v>
      </c>
      <c r="G9" s="189">
        <f>'40_Customers_Orders'!G8*'31_Inputs_UnitEconomics'!$B$8</f>
        <v>1111.9333113085702</v>
      </c>
      <c r="H9" s="189">
        <f>'40_Customers_Orders'!H8*'31_Inputs_UnitEconomics'!$B$8</f>
        <v>1304.680895119812</v>
      </c>
      <c r="I9" s="189">
        <f>'40_Customers_Orders'!I8*'31_Inputs_UnitEconomics'!$B$8</f>
        <v>1499.9777438218232</v>
      </c>
      <c r="J9" s="189">
        <f>'40_Customers_Orders'!J8*'31_Inputs_UnitEconomics'!$B$8</f>
        <v>1697.9853196581616</v>
      </c>
      <c r="K9" s="189">
        <f>'40_Customers_Orders'!K8*'31_Inputs_UnitEconomics'!$B$8</f>
        <v>1898.8658298837315</v>
      </c>
      <c r="L9" s="189">
        <f>'40_Customers_Orders'!L8*'31_Inputs_UnitEconomics'!$B$8</f>
        <v>2102.7823614886534</v>
      </c>
      <c r="M9" s="189">
        <f>'40_Customers_Orders'!M8*'31_Inputs_UnitEconomics'!$B$8</f>
        <v>2309.8990152613706</v>
      </c>
      <c r="N9" s="189">
        <f>'40_Customers_Orders'!N8*'31_Inputs_UnitEconomics'!$B$8</f>
        <v>3086.0365218965244</v>
      </c>
      <c r="O9" s="189">
        <f>'40_Customers_Orders'!O8*'31_Inputs_UnitEconomics'!$B$8</f>
        <v>3860.1798286120302</v>
      </c>
      <c r="P9" s="189">
        <f>'40_Customers_Orders'!P8*'31_Inputs_UnitEconomics'!$B$8</f>
        <v>4633.0468071527475</v>
      </c>
      <c r="Q9" s="189">
        <f>'40_Customers_Orders'!Q8*'31_Inputs_UnitEconomics'!$B$8</f>
        <v>5405.3466576464516</v>
      </c>
      <c r="R9" s="189">
        <f>'40_Customers_Orders'!R8*'31_Inputs_UnitEconomics'!$B$8</f>
        <v>6177.780623172569</v>
      </c>
      <c r="S9" s="189">
        <f>'40_Customers_Orders'!S8*'31_Inputs_UnitEconomics'!$B$8</f>
        <v>6951.0426897493762</v>
      </c>
      <c r="T9" s="189">
        <f>'40_Customers_Orders'!T8*'31_Inputs_UnitEconomics'!$B$8</f>
        <v>7725.8202725086458</v>
      </c>
      <c r="U9" s="189">
        <f>'40_Customers_Orders'!U8*'31_Inputs_UnitEconomics'!$B$8</f>
        <v>9567.476001234174</v>
      </c>
      <c r="V9" s="189">
        <f>'40_Customers_Orders'!V8*'31_Inputs_UnitEconomics'!$B$8</f>
        <v>11401.603778155633</v>
      </c>
      <c r="W9" s="189">
        <f>'40_Customers_Orders'!W8*'31_Inputs_UnitEconomics'!$B$8</f>
        <v>13229.910378142336</v>
      </c>
      <c r="X9" s="189">
        <f>'40_Customers_Orders'!X8*'31_Inputs_UnitEconomics'!$B$8</f>
        <v>15054.079394931465</v>
      </c>
      <c r="Y9" s="189">
        <f>'40_Customers_Orders'!Y8*'31_Inputs_UnitEconomics'!$B$8</f>
        <v>16875.772964491294</v>
      </c>
      <c r="Z9" s="189">
        <f>'40_Customers_Orders'!Z8*'31_Inputs_UnitEconomics'!$B$8</f>
        <v>18696.63345122636</v>
      </c>
      <c r="AA9" s="189">
        <f>'40_Customers_Orders'!AA8*'31_Inputs_UnitEconomics'!$B$8</f>
        <v>20518.285098898519</v>
      </c>
      <c r="AB9" s="189">
        <f>'40_Customers_Orders'!AB8*'31_Inputs_UnitEconomics'!$B$8</f>
        <v>22342.335648087032</v>
      </c>
      <c r="AC9" s="189">
        <f>'40_Customers_Orders'!AC8*'31_Inputs_UnitEconomics'!$B$8</f>
        <v>24170.377921962056</v>
      </c>
      <c r="AD9" s="189">
        <f>'40_Customers_Orders'!AD8*'31_Inputs_UnitEconomics'!$B$8</f>
        <v>26003.991382099171</v>
      </c>
      <c r="AE9" s="189">
        <f>'40_Customers_Orders'!AE8*'31_Inputs_UnitEconomics'!$B$8</f>
        <v>27844.743656018083</v>
      </c>
      <c r="AF9" s="189">
        <f>'40_Customers_Orders'!AF8*'31_Inputs_UnitEconomics'!$B$8</f>
        <v>29694.192038085679</v>
      </c>
      <c r="AG9" s="189">
        <f>'40_Customers_Orders'!AG8*'31_Inputs_UnitEconomics'!$B$8</f>
        <v>31553.884965383135</v>
      </c>
      <c r="AH9" s="189">
        <f>'40_Customers_Orders'!AH8*'31_Inputs_UnitEconomics'!$B$8</f>
        <v>33425.363470097371</v>
      </c>
      <c r="AI9" s="189">
        <f>'40_Customers_Orders'!AI8*'31_Inputs_UnitEconomics'!$B$8</f>
        <v>35310.162609960425</v>
      </c>
      <c r="AJ9" s="189">
        <f>'40_Customers_Orders'!AJ8*'31_Inputs_UnitEconomics'!$B$8</f>
        <v>37209.812878224424</v>
      </c>
      <c r="AK9" s="189">
        <f>'40_Customers_Orders'!AK8*'31_Inputs_UnitEconomics'!$B$8</f>
        <v>39125.841594626385</v>
      </c>
      <c r="AL9" s="188">
        <f>SUMIF('23_Time'!$B$3:$AK$3, 1,B9:AK9)</f>
        <v>14672.564488321786</v>
      </c>
      <c r="AM9" s="189">
        <f>SUMIF('23_Time'!$B$3:$AK$3, 2,B9:AK9)</f>
        <v>103968.09591769324</v>
      </c>
      <c r="AN9" s="190">
        <f>SUMIF('23_Time'!$B$3:$AK$3, 3,B9:AK9)</f>
        <v>345895.62471466861</v>
      </c>
    </row>
    <row r="10" spans="1:40" x14ac:dyDescent="0.3">
      <c r="A10" s="127" t="s">
        <v>144</v>
      </c>
      <c r="B10" s="189">
        <f>B9*'31_Inputs_UnitEconomics'!$B$9</f>
        <v>4520.454545454545</v>
      </c>
      <c r="C10" s="189">
        <f>C9*'31_Inputs_UnitEconomics'!$B$9</f>
        <v>9080.6210045111893</v>
      </c>
      <c r="D10" s="189">
        <f>D9*'31_Inputs_UnitEconomics'!$B$9</f>
        <v>13684.49624195413</v>
      </c>
      <c r="E10" s="189">
        <f>E9*'31_Inputs_UnitEconomics'!$B$9</f>
        <v>18336.075011453362</v>
      </c>
      <c r="F10" s="189">
        <f>F9*'31_Inputs_UnitEconomics'!$B$9</f>
        <v>23039.353491118374</v>
      </c>
      <c r="G10" s="189">
        <f>G9*'31_Inputs_UnitEconomics'!$B$9</f>
        <v>27798.332782714253</v>
      </c>
      <c r="H10" s="189">
        <f>H9*'31_Inputs_UnitEconomics'!$B$9</f>
        <v>32617.022377995301</v>
      </c>
      <c r="I10" s="189">
        <f>I9*'31_Inputs_UnitEconomics'!$B$9</f>
        <v>37499.443595545577</v>
      </c>
      <c r="J10" s="189">
        <f>J9*'31_Inputs_UnitEconomics'!$B$9</f>
        <v>42449.63299145404</v>
      </c>
      <c r="K10" s="189">
        <f>K9*'31_Inputs_UnitEconomics'!$B$9</f>
        <v>47471.645747093287</v>
      </c>
      <c r="L10" s="189">
        <f>L9*'31_Inputs_UnitEconomics'!$B$9</f>
        <v>52569.559037216335</v>
      </c>
      <c r="M10" s="189">
        <f>M9*'31_Inputs_UnitEconomics'!$B$9</f>
        <v>57747.475381534263</v>
      </c>
      <c r="N10" s="189">
        <f>N9*'31_Inputs_UnitEconomics'!$B$9</f>
        <v>77150.913047413109</v>
      </c>
      <c r="O10" s="189">
        <f>O9*'31_Inputs_UnitEconomics'!$B$9</f>
        <v>96504.495715300756</v>
      </c>
      <c r="P10" s="189">
        <f>P9*'31_Inputs_UnitEconomics'!$B$9</f>
        <v>115826.17017881869</v>
      </c>
      <c r="Q10" s="189">
        <f>Q9*'31_Inputs_UnitEconomics'!$B$9</f>
        <v>135133.6664411613</v>
      </c>
      <c r="R10" s="189">
        <f>R9*'31_Inputs_UnitEconomics'!$B$9</f>
        <v>154444.51557931423</v>
      </c>
      <c r="S10" s="189">
        <f>S9*'31_Inputs_UnitEconomics'!$B$9</f>
        <v>173776.0672437344</v>
      </c>
      <c r="T10" s="189">
        <f>T9*'31_Inputs_UnitEconomics'!$B$9</f>
        <v>193145.50681271614</v>
      </c>
      <c r="U10" s="189">
        <f>U9*'31_Inputs_UnitEconomics'!$B$9</f>
        <v>239186.90003085436</v>
      </c>
      <c r="V10" s="189">
        <f>V9*'31_Inputs_UnitEconomics'!$B$9</f>
        <v>285040.09445389081</v>
      </c>
      <c r="W10" s="189">
        <f>W9*'31_Inputs_UnitEconomics'!$B$9</f>
        <v>330747.75945355842</v>
      </c>
      <c r="X10" s="189">
        <f>X9*'31_Inputs_UnitEconomics'!$B$9</f>
        <v>376351.98487328662</v>
      </c>
      <c r="Y10" s="189">
        <f>Y9*'31_Inputs_UnitEconomics'!$B$9</f>
        <v>421894.32411228237</v>
      </c>
      <c r="Z10" s="189">
        <f>Z9*'31_Inputs_UnitEconomics'!$B$9</f>
        <v>467415.83628065902</v>
      </c>
      <c r="AA10" s="189">
        <f>AA9*'31_Inputs_UnitEconomics'!$B$9</f>
        <v>512957.12747246301</v>
      </c>
      <c r="AB10" s="189">
        <f>AB9*'31_Inputs_UnitEconomics'!$B$9</f>
        <v>558558.39120217576</v>
      </c>
      <c r="AC10" s="189">
        <f>AC9*'31_Inputs_UnitEconomics'!$B$9</f>
        <v>604259.44804905134</v>
      </c>
      <c r="AD10" s="189">
        <f>AD9*'31_Inputs_UnitEconomics'!$B$9</f>
        <v>650099.78455247928</v>
      </c>
      <c r="AE10" s="189">
        <f>AE9*'31_Inputs_UnitEconomics'!$B$9</f>
        <v>696118.59140045207</v>
      </c>
      <c r="AF10" s="189">
        <f>AF9*'31_Inputs_UnitEconomics'!$B$9</f>
        <v>742354.80095214199</v>
      </c>
      <c r="AG10" s="189">
        <f>AG9*'31_Inputs_UnitEconomics'!$B$9</f>
        <v>788847.12413457839</v>
      </c>
      <c r="AH10" s="189">
        <f>AH9*'31_Inputs_UnitEconomics'!$B$9</f>
        <v>835634.08675243426</v>
      </c>
      <c r="AI10" s="189">
        <f>AI9*'31_Inputs_UnitEconomics'!$B$9</f>
        <v>882754.06524901069</v>
      </c>
      <c r="AJ10" s="189">
        <f>AJ9*'31_Inputs_UnitEconomics'!$B$9</f>
        <v>930245.32195561065</v>
      </c>
      <c r="AK10" s="189">
        <f>AK9*'31_Inputs_UnitEconomics'!$B$9</f>
        <v>978146.03986565967</v>
      </c>
      <c r="AL10" s="188">
        <f>SUMIF('23_Time'!$B$3:$AK$3, 1,B10:AK10)</f>
        <v>366814.11220804462</v>
      </c>
      <c r="AM10" s="189">
        <f>SUMIF('23_Time'!$B$3:$AK$3, 2,B10:AK10)</f>
        <v>2599202.3979423307</v>
      </c>
      <c r="AN10" s="190">
        <f>SUMIF('23_Time'!$B$3:$AK$3, 3,B10:AK10)</f>
        <v>8647390.6178667173</v>
      </c>
    </row>
    <row r="11" spans="1:40" ht="15" thickBot="1" x14ac:dyDescent="0.35">
      <c r="A11" s="24" t="s">
        <v>145</v>
      </c>
      <c r="B11" s="25">
        <f>B8+B10</f>
        <v>12556.81818181818</v>
      </c>
      <c r="C11" s="25">
        <f t="shared" ref="C11:AK11" si="1">C8+C10</f>
        <v>25223.947234753305</v>
      </c>
      <c r="D11" s="25">
        <f t="shared" si="1"/>
        <v>38012.489560983697</v>
      </c>
      <c r="E11" s="25">
        <f t="shared" si="1"/>
        <v>50933.541698481567</v>
      </c>
      <c r="F11" s="25">
        <f t="shared" si="1"/>
        <v>63998.204141995484</v>
      </c>
      <c r="G11" s="25">
        <f t="shared" si="1"/>
        <v>77217.591063095155</v>
      </c>
      <c r="H11" s="25">
        <f t="shared" si="1"/>
        <v>90602.839938875841</v>
      </c>
      <c r="I11" s="25">
        <f t="shared" si="1"/>
        <v>104165.12109873773</v>
      </c>
      <c r="J11" s="25">
        <f t="shared" si="1"/>
        <v>117915.64719848345</v>
      </c>
      <c r="K11" s="25">
        <f t="shared" si="1"/>
        <v>131865.6826308147</v>
      </c>
      <c r="L11" s="25">
        <f t="shared" si="1"/>
        <v>146026.5528811565</v>
      </c>
      <c r="M11" s="25">
        <f t="shared" si="1"/>
        <v>160409.65383759516</v>
      </c>
      <c r="N11" s="25">
        <f t="shared" si="1"/>
        <v>214308.09179836974</v>
      </c>
      <c r="O11" s="25">
        <f t="shared" si="1"/>
        <v>268068.04365361319</v>
      </c>
      <c r="P11" s="25">
        <f t="shared" si="1"/>
        <v>321739.36160782969</v>
      </c>
      <c r="Q11" s="25">
        <f t="shared" si="1"/>
        <v>375371.29566989245</v>
      </c>
      <c r="R11" s="25">
        <f t="shared" si="1"/>
        <v>429012.54327587283</v>
      </c>
      <c r="S11" s="25">
        <f t="shared" si="1"/>
        <v>482711.29789926228</v>
      </c>
      <c r="T11" s="25">
        <f t="shared" si="1"/>
        <v>536515.29670198937</v>
      </c>
      <c r="U11" s="25">
        <f t="shared" si="1"/>
        <v>664408.05564126209</v>
      </c>
      <c r="V11" s="25">
        <f t="shared" si="1"/>
        <v>791778.04014969675</v>
      </c>
      <c r="W11" s="25">
        <f t="shared" si="1"/>
        <v>918743.77625988447</v>
      </c>
      <c r="X11" s="25">
        <f t="shared" si="1"/>
        <v>1045422.180203574</v>
      </c>
      <c r="Y11" s="25">
        <f t="shared" si="1"/>
        <v>1171928.6780896732</v>
      </c>
      <c r="Z11" s="25">
        <f t="shared" si="1"/>
        <v>1298377.3230018306</v>
      </c>
      <c r="AA11" s="25">
        <f t="shared" si="1"/>
        <v>1424880.9096457306</v>
      </c>
      <c r="AB11" s="25">
        <f t="shared" si="1"/>
        <v>1551551.0866727107</v>
      </c>
      <c r="AC11" s="25">
        <f t="shared" si="1"/>
        <v>1678498.4668029207</v>
      </c>
      <c r="AD11" s="25">
        <f t="shared" si="1"/>
        <v>1805832.7348679979</v>
      </c>
      <c r="AE11" s="25">
        <f t="shared" si="1"/>
        <v>1933662.7538901446</v>
      </c>
      <c r="AF11" s="25">
        <f t="shared" si="1"/>
        <v>2062096.6693115057</v>
      </c>
      <c r="AG11" s="25">
        <f t="shared" si="1"/>
        <v>2191242.0114849401</v>
      </c>
      <c r="AH11" s="25">
        <f t="shared" si="1"/>
        <v>2321205.7965345397</v>
      </c>
      <c r="AI11" s="25">
        <f t="shared" si="1"/>
        <v>2452094.6256916961</v>
      </c>
      <c r="AJ11" s="25">
        <f t="shared" si="1"/>
        <v>2584014.7832100298</v>
      </c>
      <c r="AK11" s="25">
        <f t="shared" si="1"/>
        <v>2717072.3329601656</v>
      </c>
      <c r="AL11" s="26">
        <f>SUMIF('23_Time'!$B$3:$AK$3, 1,B11:AK11)</f>
        <v>1018928.0894667907</v>
      </c>
      <c r="AM11" s="25">
        <f>SUMIF('23_Time'!$B$3:$AK$3, 2,B11:AK11)</f>
        <v>7220006.6609509196</v>
      </c>
      <c r="AN11" s="27">
        <f>SUMIF('23_Time'!$B$3:$AK$3, 3,B11:AK11)</f>
        <v>24020529.494074211</v>
      </c>
    </row>
    <row r="12" spans="1:40" x14ac:dyDescent="0.3">
      <c r="A12" s="129" t="s">
        <v>146</v>
      </c>
      <c r="B12" s="148">
        <f>IF('23_Time'!B1&gt;='31_Inputs_UnitEconomics'!$C$15,1,0)</f>
        <v>0</v>
      </c>
      <c r="C12" s="148">
        <f>IF('23_Time'!C1&gt;='31_Inputs_UnitEconomics'!$C$15,1,0)</f>
        <v>0</v>
      </c>
      <c r="D12" s="148">
        <f>IF('23_Time'!D1&gt;='31_Inputs_UnitEconomics'!$C$15,1,0)</f>
        <v>0</v>
      </c>
      <c r="E12" s="148">
        <f>IF('23_Time'!E1&gt;='31_Inputs_UnitEconomics'!$C$15,1,0)</f>
        <v>0</v>
      </c>
      <c r="F12" s="148">
        <f>IF('23_Time'!F1&gt;='31_Inputs_UnitEconomics'!$C$15,1,0)</f>
        <v>0</v>
      </c>
      <c r="G12" s="148">
        <f>IF('23_Time'!G1&gt;='31_Inputs_UnitEconomics'!$C$15,1,0)</f>
        <v>0</v>
      </c>
      <c r="H12" s="148">
        <f>IF('23_Time'!H1&gt;='31_Inputs_UnitEconomics'!$C$15,1,0)</f>
        <v>0</v>
      </c>
      <c r="I12" s="148">
        <f>IF('23_Time'!I1&gt;='31_Inputs_UnitEconomics'!$C$15,1,0)</f>
        <v>0</v>
      </c>
      <c r="J12" s="148">
        <f>IF('23_Time'!J1&gt;='31_Inputs_UnitEconomics'!$C$15,1,0)</f>
        <v>1</v>
      </c>
      <c r="K12" s="148">
        <f>IF('23_Time'!K1&gt;='31_Inputs_UnitEconomics'!$C$15,1,0)</f>
        <v>1</v>
      </c>
      <c r="L12" s="148">
        <f>IF('23_Time'!L1&gt;='31_Inputs_UnitEconomics'!$C$15,1,0)</f>
        <v>1</v>
      </c>
      <c r="M12" s="148">
        <f>IF('23_Time'!M1&gt;='31_Inputs_UnitEconomics'!$C$15,1,0)</f>
        <v>1</v>
      </c>
      <c r="N12" s="148">
        <f>IF('23_Time'!N1&gt;='31_Inputs_UnitEconomics'!$C$15,1,0)</f>
        <v>1</v>
      </c>
      <c r="O12" s="148">
        <f>IF('23_Time'!O1&gt;='31_Inputs_UnitEconomics'!$C$15,1,0)</f>
        <v>1</v>
      </c>
      <c r="P12" s="148">
        <f>IF('23_Time'!P1&gt;='31_Inputs_UnitEconomics'!$C$15,1,0)</f>
        <v>1</v>
      </c>
      <c r="Q12" s="148">
        <f>IF('23_Time'!Q1&gt;='31_Inputs_UnitEconomics'!$C$15,1,0)</f>
        <v>1</v>
      </c>
      <c r="R12" s="148">
        <f>IF('23_Time'!R1&gt;='31_Inputs_UnitEconomics'!$C$15,1,0)</f>
        <v>1</v>
      </c>
      <c r="S12" s="148">
        <f>IF('23_Time'!S1&gt;='31_Inputs_UnitEconomics'!$C$15,1,0)</f>
        <v>1</v>
      </c>
      <c r="T12" s="148">
        <f>IF('23_Time'!T1&gt;='31_Inputs_UnitEconomics'!$C$15,1,0)</f>
        <v>1</v>
      </c>
      <c r="U12" s="148">
        <f>IF('23_Time'!U1&gt;='31_Inputs_UnitEconomics'!$C$15,1,0)</f>
        <v>1</v>
      </c>
      <c r="V12" s="148">
        <f>IF('23_Time'!V1&gt;='31_Inputs_UnitEconomics'!$C$15,1,0)</f>
        <v>1</v>
      </c>
      <c r="W12" s="148">
        <f>IF('23_Time'!W1&gt;='31_Inputs_UnitEconomics'!$C$15,1,0)</f>
        <v>1</v>
      </c>
      <c r="X12" s="148">
        <f>IF('23_Time'!X1&gt;='31_Inputs_UnitEconomics'!$C$15,1,0)</f>
        <v>1</v>
      </c>
      <c r="Y12" s="148">
        <f>IF('23_Time'!Y1&gt;='31_Inputs_UnitEconomics'!$C$15,1,0)</f>
        <v>1</v>
      </c>
      <c r="Z12" s="148">
        <f>IF('23_Time'!Z1&gt;='31_Inputs_UnitEconomics'!$C$15,1,0)</f>
        <v>1</v>
      </c>
      <c r="AA12" s="148">
        <f>IF('23_Time'!AA1&gt;='31_Inputs_UnitEconomics'!$C$15,1,0)</f>
        <v>1</v>
      </c>
      <c r="AB12" s="148">
        <f>IF('23_Time'!AB1&gt;='31_Inputs_UnitEconomics'!$C$15,1,0)</f>
        <v>1</v>
      </c>
      <c r="AC12" s="148">
        <f>IF('23_Time'!AC1&gt;='31_Inputs_UnitEconomics'!$C$15,1,0)</f>
        <v>1</v>
      </c>
      <c r="AD12" s="148">
        <f>IF('23_Time'!AD1&gt;='31_Inputs_UnitEconomics'!$C$15,1,0)</f>
        <v>1</v>
      </c>
      <c r="AE12" s="148">
        <f>IF('23_Time'!AE1&gt;='31_Inputs_UnitEconomics'!$C$15,1,0)</f>
        <v>1</v>
      </c>
      <c r="AF12" s="148">
        <f>IF('23_Time'!AF1&gt;='31_Inputs_UnitEconomics'!$C$15,1,0)</f>
        <v>1</v>
      </c>
      <c r="AG12" s="148">
        <f>IF('23_Time'!AG1&gt;='31_Inputs_UnitEconomics'!$C$15,1,0)</f>
        <v>1</v>
      </c>
      <c r="AH12" s="148">
        <f>IF('23_Time'!AH1&gt;='31_Inputs_UnitEconomics'!$C$15,1,0)</f>
        <v>1</v>
      </c>
      <c r="AI12" s="148">
        <f>IF('23_Time'!AI1&gt;='31_Inputs_UnitEconomics'!$C$15,1,0)</f>
        <v>1</v>
      </c>
      <c r="AJ12" s="148">
        <f>IF('23_Time'!AJ1&gt;='31_Inputs_UnitEconomics'!$C$15,1,0)</f>
        <v>1</v>
      </c>
      <c r="AK12" s="148">
        <f>IF('23_Time'!AK1&gt;='31_Inputs_UnitEconomics'!$C$15,1,0)</f>
        <v>1</v>
      </c>
      <c r="AL12" s="202"/>
      <c r="AM12" s="148"/>
      <c r="AN12" s="195"/>
    </row>
    <row r="13" spans="1:40" x14ac:dyDescent="0.3">
      <c r="A13" s="127" t="s">
        <v>557</v>
      </c>
      <c r="B13" s="282">
        <f>'31_Inputs_UnitEconomics'!$C$11/12</f>
        <v>5.0000000000000001E-3</v>
      </c>
      <c r="C13" s="282">
        <f>'31_Inputs_UnitEconomics'!$C$11/12</f>
        <v>5.0000000000000001E-3</v>
      </c>
      <c r="D13" s="282">
        <f>'31_Inputs_UnitEconomics'!$C$11/12</f>
        <v>5.0000000000000001E-3</v>
      </c>
      <c r="E13" s="282">
        <f>'31_Inputs_UnitEconomics'!$C$11/12</f>
        <v>5.0000000000000001E-3</v>
      </c>
      <c r="F13" s="282">
        <f>'31_Inputs_UnitEconomics'!$C$11/12</f>
        <v>5.0000000000000001E-3</v>
      </c>
      <c r="G13" s="282">
        <f>'31_Inputs_UnitEconomics'!$C$11/12</f>
        <v>5.0000000000000001E-3</v>
      </c>
      <c r="H13" s="282">
        <f>'31_Inputs_UnitEconomics'!$C$11/12</f>
        <v>5.0000000000000001E-3</v>
      </c>
      <c r="I13" s="282">
        <f>'31_Inputs_UnitEconomics'!$C$11/12</f>
        <v>5.0000000000000001E-3</v>
      </c>
      <c r="J13" s="282">
        <f>'31_Inputs_UnitEconomics'!$C$11/12</f>
        <v>5.0000000000000001E-3</v>
      </c>
      <c r="K13" s="282">
        <f>'31_Inputs_UnitEconomics'!$C$11/12</f>
        <v>5.0000000000000001E-3</v>
      </c>
      <c r="L13" s="282">
        <f>'31_Inputs_UnitEconomics'!$C$11/12</f>
        <v>5.0000000000000001E-3</v>
      </c>
      <c r="M13" s="282">
        <f>'31_Inputs_UnitEconomics'!$C$11/12</f>
        <v>5.0000000000000001E-3</v>
      </c>
      <c r="N13" s="282">
        <f>'31_Inputs_UnitEconomics'!$C$11/12</f>
        <v>5.0000000000000001E-3</v>
      </c>
      <c r="O13" s="282">
        <f>'31_Inputs_UnitEconomics'!$C$11/12</f>
        <v>5.0000000000000001E-3</v>
      </c>
      <c r="P13" s="282">
        <f>'31_Inputs_UnitEconomics'!$C$11/12</f>
        <v>5.0000000000000001E-3</v>
      </c>
      <c r="Q13" s="282">
        <f>'31_Inputs_UnitEconomics'!$C$11/12</f>
        <v>5.0000000000000001E-3</v>
      </c>
      <c r="R13" s="282">
        <f>'31_Inputs_UnitEconomics'!$C$11/12</f>
        <v>5.0000000000000001E-3</v>
      </c>
      <c r="S13" s="282">
        <f>'31_Inputs_UnitEconomics'!$C$11/12</f>
        <v>5.0000000000000001E-3</v>
      </c>
      <c r="T13" s="282">
        <f>'31_Inputs_UnitEconomics'!$C$11/12</f>
        <v>5.0000000000000001E-3</v>
      </c>
      <c r="U13" s="282">
        <f>'31_Inputs_UnitEconomics'!$C$11/12</f>
        <v>5.0000000000000001E-3</v>
      </c>
      <c r="V13" s="282">
        <f>'31_Inputs_UnitEconomics'!$C$11/12</f>
        <v>5.0000000000000001E-3</v>
      </c>
      <c r="W13" s="282">
        <f>'31_Inputs_UnitEconomics'!$C$11/12</f>
        <v>5.0000000000000001E-3</v>
      </c>
      <c r="X13" s="282">
        <f>'31_Inputs_UnitEconomics'!$C$11/12</f>
        <v>5.0000000000000001E-3</v>
      </c>
      <c r="Y13" s="282">
        <f>'31_Inputs_UnitEconomics'!$C$11/12</f>
        <v>5.0000000000000001E-3</v>
      </c>
      <c r="Z13" s="282">
        <f>'31_Inputs_UnitEconomics'!$C$11/12</f>
        <v>5.0000000000000001E-3</v>
      </c>
      <c r="AA13" s="282">
        <f>'31_Inputs_UnitEconomics'!$C$11/12</f>
        <v>5.0000000000000001E-3</v>
      </c>
      <c r="AB13" s="282">
        <f>'31_Inputs_UnitEconomics'!$C$11/12</f>
        <v>5.0000000000000001E-3</v>
      </c>
      <c r="AC13" s="282">
        <f>'31_Inputs_UnitEconomics'!$C$11/12</f>
        <v>5.0000000000000001E-3</v>
      </c>
      <c r="AD13" s="282">
        <f>'31_Inputs_UnitEconomics'!$C$11/12</f>
        <v>5.0000000000000001E-3</v>
      </c>
      <c r="AE13" s="282">
        <f>'31_Inputs_UnitEconomics'!$C$11/12</f>
        <v>5.0000000000000001E-3</v>
      </c>
      <c r="AF13" s="282">
        <f>'31_Inputs_UnitEconomics'!$C$11/12</f>
        <v>5.0000000000000001E-3</v>
      </c>
      <c r="AG13" s="282">
        <f>'31_Inputs_UnitEconomics'!$C$11/12</f>
        <v>5.0000000000000001E-3</v>
      </c>
      <c r="AH13" s="282">
        <f>'31_Inputs_UnitEconomics'!$C$11/12</f>
        <v>5.0000000000000001E-3</v>
      </c>
      <c r="AI13" s="282">
        <f>'31_Inputs_UnitEconomics'!$C$11/12</f>
        <v>5.0000000000000001E-3</v>
      </c>
      <c r="AJ13" s="282">
        <f>'31_Inputs_UnitEconomics'!$C$11/12</f>
        <v>5.0000000000000001E-3</v>
      </c>
      <c r="AK13" s="282">
        <f>'31_Inputs_UnitEconomics'!$C$11/12</f>
        <v>5.0000000000000001E-3</v>
      </c>
      <c r="AL13" s="133"/>
      <c r="AM13" s="122"/>
      <c r="AN13" s="130"/>
    </row>
    <row r="14" spans="1:40" x14ac:dyDescent="0.3">
      <c r="A14" s="127" t="s">
        <v>148</v>
      </c>
      <c r="B14" s="189">
        <f>B13*B12*'40_Customers_Orders'!B8</f>
        <v>0</v>
      </c>
      <c r="C14" s="189">
        <f>C13*C12*'40_Customers_Orders'!C8</f>
        <v>0</v>
      </c>
      <c r="D14" s="189">
        <f>D13*D12*'40_Customers_Orders'!D8</f>
        <v>0</v>
      </c>
      <c r="E14" s="189">
        <f>E13*E12*'40_Customers_Orders'!E8</f>
        <v>0</v>
      </c>
      <c r="F14" s="189">
        <f>F13*F12*'40_Customers_Orders'!F8</f>
        <v>0</v>
      </c>
      <c r="G14" s="189">
        <f>G13*G12*'40_Customers_Orders'!G8</f>
        <v>0</v>
      </c>
      <c r="H14" s="189">
        <f>H13*H12*'40_Customers_Orders'!H8</f>
        <v>0</v>
      </c>
      <c r="I14" s="189">
        <f>I13*I12*'40_Customers_Orders'!I8</f>
        <v>0</v>
      </c>
      <c r="J14" s="189">
        <f>J13*J12*'40_Customers_Orders'!J8</f>
        <v>47.166258879393382</v>
      </c>
      <c r="K14" s="189">
        <f>K13*K12*'40_Customers_Orders'!K8</f>
        <v>52.746273052325876</v>
      </c>
      <c r="L14" s="189">
        <f>L13*L12*'40_Customers_Orders'!L8</f>
        <v>58.410621152462603</v>
      </c>
      <c r="M14" s="189">
        <f>M13*M12*'40_Customers_Orders'!M8</f>
        <v>64.163861535038066</v>
      </c>
      <c r="N14" s="189">
        <f>N13*N12*'40_Customers_Orders'!N8</f>
        <v>85.723236719347895</v>
      </c>
      <c r="O14" s="189">
        <f>O13*O12*'40_Customers_Orders'!O8</f>
        <v>107.22721746144529</v>
      </c>
      <c r="P14" s="189">
        <f>P13*P12*'40_Customers_Orders'!P8</f>
        <v>128.69574464313189</v>
      </c>
      <c r="Q14" s="189">
        <f>Q13*Q12*'40_Customers_Orders'!Q8</f>
        <v>150.148518267957</v>
      </c>
      <c r="R14" s="189">
        <f>R13*R12*'40_Customers_Orders'!R8</f>
        <v>171.60501731034915</v>
      </c>
      <c r="S14" s="189">
        <f>S13*S12*'40_Customers_Orders'!S8</f>
        <v>193.08451915970491</v>
      </c>
      <c r="T14" s="189">
        <f>T13*T12*'40_Customers_Orders'!T8</f>
        <v>214.60611868079573</v>
      </c>
      <c r="U14" s="189">
        <f>U13*U12*'40_Customers_Orders'!U8</f>
        <v>265.76322225650483</v>
      </c>
      <c r="V14" s="189">
        <f>V13*V12*'40_Customers_Orders'!V8</f>
        <v>316.71121605987872</v>
      </c>
      <c r="W14" s="189">
        <f>W13*W12*'40_Customers_Orders'!W8</f>
        <v>367.49751050395383</v>
      </c>
      <c r="X14" s="189">
        <f>X13*X12*'40_Customers_Orders'!X8</f>
        <v>418.16887208142958</v>
      </c>
      <c r="Y14" s="189">
        <f>Y13*Y12*'40_Customers_Orders'!Y8</f>
        <v>468.77147123586934</v>
      </c>
      <c r="Z14" s="189">
        <f>Z13*Z12*'40_Customers_Orders'!Z8</f>
        <v>519.35092920073225</v>
      </c>
      <c r="AA14" s="189">
        <f>AA13*AA12*'40_Customers_Orders'!AA8</f>
        <v>569.95236385829219</v>
      </c>
      <c r="AB14" s="189">
        <f>AB13*AB12*'40_Customers_Orders'!AB8</f>
        <v>620.62043466908426</v>
      </c>
      <c r="AC14" s="189">
        <f>AC13*AC12*'40_Customers_Orders'!AC8</f>
        <v>671.3993867211683</v>
      </c>
      <c r="AD14" s="189">
        <f>AD13*AD12*'40_Customers_Orders'!AD8</f>
        <v>722.33309394719925</v>
      </c>
      <c r="AE14" s="189">
        <f>AE13*AE12*'40_Customers_Orders'!AE8</f>
        <v>773.4651015560579</v>
      </c>
      <c r="AF14" s="189">
        <f>AF13*AF12*'40_Customers_Orders'!AF8</f>
        <v>824.83866772460226</v>
      </c>
      <c r="AG14" s="189">
        <f>AG13*AG12*'40_Customers_Orders'!AG8</f>
        <v>876.49680459397598</v>
      </c>
      <c r="AH14" s="189">
        <f>AH13*AH12*'40_Customers_Orders'!AH8</f>
        <v>928.48231861381589</v>
      </c>
      <c r="AI14" s="189">
        <f>AI13*AI12*'40_Customers_Orders'!AI8</f>
        <v>980.83785027667852</v>
      </c>
      <c r="AJ14" s="189">
        <f>AJ13*AJ12*'40_Customers_Orders'!AJ8</f>
        <v>1033.6059132840119</v>
      </c>
      <c r="AK14" s="189">
        <f>AK13*AK12*'40_Customers_Orders'!AK8</f>
        <v>1086.8289331840663</v>
      </c>
      <c r="AL14" s="188">
        <f>SUMIF('23_Time'!$B$3:$AK$3, 1,B14:AK14)</f>
        <v>222.48701461921991</v>
      </c>
      <c r="AM14" s="189">
        <f>SUMIF('23_Time'!$B$3:$AK$3, 2,B14:AK14)</f>
        <v>2888.0026643803685</v>
      </c>
      <c r="AN14" s="190">
        <f>SUMIF('23_Time'!$B$3:$AK$3, 3,B14:AK14)</f>
        <v>9608.211797629685</v>
      </c>
    </row>
    <row r="15" spans="1:40" x14ac:dyDescent="0.3">
      <c r="A15" s="127" t="s">
        <v>149</v>
      </c>
      <c r="B15" s="199">
        <f>B14*'31_Inputs_UnitEconomics'!$B$12</f>
        <v>0</v>
      </c>
      <c r="C15" s="199">
        <f>C14*'31_Inputs_UnitEconomics'!$B$12</f>
        <v>0</v>
      </c>
      <c r="D15" s="199">
        <f>D14*'31_Inputs_UnitEconomics'!$B$12</f>
        <v>0</v>
      </c>
      <c r="E15" s="199">
        <f>E14*'31_Inputs_UnitEconomics'!$B$12</f>
        <v>0</v>
      </c>
      <c r="F15" s="199">
        <f>F14*'31_Inputs_UnitEconomics'!$B$12</f>
        <v>0</v>
      </c>
      <c r="G15" s="199">
        <f>G14*'31_Inputs_UnitEconomics'!$B$12</f>
        <v>0</v>
      </c>
      <c r="H15" s="199">
        <f>H14*'31_Inputs_UnitEconomics'!$B$12</f>
        <v>0</v>
      </c>
      <c r="I15" s="199">
        <f>I14*'31_Inputs_UnitEconomics'!$B$12</f>
        <v>0</v>
      </c>
      <c r="J15" s="199">
        <f>J14*'31_Inputs_UnitEconomics'!$B$12</f>
        <v>84899.265982908095</v>
      </c>
      <c r="K15" s="199">
        <f>K14*'31_Inputs_UnitEconomics'!$B$12</f>
        <v>94943.291494186575</v>
      </c>
      <c r="L15" s="199">
        <f>L14*'31_Inputs_UnitEconomics'!$B$12</f>
        <v>105139.11807443268</v>
      </c>
      <c r="M15" s="199">
        <f>M14*'31_Inputs_UnitEconomics'!$B$12</f>
        <v>115494.95076306853</v>
      </c>
      <c r="N15" s="199">
        <f>N14*'31_Inputs_UnitEconomics'!$B$12</f>
        <v>154301.82609482622</v>
      </c>
      <c r="O15" s="199">
        <f>O14*'31_Inputs_UnitEconomics'!$B$12</f>
        <v>193008.99143060151</v>
      </c>
      <c r="P15" s="199">
        <f>P14*'31_Inputs_UnitEconomics'!$B$12</f>
        <v>231652.34035763741</v>
      </c>
      <c r="Q15" s="199">
        <f>Q14*'31_Inputs_UnitEconomics'!$B$12</f>
        <v>270267.3328823226</v>
      </c>
      <c r="R15" s="199">
        <f>R14*'31_Inputs_UnitEconomics'!$B$12</f>
        <v>308889.03115862847</v>
      </c>
      <c r="S15" s="199">
        <f>S14*'31_Inputs_UnitEconomics'!$B$12</f>
        <v>347552.13448746887</v>
      </c>
      <c r="T15" s="199">
        <f>T14*'31_Inputs_UnitEconomics'!$B$12</f>
        <v>386291.01362543233</v>
      </c>
      <c r="U15" s="199">
        <f>U14*'31_Inputs_UnitEconomics'!$B$12</f>
        <v>478373.80006170872</v>
      </c>
      <c r="V15" s="199">
        <f>V14*'31_Inputs_UnitEconomics'!$B$12</f>
        <v>570080.18890778173</v>
      </c>
      <c r="W15" s="199">
        <f>W14*'31_Inputs_UnitEconomics'!$B$12</f>
        <v>661495.51890711684</v>
      </c>
      <c r="X15" s="199">
        <f>X14*'31_Inputs_UnitEconomics'!$B$12</f>
        <v>752703.96974657325</v>
      </c>
      <c r="Y15" s="199">
        <f>Y14*'31_Inputs_UnitEconomics'!$B$12</f>
        <v>843788.64822456485</v>
      </c>
      <c r="Z15" s="199">
        <f>Z14*'31_Inputs_UnitEconomics'!$B$12</f>
        <v>934831.67256131803</v>
      </c>
      <c r="AA15" s="199">
        <f>AA14*'31_Inputs_UnitEconomics'!$B$12</f>
        <v>1025914.2549449259</v>
      </c>
      <c r="AB15" s="199">
        <f>AB14*'31_Inputs_UnitEconomics'!$B$12</f>
        <v>1117116.7824043517</v>
      </c>
      <c r="AC15" s="199">
        <f>AC14*'31_Inputs_UnitEconomics'!$B$12</f>
        <v>1208518.8960981029</v>
      </c>
      <c r="AD15" s="199">
        <f>AD14*'31_Inputs_UnitEconomics'!$B$12</f>
        <v>1300199.5691049586</v>
      </c>
      <c r="AE15" s="199">
        <f>AE14*'31_Inputs_UnitEconomics'!$B$12</f>
        <v>1392237.1828009041</v>
      </c>
      <c r="AF15" s="199">
        <f>AF14*'31_Inputs_UnitEconomics'!$B$12</f>
        <v>1484709.601904284</v>
      </c>
      <c r="AG15" s="199">
        <f>AG14*'31_Inputs_UnitEconomics'!$B$12</f>
        <v>1577694.2482691568</v>
      </c>
      <c r="AH15" s="199">
        <f>AH14*'31_Inputs_UnitEconomics'!$B$12</f>
        <v>1671268.1735048685</v>
      </c>
      <c r="AI15" s="199">
        <f>AI14*'31_Inputs_UnitEconomics'!$B$12</f>
        <v>1765508.1304980214</v>
      </c>
      <c r="AJ15" s="199">
        <f>AJ14*'31_Inputs_UnitEconomics'!$B$12</f>
        <v>1860490.6439112213</v>
      </c>
      <c r="AK15" s="199">
        <f>AK14*'31_Inputs_UnitEconomics'!$B$12</f>
        <v>1956292.0797313193</v>
      </c>
      <c r="AL15" s="188">
        <f>SUMIF('23_Time'!$B$3:$AK$3, 1,B15:AK15)</f>
        <v>400476.62631459587</v>
      </c>
      <c r="AM15" s="189">
        <f>SUMIF('23_Time'!$B$3:$AK$3, 2,B15:AK15)</f>
        <v>5198404.7958846632</v>
      </c>
      <c r="AN15" s="190">
        <f>SUMIF('23_Time'!$B$3:$AK$3, 3,B15:AK15)</f>
        <v>17294781.235733435</v>
      </c>
    </row>
    <row r="16" spans="1:40" x14ac:dyDescent="0.3">
      <c r="A16" s="42" t="s">
        <v>150</v>
      </c>
      <c r="B16" s="18">
        <f>B15*'31_Inputs_UnitEconomics'!$B$13</f>
        <v>0</v>
      </c>
      <c r="C16" s="18">
        <f>C15*'31_Inputs_UnitEconomics'!$B$13</f>
        <v>0</v>
      </c>
      <c r="D16" s="18">
        <f>D15*'31_Inputs_UnitEconomics'!$B$13</f>
        <v>0</v>
      </c>
      <c r="E16" s="18">
        <f>E15*'31_Inputs_UnitEconomics'!$B$13</f>
        <v>0</v>
      </c>
      <c r="F16" s="18">
        <f>F15*'31_Inputs_UnitEconomics'!$B$13</f>
        <v>0</v>
      </c>
      <c r="G16" s="18">
        <f>G15*'31_Inputs_UnitEconomics'!$B$13</f>
        <v>0</v>
      </c>
      <c r="H16" s="18">
        <f>H15*'31_Inputs_UnitEconomics'!$B$13</f>
        <v>0</v>
      </c>
      <c r="I16" s="18">
        <f>I15*'31_Inputs_UnitEconomics'!$B$13</f>
        <v>0</v>
      </c>
      <c r="J16" s="18">
        <f>J15*'31_Inputs_UnitEconomics'!$B$13</f>
        <v>2546.9779794872429</v>
      </c>
      <c r="K16" s="18">
        <f>K15*'31_Inputs_UnitEconomics'!$B$13</f>
        <v>2848.2987448255972</v>
      </c>
      <c r="L16" s="18">
        <f>L15*'31_Inputs_UnitEconomics'!$B$13</f>
        <v>3154.1735422329803</v>
      </c>
      <c r="M16" s="18">
        <f>M15*'31_Inputs_UnitEconomics'!$B$13</f>
        <v>3464.8485228920558</v>
      </c>
      <c r="N16" s="18">
        <f>N15*'31_Inputs_UnitEconomics'!$B$13</f>
        <v>4629.0547828447861</v>
      </c>
      <c r="O16" s="18">
        <f>O15*'31_Inputs_UnitEconomics'!$B$13</f>
        <v>5790.2697429180453</v>
      </c>
      <c r="P16" s="18">
        <f>P15*'31_Inputs_UnitEconomics'!$B$13</f>
        <v>6949.5702107291218</v>
      </c>
      <c r="Q16" s="18">
        <f>Q15*'31_Inputs_UnitEconomics'!$B$13</f>
        <v>8108.0199864696779</v>
      </c>
      <c r="R16" s="18">
        <f>R15*'31_Inputs_UnitEconomics'!$B$13</f>
        <v>9266.670934758853</v>
      </c>
      <c r="S16" s="18">
        <f>S15*'31_Inputs_UnitEconomics'!$B$13</f>
        <v>10426.564034624065</v>
      </c>
      <c r="T16" s="18">
        <f>T15*'31_Inputs_UnitEconomics'!$B$13</f>
        <v>11588.730408762969</v>
      </c>
      <c r="U16" s="18">
        <f>U15*'31_Inputs_UnitEconomics'!$B$13</f>
        <v>14351.214001851262</v>
      </c>
      <c r="V16" s="18">
        <f>V15*'31_Inputs_UnitEconomics'!$B$13</f>
        <v>17102.405667233452</v>
      </c>
      <c r="W16" s="18">
        <f>W15*'31_Inputs_UnitEconomics'!$B$13</f>
        <v>19844.865567213503</v>
      </c>
      <c r="X16" s="18">
        <f>X15*'31_Inputs_UnitEconomics'!$B$13</f>
        <v>22581.119092397195</v>
      </c>
      <c r="Y16" s="18">
        <f>Y15*'31_Inputs_UnitEconomics'!$B$13</f>
        <v>25313.659446736943</v>
      </c>
      <c r="Z16" s="18">
        <f>Z15*'31_Inputs_UnitEconomics'!$B$13</f>
        <v>28044.950176839538</v>
      </c>
      <c r="AA16" s="18">
        <f>AA15*'31_Inputs_UnitEconomics'!$B$13</f>
        <v>30777.427648347777</v>
      </c>
      <c r="AB16" s="18">
        <f>AB15*'31_Inputs_UnitEconomics'!$B$13</f>
        <v>33513.503472130549</v>
      </c>
      <c r="AC16" s="18">
        <f>AC15*'31_Inputs_UnitEconomics'!$B$13</f>
        <v>36255.566882943087</v>
      </c>
      <c r="AD16" s="18">
        <f>AD15*'31_Inputs_UnitEconomics'!$B$13</f>
        <v>39005.987073148754</v>
      </c>
      <c r="AE16" s="18">
        <f>AE15*'31_Inputs_UnitEconomics'!$B$13</f>
        <v>41767.115484027127</v>
      </c>
      <c r="AF16" s="18">
        <f>AF15*'31_Inputs_UnitEconomics'!$B$13</f>
        <v>44541.28805712852</v>
      </c>
      <c r="AG16" s="18">
        <f>AG15*'31_Inputs_UnitEconomics'!$B$13</f>
        <v>47330.827448074699</v>
      </c>
      <c r="AH16" s="18">
        <f>AH15*'31_Inputs_UnitEconomics'!$B$13</f>
        <v>50138.045205146052</v>
      </c>
      <c r="AI16" s="18">
        <f>AI15*'31_Inputs_UnitEconomics'!$B$13</f>
        <v>52965.243914940642</v>
      </c>
      <c r="AJ16" s="18">
        <f>AJ15*'31_Inputs_UnitEconomics'!$B$13</f>
        <v>55814.71931733664</v>
      </c>
      <c r="AK16" s="18">
        <f>AK15*'31_Inputs_UnitEconomics'!$B$13</f>
        <v>58688.762391939577</v>
      </c>
      <c r="AL16" s="285">
        <f>SUMIF('23_Time'!$B$3:$AK$3, 1,B16:AK16)</f>
        <v>12014.298789437877</v>
      </c>
      <c r="AM16" s="286">
        <f>SUMIF('23_Time'!$B$3:$AK$3, 2,B16:AK16)</f>
        <v>155952.14387653989</v>
      </c>
      <c r="AN16" s="287">
        <f>SUMIF('23_Time'!$B$3:$AK$3, 3,B16:AK16)</f>
        <v>518843.43707200297</v>
      </c>
    </row>
    <row r="17" spans="1:40" ht="15" thickBot="1" x14ac:dyDescent="0.35">
      <c r="A17" s="24" t="s">
        <v>151</v>
      </c>
      <c r="B17" s="25">
        <f>('44_Working_Capital'!B3+'44_Working_Capital'!B6)/2*'31_Inputs_UnitEconomics'!$C$14</f>
        <v>0</v>
      </c>
      <c r="C17" s="25">
        <f>('44_Working_Capital'!C3+'44_Working_Capital'!C6)/2*'31_Inputs_UnitEconomics'!$C$14</f>
        <v>0</v>
      </c>
      <c r="D17" s="25">
        <f>('44_Working_Capital'!D3+'44_Working_Capital'!D6)/2*'31_Inputs_UnitEconomics'!$C$14</f>
        <v>0</v>
      </c>
      <c r="E17" s="25">
        <f>('44_Working_Capital'!E3+'44_Working_Capital'!E6)/2*'31_Inputs_UnitEconomics'!$C$14</f>
        <v>0</v>
      </c>
      <c r="F17" s="25">
        <f>('44_Working_Capital'!F3+'44_Working_Capital'!F6)/2*'31_Inputs_UnitEconomics'!$C$14</f>
        <v>0</v>
      </c>
      <c r="G17" s="25">
        <f>('44_Working_Capital'!G3+'44_Working_Capital'!G6)/2*'31_Inputs_UnitEconomics'!$C$14</f>
        <v>0</v>
      </c>
      <c r="H17" s="25">
        <f>('44_Working_Capital'!H3+'44_Working_Capital'!H6)/2*'31_Inputs_UnitEconomics'!$C$14</f>
        <v>0</v>
      </c>
      <c r="I17" s="25">
        <f>('44_Working_Capital'!I3+'44_Working_Capital'!I6)/2*'31_Inputs_UnitEconomics'!$C$14</f>
        <v>0</v>
      </c>
      <c r="J17" s="25">
        <f>('44_Working_Capital'!J3+'44_Working_Capital'!J6)/2*'31_Inputs_UnitEconomics'!$C$14</f>
        <v>466.94596290599452</v>
      </c>
      <c r="K17" s="25">
        <f>('44_Working_Capital'!K3+'44_Working_Capital'!K6)/2*'31_Inputs_UnitEconomics'!$C$14</f>
        <v>1417.1678654545155</v>
      </c>
      <c r="L17" s="25">
        <f>('44_Working_Capital'!L3+'44_Working_Capital'!L6)/2*'31_Inputs_UnitEconomics'!$C$14</f>
        <v>2399.5237959607116</v>
      </c>
      <c r="M17" s="25">
        <f>('44_Working_Capital'!M3+'44_Working_Capital'!M6)/2*'31_Inputs_UnitEconomics'!$C$14</f>
        <v>3413.0508582369084</v>
      </c>
      <c r="N17" s="25">
        <f>('44_Working_Capital'!N3+'44_Working_Capital'!N6)/2*'31_Inputs_UnitEconomics'!$C$14</f>
        <v>4612.5122261022543</v>
      </c>
      <c r="O17" s="25">
        <f>('44_Working_Capital'!O3+'44_Working_Capital'!O6)/2*'31_Inputs_UnitEconomics'!$C$14</f>
        <v>6138.3457036502523</v>
      </c>
      <c r="P17" s="25">
        <f>('44_Working_Capital'!P3+'44_Working_Capital'!P6)/2*'31_Inputs_UnitEconomics'!$C$14</f>
        <v>7962.454219848044</v>
      </c>
      <c r="Q17" s="25">
        <f>('44_Working_Capital'!Q3+'44_Working_Capital'!Q6)/2*'31_Inputs_UnitEconomics'!$C$14</f>
        <v>10059.47457101382</v>
      </c>
      <c r="R17" s="25">
        <f>('44_Working_Capital'!R3+'44_Working_Capital'!R6)/2*'31_Inputs_UnitEconomics'!$C$14</f>
        <v>12406.545025654565</v>
      </c>
      <c r="S17" s="25">
        <f>('44_Working_Capital'!S3+'44_Working_Capital'!S6)/2*'31_Inputs_UnitEconomics'!$C$14</f>
        <v>14983.09268457022</v>
      </c>
      <c r="T17" s="25">
        <f>('44_Working_Capital'!T3+'44_Working_Capital'!T6)/2*'31_Inputs_UnitEconomics'!$C$14</f>
        <v>17770.638942143658</v>
      </c>
      <c r="U17" s="25">
        <f>('44_Working_Capital'!U3+'44_Working_Capital'!U6)/2*'31_Inputs_UnitEconomics'!$C$14</f>
        <v>21045.40883891096</v>
      </c>
      <c r="V17" s="25">
        <f>('44_Working_Capital'!V3+'44_Working_Capital'!V6)/2*'31_Inputs_UnitEconomics'!$C$14</f>
        <v>25058.121708333918</v>
      </c>
      <c r="W17" s="25">
        <f>('44_Working_Capital'!W3+'44_Working_Capital'!W6)/2*'31_Inputs_UnitEconomics'!$C$14</f>
        <v>29743.611292288031</v>
      </c>
      <c r="X17" s="25">
        <f>('44_Working_Capital'!X3+'44_Working_Capital'!X6)/2*'31_Inputs_UnitEconomics'!$C$14</f>
        <v>35043.074205525991</v>
      </c>
      <c r="Y17" s="25">
        <f>('44_Working_Capital'!Y3+'44_Working_Capital'!Y6)/2*'31_Inputs_UnitEconomics'!$C$14</f>
        <v>40903.527420573417</v>
      </c>
      <c r="Z17" s="25">
        <f>('44_Working_Capital'!Z3+'44_Working_Capital'!Z6)/2*'31_Inputs_UnitEconomics'!$C$14</f>
        <v>47277.311899847999</v>
      </c>
      <c r="AA17" s="25">
        <f>('44_Working_Capital'!AA3+'44_Working_Capital'!AA6)/2*'31_Inputs_UnitEconomics'!$C$14</f>
        <v>54121.63850947834</v>
      </c>
      <c r="AB17" s="25">
        <f>('44_Working_Capital'!AB3+'44_Working_Capital'!AB6)/2*'31_Inputs_UnitEconomics'!$C$14</f>
        <v>61398.172672442844</v>
      </c>
      <c r="AC17" s="25">
        <f>('44_Working_Capital'!AC3+'44_Working_Capital'!AC6)/2*'31_Inputs_UnitEconomics'!$C$14</f>
        <v>69072.654514836118</v>
      </c>
      <c r="AD17" s="25">
        <f>('44_Working_Capital'!AD3+'44_Working_Capital'!AD6)/2*'31_Inputs_UnitEconomics'!$C$14</f>
        <v>77114.551530549943</v>
      </c>
      <c r="AE17" s="25">
        <f>('44_Working_Capital'!AE3+'44_Working_Capital'!AE6)/2*'31_Inputs_UnitEconomics'!$C$14</f>
        <v>85496.741038486362</v>
      </c>
      <c r="AF17" s="25">
        <f>('44_Working_Capital'!AF3+'44_Working_Capital'!AF6)/2*'31_Inputs_UnitEconomics'!$C$14</f>
        <v>94195.219934491033</v>
      </c>
      <c r="AG17" s="25">
        <f>('44_Working_Capital'!AG3+'44_Working_Capital'!AG6)/2*'31_Inputs_UnitEconomics'!$C$14</f>
        <v>103188.83944923739</v>
      </c>
      <c r="AH17" s="25">
        <f>('44_Working_Capital'!AH3+'44_Working_Capital'!AH6)/2*'31_Inputs_UnitEconomics'!$C$14</f>
        <v>112459.0628148914</v>
      </c>
      <c r="AI17" s="25">
        <f>('44_Working_Capital'!AI3+'44_Working_Capital'!AI6)/2*'31_Inputs_UnitEconomics'!$C$14</f>
        <v>121989.74391899968</v>
      </c>
      <c r="AJ17" s="25">
        <f>('44_Working_Capital'!AJ3+'44_Working_Capital'!AJ6)/2*'31_Inputs_UnitEconomics'!$C$14</f>
        <v>131766.92518500055</v>
      </c>
      <c r="AK17" s="25">
        <f>('44_Working_Capital'!AK3+'44_Working_Capital'!AK6)/2*'31_Inputs_UnitEconomics'!$C$14</f>
        <v>141778.65306628449</v>
      </c>
      <c r="AL17" s="26">
        <f>SUMIF('23_Time'!$B$3:$AK$3, 1,B17:AK17)</f>
        <v>7696.6884825581301</v>
      </c>
      <c r="AM17" s="25">
        <f>SUMIF('23_Time'!$B$3:$AK$3, 2,B17:AK17)</f>
        <v>225726.8068386151</v>
      </c>
      <c r="AN17" s="27">
        <f>SUMIF('23_Time'!$B$3:$AK$3, 3,B17:AK17)</f>
        <v>1099859.5145345461</v>
      </c>
    </row>
    <row r="18" spans="1:40" ht="15" thickBot="1" x14ac:dyDescent="0.35">
      <c r="A18" s="205" t="s">
        <v>152</v>
      </c>
      <c r="B18" s="288">
        <f>B4+B11+B16+B17</f>
        <v>23405.909090909088</v>
      </c>
      <c r="C18" s="288">
        <f t="shared" ref="C18:AK18" si="2">C4+C11+C16+C17</f>
        <v>47017.437645580161</v>
      </c>
      <c r="D18" s="288">
        <f t="shared" si="2"/>
        <v>70855.280541673623</v>
      </c>
      <c r="E18" s="288">
        <f t="shared" si="2"/>
        <v>94940.121725969642</v>
      </c>
      <c r="F18" s="288">
        <f t="shared" si="2"/>
        <v>119292.65252067958</v>
      </c>
      <c r="G18" s="288">
        <f t="shared" si="2"/>
        <v>143933.58974160935</v>
      </c>
      <c r="H18" s="288">
        <f t="shared" si="2"/>
        <v>168883.69364606455</v>
      </c>
      <c r="I18" s="288">
        <f t="shared" si="2"/>
        <v>194163.78572804714</v>
      </c>
      <c r="J18" s="288">
        <f t="shared" si="2"/>
        <v>222808.69032036638</v>
      </c>
      <c r="K18" s="288">
        <f t="shared" si="2"/>
        <v>250063.0990341187</v>
      </c>
      <c r="L18" s="288">
        <f t="shared" si="2"/>
        <v>277747.19190866943</v>
      </c>
      <c r="M18" s="288">
        <f t="shared" si="2"/>
        <v>305881.49413440633</v>
      </c>
      <c r="N18" s="288">
        <f t="shared" si="2"/>
        <v>408711.85012110823</v>
      </c>
      <c r="O18" s="288">
        <f t="shared" si="2"/>
        <v>511607.44881690334</v>
      </c>
      <c r="P18" s="288">
        <f t="shared" si="2"/>
        <v>614634.1944675718</v>
      </c>
      <c r="Q18" s="288">
        <f t="shared" si="2"/>
        <v>717859.58968616312</v>
      </c>
      <c r="R18" s="288">
        <f t="shared" si="2"/>
        <v>821352.59662664041</v>
      </c>
      <c r="S18" s="288">
        <f t="shared" si="2"/>
        <v>925183.51600341918</v>
      </c>
      <c r="T18" s="288">
        <f t="shared" si="2"/>
        <v>1029423.8824034148</v>
      </c>
      <c r="U18" s="288">
        <f t="shared" si="2"/>
        <v>1273853.2385560749</v>
      </c>
      <c r="V18" s="288">
        <f t="shared" si="2"/>
        <v>1518034.7942146023</v>
      </c>
      <c r="W18" s="288">
        <f t="shared" si="2"/>
        <v>1762126.8758079261</v>
      </c>
      <c r="X18" s="288">
        <f t="shared" si="2"/>
        <v>2006291.1371973851</v>
      </c>
      <c r="Y18" s="288">
        <f t="shared" si="2"/>
        <v>2250692.2428264613</v>
      </c>
      <c r="Z18" s="288">
        <f t="shared" si="2"/>
        <v>2495497.5921520996</v>
      </c>
      <c r="AA18" s="288">
        <f t="shared" si="2"/>
        <v>2740877.081737468</v>
      </c>
      <c r="AB18" s="288">
        <f t="shared" si="2"/>
        <v>2987002.901702506</v>
      </c>
      <c r="AC18" s="288">
        <f t="shared" si="2"/>
        <v>3234049.3635184239</v>
      </c>
      <c r="AD18" s="288">
        <f t="shared" si="2"/>
        <v>3482192.7563976464</v>
      </c>
      <c r="AE18" s="288">
        <f t="shared" si="2"/>
        <v>3731611.2297737431</v>
      </c>
      <c r="AF18" s="288">
        <f t="shared" si="2"/>
        <v>3982484.6995882662</v>
      </c>
      <c r="AG18" s="288">
        <f t="shared" si="2"/>
        <v>4234994.7763052406</v>
      </c>
      <c r="AH18" s="288">
        <f t="shared" si="2"/>
        <v>4489324.7127604196</v>
      </c>
      <c r="AI18" s="288">
        <f t="shared" si="2"/>
        <v>4745659.3701232625</v>
      </c>
      <c r="AJ18" s="288">
        <f t="shared" si="2"/>
        <v>5004185.2004058324</v>
      </c>
      <c r="AK18" s="288">
        <f t="shared" si="2"/>
        <v>5265090.2440959737</v>
      </c>
      <c r="AL18" s="206">
        <f>SUMIF('23_Time'!$B$3:$AK$3, 1,B18:AK18)</f>
        <v>1918992.9460380939</v>
      </c>
      <c r="AM18" s="207">
        <f>SUMIF('23_Time'!$B$3:$AK$3, 2,B18:AK18)</f>
        <v>13839771.366727671</v>
      </c>
      <c r="AN18" s="208">
        <f>SUMIF('23_Time'!$B$3:$AK$3, 3,B18:AK18)</f>
        <v>46392969.928560875</v>
      </c>
    </row>
    <row r="19" spans="1:40" x14ac:dyDescent="0.3">
      <c r="B19" s="5"/>
      <c r="C19" s="5"/>
      <c r="D19" s="5"/>
      <c r="E19" s="5"/>
      <c r="F19" s="5"/>
      <c r="G19" s="5"/>
      <c r="H19" s="5"/>
      <c r="I19" s="5"/>
      <c r="J19" s="5"/>
      <c r="K19" s="5"/>
      <c r="L19" s="5"/>
      <c r="M19" s="5"/>
      <c r="N19" s="5"/>
      <c r="O19" s="5"/>
      <c r="P19" s="5"/>
      <c r="Q19" s="5"/>
      <c r="R19" s="5"/>
      <c r="S19" s="5"/>
      <c r="T19" s="5"/>
      <c r="U19" s="5"/>
      <c r="V19" s="5"/>
      <c r="W19" s="5"/>
      <c r="X19" s="5"/>
      <c r="Y19" s="5"/>
      <c r="Z19" s="5"/>
      <c r="AA19" s="5"/>
      <c r="AB19" s="5"/>
      <c r="AC19" s="5"/>
      <c r="AD19" s="5"/>
      <c r="AE19" s="5"/>
      <c r="AF19" s="5"/>
      <c r="AG19" s="5"/>
      <c r="AH19" s="5"/>
      <c r="AI19" s="5"/>
      <c r="AJ19" s="5"/>
      <c r="AK19" s="5"/>
      <c r="AL19" s="5"/>
      <c r="AM19" s="5"/>
      <c r="AN19" s="5"/>
    </row>
    <row r="20" spans="1:40" x14ac:dyDescent="0.3">
      <c r="B20" s="5"/>
      <c r="C20" s="5"/>
      <c r="D20" s="5"/>
      <c r="E20" s="5"/>
      <c r="F20" s="5"/>
      <c r="G20" s="5"/>
      <c r="H20" s="5"/>
      <c r="I20" s="5"/>
      <c r="J20" s="5"/>
      <c r="K20" s="5"/>
      <c r="L20" s="5"/>
      <c r="M20" s="5"/>
      <c r="N20" s="5"/>
      <c r="O20" s="5"/>
      <c r="P20" s="5"/>
      <c r="Q20" s="5"/>
      <c r="R20" s="5"/>
      <c r="S20" s="5"/>
      <c r="T20" s="5"/>
      <c r="U20" s="5"/>
      <c r="V20" s="5"/>
      <c r="W20" s="5"/>
      <c r="X20" s="5"/>
      <c r="Y20" s="5"/>
      <c r="Z20" s="5"/>
      <c r="AA20" s="5"/>
      <c r="AB20" s="5"/>
      <c r="AC20" s="5"/>
      <c r="AD20" s="5"/>
      <c r="AE20" s="5"/>
      <c r="AF20" s="5"/>
      <c r="AG20" s="5"/>
      <c r="AH20" s="5"/>
      <c r="AI20" s="5"/>
      <c r="AJ20" s="5"/>
      <c r="AK20" s="5"/>
      <c r="AL20" s="5"/>
      <c r="AM20" s="5"/>
      <c r="AN20" s="5"/>
    </row>
    <row r="21" spans="1:40" x14ac:dyDescent="0.3">
      <c r="B21" s="5"/>
      <c r="C21" s="5"/>
      <c r="D21" s="5"/>
      <c r="E21" s="5"/>
      <c r="F21" s="5"/>
      <c r="G21" s="5"/>
      <c r="H21" s="5"/>
      <c r="I21" s="5"/>
      <c r="J21" s="5"/>
      <c r="K21" s="5"/>
      <c r="L21" s="5"/>
      <c r="M21" s="5"/>
      <c r="N21" s="5"/>
      <c r="O21" s="5"/>
      <c r="P21" s="5"/>
      <c r="Q21" s="5"/>
      <c r="R21" s="5"/>
      <c r="S21" s="5"/>
      <c r="T21" s="5"/>
      <c r="U21" s="5"/>
      <c r="V21" s="5"/>
      <c r="W21" s="5"/>
      <c r="X21" s="5"/>
      <c r="Y21" s="5"/>
      <c r="Z21" s="5"/>
      <c r="AA21" s="5"/>
      <c r="AB21" s="5"/>
      <c r="AC21" s="5"/>
      <c r="AD21" s="5"/>
      <c r="AE21" s="5"/>
      <c r="AF21" s="5"/>
      <c r="AG21" s="5"/>
      <c r="AH21" s="5"/>
      <c r="AI21" s="5"/>
      <c r="AJ21" s="5"/>
      <c r="AK21" s="5"/>
      <c r="AL21" s="5"/>
      <c r="AM21" s="5"/>
      <c r="AN21" s="5"/>
    </row>
    <row r="22" spans="1:40" x14ac:dyDescent="0.3">
      <c r="B22" s="5"/>
      <c r="C22" s="5"/>
      <c r="D22" s="5"/>
      <c r="E22" s="5"/>
      <c r="F22" s="5"/>
      <c r="G22" s="5"/>
      <c r="H22" s="5"/>
      <c r="I22" s="5"/>
      <c r="J22" s="5"/>
      <c r="K22" s="5"/>
      <c r="L22" s="5"/>
      <c r="M22" s="5"/>
      <c r="N22" s="5"/>
      <c r="O22" s="5"/>
      <c r="P22" s="5"/>
      <c r="Q22" s="5"/>
      <c r="R22" s="5"/>
      <c r="S22" s="5"/>
      <c r="T22" s="5"/>
      <c r="U22" s="5"/>
      <c r="V22" s="5"/>
      <c r="W22" s="5"/>
      <c r="X22" s="5"/>
      <c r="Y22" s="5"/>
      <c r="Z22" s="5"/>
      <c r="AA22" s="5"/>
      <c r="AB22" s="5"/>
      <c r="AC22" s="5"/>
      <c r="AD22" s="5"/>
      <c r="AE22" s="5"/>
      <c r="AF22" s="5"/>
      <c r="AG22" s="5"/>
      <c r="AH22" s="5"/>
      <c r="AI22" s="5"/>
      <c r="AJ22" s="5"/>
      <c r="AK22" s="5"/>
      <c r="AL22" s="5"/>
      <c r="AM22" s="5"/>
      <c r="AN22" s="5"/>
    </row>
    <row r="23" spans="1:40" x14ac:dyDescent="0.3">
      <c r="B23" s="5"/>
      <c r="C23" s="5"/>
      <c r="D23" s="5"/>
      <c r="E23" s="5"/>
      <c r="F23" s="5"/>
      <c r="G23" s="5"/>
      <c r="H23" s="5"/>
      <c r="I23" s="5"/>
      <c r="J23" s="5"/>
      <c r="K23" s="5"/>
      <c r="L23" s="5"/>
      <c r="M23" s="5"/>
      <c r="N23" s="5"/>
      <c r="O23" s="5"/>
      <c r="P23" s="5"/>
      <c r="Q23" s="5"/>
      <c r="R23" s="5"/>
      <c r="S23" s="5"/>
      <c r="T23" s="5"/>
      <c r="U23" s="5"/>
      <c r="V23" s="5"/>
      <c r="W23" s="5"/>
      <c r="X23" s="5"/>
      <c r="Y23" s="5"/>
      <c r="Z23" s="5"/>
      <c r="AA23" s="5"/>
      <c r="AB23" s="5"/>
      <c r="AC23" s="5"/>
      <c r="AD23" s="5"/>
      <c r="AE23" s="5"/>
      <c r="AF23" s="5"/>
      <c r="AG23" s="5"/>
      <c r="AH23" s="5"/>
      <c r="AI23" s="5"/>
      <c r="AJ23" s="5"/>
      <c r="AK23" s="5"/>
      <c r="AL23" s="5"/>
      <c r="AM23" s="5"/>
      <c r="AN23" s="5"/>
    </row>
    <row r="24" spans="1:40" x14ac:dyDescent="0.3">
      <c r="B24" s="5"/>
      <c r="C24" s="5"/>
      <c r="D24" s="5"/>
      <c r="E24" s="5"/>
      <c r="F24" s="5"/>
      <c r="G24" s="5"/>
      <c r="H24" s="5"/>
      <c r="I24" s="5"/>
      <c r="J24" s="5"/>
      <c r="K24" s="5"/>
      <c r="L24" s="5"/>
      <c r="M24" s="5"/>
      <c r="N24" s="5"/>
      <c r="O24" s="5"/>
      <c r="P24" s="5"/>
      <c r="Q24" s="5"/>
      <c r="R24" s="5"/>
      <c r="S24" s="5"/>
      <c r="T24" s="5"/>
      <c r="U24" s="5"/>
      <c r="V24" s="5"/>
      <c r="W24" s="5"/>
      <c r="X24" s="5"/>
      <c r="Y24" s="5"/>
      <c r="Z24" s="5"/>
      <c r="AA24" s="5"/>
      <c r="AB24" s="5"/>
      <c r="AC24" s="5"/>
      <c r="AD24" s="5"/>
      <c r="AE24" s="5"/>
      <c r="AF24" s="5"/>
      <c r="AG24" s="5"/>
      <c r="AH24" s="5"/>
      <c r="AI24" s="5"/>
      <c r="AJ24" s="5"/>
      <c r="AK24" s="5"/>
      <c r="AL24" s="5"/>
      <c r="AM24" s="5"/>
      <c r="AN24" s="5"/>
    </row>
    <row r="25" spans="1:40" x14ac:dyDescent="0.3">
      <c r="B25" s="5"/>
      <c r="C25" s="5"/>
      <c r="D25" s="5"/>
      <c r="E25" s="5"/>
      <c r="F25" s="5"/>
      <c r="G25" s="5"/>
      <c r="H25" s="5"/>
      <c r="I25" s="5"/>
      <c r="J25" s="5"/>
      <c r="K25" s="5"/>
      <c r="L25" s="5"/>
      <c r="M25" s="5"/>
      <c r="N25" s="5"/>
      <c r="O25" s="5"/>
      <c r="P25" s="5"/>
      <c r="Q25" s="5"/>
      <c r="R25" s="5"/>
      <c r="S25" s="5"/>
      <c r="T25" s="5"/>
      <c r="U25" s="5"/>
      <c r="V25" s="5"/>
      <c r="W25" s="5"/>
      <c r="X25" s="5"/>
      <c r="Y25" s="5"/>
      <c r="Z25" s="5"/>
      <c r="AA25" s="5"/>
      <c r="AB25" s="5"/>
      <c r="AC25" s="5"/>
      <c r="AD25" s="5"/>
      <c r="AE25" s="5"/>
      <c r="AF25" s="5"/>
      <c r="AG25" s="5"/>
      <c r="AH25" s="5"/>
      <c r="AI25" s="5"/>
      <c r="AJ25" s="5"/>
      <c r="AK25" s="5"/>
      <c r="AL25" s="5"/>
      <c r="AM25" s="5"/>
      <c r="AN25" s="5"/>
    </row>
    <row r="26" spans="1:40" x14ac:dyDescent="0.3">
      <c r="B26" s="5"/>
      <c r="C26" s="5"/>
      <c r="D26" s="5"/>
      <c r="E26" s="5"/>
      <c r="F26" s="5"/>
      <c r="G26" s="5"/>
      <c r="H26" s="5"/>
      <c r="I26" s="5"/>
      <c r="J26" s="5"/>
      <c r="K26" s="5"/>
      <c r="L26" s="5"/>
      <c r="M26" s="5"/>
      <c r="N26" s="5"/>
      <c r="O26" s="5"/>
      <c r="P26" s="5"/>
      <c r="Q26" s="5"/>
      <c r="R26" s="5"/>
      <c r="S26" s="5"/>
      <c r="T26" s="5"/>
      <c r="U26" s="5"/>
      <c r="V26" s="5"/>
      <c r="W26" s="5"/>
      <c r="X26" s="5"/>
      <c r="Y26" s="5"/>
      <c r="Z26" s="5"/>
      <c r="AA26" s="5"/>
      <c r="AB26" s="5"/>
      <c r="AC26" s="5"/>
      <c r="AD26" s="5"/>
      <c r="AE26" s="5"/>
      <c r="AF26" s="5"/>
      <c r="AG26" s="5"/>
      <c r="AH26" s="5"/>
      <c r="AI26" s="5"/>
      <c r="AJ26" s="5"/>
      <c r="AK26" s="5"/>
      <c r="AL26" s="5"/>
      <c r="AM26" s="5"/>
      <c r="AN26" s="5"/>
    </row>
    <row r="27" spans="1:40" x14ac:dyDescent="0.3">
      <c r="B27" s="5"/>
      <c r="C27" s="5"/>
      <c r="D27" s="5"/>
      <c r="E27" s="5"/>
      <c r="F27" s="5"/>
      <c r="G27" s="5"/>
      <c r="H27" s="5"/>
      <c r="I27" s="5"/>
      <c r="J27" s="5"/>
      <c r="K27" s="5"/>
      <c r="L27" s="5"/>
      <c r="M27" s="5"/>
      <c r="N27" s="5"/>
      <c r="O27" s="5"/>
      <c r="P27" s="5"/>
      <c r="Q27" s="5"/>
      <c r="R27" s="5"/>
      <c r="S27" s="5"/>
      <c r="T27" s="5"/>
      <c r="U27" s="5"/>
      <c r="V27" s="5"/>
      <c r="W27" s="5"/>
      <c r="X27" s="5"/>
      <c r="Y27" s="5"/>
      <c r="Z27" s="5"/>
      <c r="AA27" s="5"/>
      <c r="AB27" s="5"/>
      <c r="AC27" s="5"/>
      <c r="AD27" s="5"/>
      <c r="AE27" s="5"/>
      <c r="AF27" s="5"/>
      <c r="AG27" s="5"/>
      <c r="AH27" s="5"/>
      <c r="AI27" s="5"/>
      <c r="AJ27" s="5"/>
      <c r="AK27" s="5"/>
      <c r="AL27" s="5"/>
      <c r="AM27" s="5"/>
      <c r="AN27" s="5"/>
    </row>
    <row r="28" spans="1:40" x14ac:dyDescent="0.3">
      <c r="B28" s="5"/>
      <c r="C28" s="5"/>
      <c r="D28" s="5"/>
      <c r="E28" s="5"/>
      <c r="F28" s="5"/>
      <c r="G28" s="5"/>
      <c r="H28" s="5"/>
      <c r="I28" s="5"/>
      <c r="J28" s="5"/>
      <c r="K28" s="5"/>
      <c r="L28" s="5"/>
      <c r="M28" s="5"/>
      <c r="N28" s="5"/>
      <c r="O28" s="5"/>
      <c r="P28" s="5"/>
      <c r="Q28" s="5"/>
      <c r="R28" s="5"/>
      <c r="S28" s="5"/>
      <c r="T28" s="5"/>
      <c r="U28" s="5"/>
      <c r="V28" s="5"/>
      <c r="W28" s="5"/>
      <c r="X28" s="5"/>
      <c r="Y28" s="5"/>
      <c r="Z28" s="5"/>
      <c r="AA28" s="5"/>
      <c r="AB28" s="5"/>
      <c r="AC28" s="5"/>
      <c r="AD28" s="5"/>
      <c r="AE28" s="5"/>
      <c r="AF28" s="5"/>
      <c r="AG28" s="5"/>
      <c r="AH28" s="5"/>
      <c r="AI28" s="5"/>
      <c r="AJ28" s="5"/>
      <c r="AK28" s="5"/>
      <c r="AL28" s="5"/>
      <c r="AM28" s="5"/>
      <c r="AN28" s="5"/>
    </row>
    <row r="29" spans="1:40" x14ac:dyDescent="0.3">
      <c r="B29" s="5"/>
      <c r="C29" s="5"/>
      <c r="D29" s="5"/>
      <c r="E29" s="5"/>
      <c r="F29" s="5"/>
      <c r="G29" s="5"/>
      <c r="H29" s="5"/>
      <c r="I29" s="5"/>
      <c r="J29" s="5"/>
      <c r="K29" s="5"/>
      <c r="L29" s="5"/>
      <c r="M29" s="5"/>
      <c r="N29" s="5"/>
      <c r="O29" s="5"/>
      <c r="P29" s="5"/>
      <c r="Q29" s="5"/>
      <c r="R29" s="5"/>
      <c r="S29" s="5"/>
      <c r="T29" s="5"/>
      <c r="U29" s="5"/>
      <c r="V29" s="5"/>
      <c r="W29" s="5"/>
      <c r="X29" s="5"/>
      <c r="Y29" s="5"/>
      <c r="Z29" s="5"/>
      <c r="AA29" s="5"/>
      <c r="AB29" s="5"/>
      <c r="AC29" s="5"/>
      <c r="AD29" s="5"/>
      <c r="AE29" s="5"/>
      <c r="AF29" s="5"/>
      <c r="AG29" s="5"/>
      <c r="AH29" s="5"/>
      <c r="AI29" s="5"/>
      <c r="AJ29" s="5"/>
      <c r="AK29" s="5"/>
      <c r="AL29" s="5"/>
      <c r="AM29" s="5"/>
      <c r="AN29" s="5"/>
    </row>
    <row r="30" spans="1:40" x14ac:dyDescent="0.3">
      <c r="B30" s="5"/>
      <c r="C30" s="5"/>
      <c r="D30" s="5"/>
      <c r="E30" s="5"/>
      <c r="F30" s="5"/>
      <c r="G30" s="5"/>
      <c r="H30" s="5"/>
      <c r="I30" s="5"/>
      <c r="J30" s="5"/>
      <c r="K30" s="5"/>
      <c r="L30" s="5"/>
      <c r="M30" s="5"/>
      <c r="N30" s="5"/>
      <c r="O30" s="5"/>
      <c r="P30" s="5"/>
      <c r="Q30" s="5"/>
      <c r="R30" s="5"/>
      <c r="S30" s="5"/>
      <c r="T30" s="5"/>
      <c r="U30" s="5"/>
      <c r="V30" s="5"/>
      <c r="W30" s="5"/>
      <c r="X30" s="5"/>
      <c r="Y30" s="5"/>
      <c r="Z30" s="5"/>
      <c r="AA30" s="5"/>
      <c r="AB30" s="5"/>
      <c r="AC30" s="5"/>
      <c r="AD30" s="5"/>
      <c r="AE30" s="5"/>
      <c r="AF30" s="5"/>
      <c r="AG30" s="5"/>
      <c r="AH30" s="5"/>
      <c r="AI30" s="5"/>
      <c r="AJ30" s="5"/>
      <c r="AK30" s="5"/>
      <c r="AL30" s="5"/>
      <c r="AM30" s="5"/>
      <c r="AN30" s="5"/>
    </row>
    <row r="31" spans="1:40" x14ac:dyDescent="0.3">
      <c r="B31" s="5"/>
      <c r="C31" s="5"/>
      <c r="D31" s="5"/>
      <c r="E31" s="5"/>
      <c r="F31" s="5"/>
      <c r="G31" s="5"/>
      <c r="H31" s="5"/>
      <c r="I31" s="5"/>
      <c r="J31" s="5"/>
      <c r="K31" s="5"/>
      <c r="L31" s="5"/>
      <c r="M31" s="5"/>
      <c r="N31" s="5"/>
      <c r="O31" s="5"/>
      <c r="P31" s="5"/>
      <c r="Q31" s="5"/>
      <c r="R31" s="5"/>
      <c r="S31" s="5"/>
      <c r="T31" s="5"/>
      <c r="U31" s="5"/>
      <c r="V31" s="5"/>
      <c r="W31" s="5"/>
      <c r="X31" s="5"/>
      <c r="Y31" s="5"/>
      <c r="Z31" s="5"/>
      <c r="AA31" s="5"/>
      <c r="AB31" s="5"/>
      <c r="AC31" s="5"/>
      <c r="AD31" s="5"/>
      <c r="AE31" s="5"/>
      <c r="AF31" s="5"/>
      <c r="AG31" s="5"/>
      <c r="AH31" s="5"/>
      <c r="AI31" s="5"/>
      <c r="AJ31" s="5"/>
      <c r="AK31" s="5"/>
      <c r="AL31" s="5"/>
      <c r="AM31" s="5"/>
      <c r="AN31" s="5"/>
    </row>
    <row r="32" spans="1:40" x14ac:dyDescent="0.3">
      <c r="B32" s="5"/>
      <c r="C32" s="5"/>
      <c r="D32" s="5"/>
      <c r="E32" s="5"/>
      <c r="F32" s="5"/>
      <c r="G32" s="5"/>
      <c r="H32" s="5"/>
      <c r="I32" s="5"/>
      <c r="J32" s="5"/>
      <c r="K32" s="5"/>
      <c r="L32" s="5"/>
      <c r="M32" s="5"/>
      <c r="N32" s="5"/>
      <c r="O32" s="5"/>
      <c r="P32" s="5"/>
      <c r="Q32" s="5"/>
      <c r="R32" s="5"/>
      <c r="S32" s="5"/>
      <c r="T32" s="5"/>
      <c r="U32" s="5"/>
      <c r="V32" s="5"/>
      <c r="W32" s="5"/>
      <c r="X32" s="5"/>
      <c r="Y32" s="5"/>
      <c r="Z32" s="5"/>
      <c r="AA32" s="5"/>
      <c r="AB32" s="5"/>
      <c r="AC32" s="5"/>
      <c r="AD32" s="5"/>
      <c r="AE32" s="5"/>
      <c r="AF32" s="5"/>
      <c r="AG32" s="5"/>
      <c r="AH32" s="5"/>
      <c r="AI32" s="5"/>
      <c r="AJ32" s="5"/>
      <c r="AK32" s="5"/>
      <c r="AL32" s="5"/>
      <c r="AM32" s="5"/>
      <c r="AN32" s="5"/>
    </row>
    <row r="33" spans="2:40" x14ac:dyDescent="0.3">
      <c r="B33" s="5"/>
      <c r="C33" s="5"/>
      <c r="D33" s="5"/>
      <c r="E33" s="5"/>
      <c r="F33" s="5"/>
      <c r="G33" s="5"/>
      <c r="H33" s="5"/>
      <c r="I33" s="5"/>
      <c r="J33" s="5"/>
      <c r="K33" s="5"/>
      <c r="L33" s="5"/>
      <c r="M33" s="5"/>
      <c r="N33" s="5"/>
      <c r="O33" s="5"/>
      <c r="P33" s="5"/>
      <c r="Q33" s="5"/>
      <c r="R33" s="5"/>
      <c r="S33" s="5"/>
      <c r="T33" s="5"/>
      <c r="U33" s="5"/>
      <c r="V33" s="5"/>
      <c r="W33" s="5"/>
      <c r="X33" s="5"/>
      <c r="Y33" s="5"/>
      <c r="Z33" s="5"/>
      <c r="AA33" s="5"/>
      <c r="AB33" s="5"/>
      <c r="AC33" s="5"/>
      <c r="AD33" s="5"/>
      <c r="AE33" s="5"/>
      <c r="AF33" s="5"/>
      <c r="AG33" s="5"/>
      <c r="AH33" s="5"/>
      <c r="AI33" s="5"/>
      <c r="AJ33" s="5"/>
      <c r="AK33" s="5"/>
      <c r="AL33" s="5"/>
      <c r="AM33" s="5"/>
      <c r="AN33" s="5"/>
    </row>
    <row r="34" spans="2:40" x14ac:dyDescent="0.3">
      <c r="B34" s="5"/>
      <c r="C34" s="5"/>
      <c r="D34" s="5"/>
      <c r="E34" s="5"/>
      <c r="F34" s="5"/>
      <c r="G34" s="5"/>
      <c r="H34" s="5"/>
      <c r="I34" s="5"/>
      <c r="J34" s="5"/>
      <c r="K34" s="5"/>
      <c r="L34" s="5"/>
      <c r="M34" s="5"/>
      <c r="N34" s="5"/>
      <c r="O34" s="5"/>
      <c r="P34" s="5"/>
      <c r="Q34" s="5"/>
      <c r="R34" s="5"/>
      <c r="S34" s="5"/>
      <c r="T34" s="5"/>
      <c r="U34" s="5"/>
      <c r="V34" s="5"/>
      <c r="W34" s="5"/>
      <c r="X34" s="5"/>
      <c r="Y34" s="5"/>
      <c r="Z34" s="5"/>
      <c r="AA34" s="5"/>
      <c r="AB34" s="5"/>
      <c r="AC34" s="5"/>
      <c r="AD34" s="5"/>
      <c r="AE34" s="5"/>
      <c r="AF34" s="5"/>
      <c r="AG34" s="5"/>
      <c r="AH34" s="5"/>
      <c r="AI34" s="5"/>
      <c r="AJ34" s="5"/>
      <c r="AK34" s="5"/>
      <c r="AL34" s="5"/>
      <c r="AM34" s="5"/>
      <c r="AN34" s="5"/>
    </row>
    <row r="35" spans="2:40" x14ac:dyDescent="0.3">
      <c r="B35" s="5"/>
      <c r="C35" s="5"/>
      <c r="D35" s="5"/>
      <c r="E35" s="5"/>
      <c r="F35" s="5"/>
      <c r="G35" s="5"/>
      <c r="H35" s="5"/>
      <c r="I35" s="5"/>
      <c r="J35" s="5"/>
      <c r="K35" s="5"/>
      <c r="L35" s="5"/>
      <c r="M35" s="5"/>
      <c r="N35" s="5"/>
      <c r="O35" s="5"/>
      <c r="P35" s="5"/>
      <c r="Q35" s="5"/>
      <c r="R35" s="5"/>
      <c r="S35" s="5"/>
      <c r="T35" s="5"/>
      <c r="U35" s="5"/>
      <c r="V35" s="5"/>
      <c r="W35" s="5"/>
      <c r="X35" s="5"/>
      <c r="Y35" s="5"/>
      <c r="Z35" s="5"/>
      <c r="AA35" s="5"/>
      <c r="AB35" s="5"/>
      <c r="AC35" s="5"/>
      <c r="AD35" s="5"/>
      <c r="AE35" s="5"/>
      <c r="AF35" s="5"/>
      <c r="AG35" s="5"/>
      <c r="AH35" s="5"/>
      <c r="AI35" s="5"/>
      <c r="AJ35" s="5"/>
      <c r="AK35" s="5"/>
      <c r="AL35" s="5"/>
      <c r="AM35" s="5"/>
      <c r="AN35" s="5"/>
    </row>
    <row r="36" spans="2:40" x14ac:dyDescent="0.3">
      <c r="B36" s="5"/>
      <c r="C36" s="5"/>
      <c r="D36" s="5"/>
      <c r="E36" s="5"/>
      <c r="F36" s="5"/>
      <c r="G36" s="5"/>
      <c r="H36" s="5"/>
      <c r="I36" s="5"/>
      <c r="J36" s="5"/>
      <c r="K36" s="5"/>
      <c r="L36" s="5"/>
      <c r="M36" s="5"/>
      <c r="N36" s="5"/>
      <c r="O36" s="5"/>
      <c r="P36" s="5"/>
      <c r="Q36" s="5"/>
      <c r="R36" s="5"/>
      <c r="S36" s="5"/>
      <c r="T36" s="5"/>
      <c r="U36" s="5"/>
      <c r="V36" s="5"/>
      <c r="W36" s="5"/>
      <c r="X36" s="5"/>
      <c r="Y36" s="5"/>
      <c r="Z36" s="5"/>
      <c r="AA36" s="5"/>
      <c r="AB36" s="5"/>
      <c r="AC36" s="5"/>
      <c r="AD36" s="5"/>
      <c r="AE36" s="5"/>
      <c r="AF36" s="5"/>
      <c r="AG36" s="5"/>
      <c r="AH36" s="5"/>
      <c r="AI36" s="5"/>
      <c r="AJ36" s="5"/>
      <c r="AK36" s="5"/>
      <c r="AL36" s="5"/>
      <c r="AM36" s="5"/>
      <c r="AN36" s="5"/>
    </row>
    <row r="37" spans="2:40" x14ac:dyDescent="0.3">
      <c r="B37" s="5"/>
      <c r="C37" s="5"/>
      <c r="D37" s="5"/>
      <c r="E37" s="5"/>
      <c r="F37" s="5"/>
      <c r="G37" s="5"/>
      <c r="H37" s="5"/>
      <c r="I37" s="5"/>
      <c r="J37" s="5"/>
      <c r="K37" s="5"/>
      <c r="L37" s="5"/>
      <c r="M37" s="5"/>
      <c r="N37" s="5"/>
      <c r="O37" s="5"/>
      <c r="P37" s="5"/>
      <c r="Q37" s="5"/>
      <c r="R37" s="5"/>
      <c r="S37" s="5"/>
      <c r="T37" s="5"/>
      <c r="U37" s="5"/>
      <c r="V37" s="5"/>
      <c r="W37" s="5"/>
      <c r="X37" s="5"/>
      <c r="Y37" s="5"/>
      <c r="Z37" s="5"/>
      <c r="AA37" s="5"/>
      <c r="AB37" s="5"/>
      <c r="AC37" s="5"/>
      <c r="AD37" s="5"/>
      <c r="AE37" s="5"/>
      <c r="AF37" s="5"/>
      <c r="AG37" s="5"/>
      <c r="AH37" s="5"/>
      <c r="AI37" s="5"/>
      <c r="AJ37" s="5"/>
      <c r="AK37" s="5"/>
      <c r="AL37" s="5"/>
      <c r="AM37" s="5"/>
      <c r="AN37" s="5"/>
    </row>
    <row r="38" spans="2:40" x14ac:dyDescent="0.3">
      <c r="B38" s="5"/>
      <c r="C38" s="5"/>
      <c r="D38" s="5"/>
      <c r="E38" s="5"/>
      <c r="F38" s="5"/>
      <c r="G38" s="5"/>
      <c r="H38" s="5"/>
      <c r="I38" s="5"/>
      <c r="J38" s="5"/>
      <c r="K38" s="5"/>
      <c r="L38" s="5"/>
      <c r="M38" s="5"/>
      <c r="N38" s="5"/>
      <c r="O38" s="5"/>
      <c r="P38" s="5"/>
      <c r="Q38" s="5"/>
      <c r="R38" s="5"/>
      <c r="S38" s="5"/>
      <c r="T38" s="5"/>
      <c r="U38" s="5"/>
      <c r="V38" s="5"/>
      <c r="W38" s="5"/>
      <c r="X38" s="5"/>
      <c r="Y38" s="5"/>
      <c r="Z38" s="5"/>
      <c r="AA38" s="5"/>
      <c r="AB38" s="5"/>
      <c r="AC38" s="5"/>
      <c r="AD38" s="5"/>
      <c r="AE38" s="5"/>
      <c r="AF38" s="5"/>
      <c r="AG38" s="5"/>
      <c r="AH38" s="5"/>
      <c r="AI38" s="5"/>
      <c r="AJ38" s="5"/>
      <c r="AK38" s="5"/>
      <c r="AL38" s="5"/>
      <c r="AM38" s="5"/>
      <c r="AN38" s="5"/>
    </row>
    <row r="39" spans="2:40" x14ac:dyDescent="0.3">
      <c r="B39" s="5"/>
      <c r="C39" s="5"/>
      <c r="D39" s="5"/>
      <c r="E39" s="5"/>
      <c r="F39" s="5"/>
      <c r="G39" s="5"/>
      <c r="H39" s="5"/>
      <c r="I39" s="5"/>
      <c r="J39" s="5"/>
      <c r="K39" s="5"/>
      <c r="L39" s="5"/>
      <c r="M39" s="5"/>
      <c r="N39" s="5"/>
      <c r="O39" s="5"/>
      <c r="P39" s="5"/>
      <c r="Q39" s="5"/>
      <c r="R39" s="5"/>
      <c r="S39" s="5"/>
      <c r="T39" s="5"/>
      <c r="U39" s="5"/>
      <c r="V39" s="5"/>
      <c r="W39" s="5"/>
      <c r="X39" s="5"/>
      <c r="Y39" s="5"/>
      <c r="Z39" s="5"/>
      <c r="AA39" s="5"/>
      <c r="AB39" s="5"/>
      <c r="AC39" s="5"/>
      <c r="AD39" s="5"/>
      <c r="AE39" s="5"/>
      <c r="AF39" s="5"/>
      <c r="AG39" s="5"/>
      <c r="AH39" s="5"/>
      <c r="AI39" s="5"/>
      <c r="AJ39" s="5"/>
      <c r="AK39" s="5"/>
      <c r="AL39" s="5"/>
      <c r="AM39" s="5"/>
      <c r="AN39" s="5"/>
    </row>
    <row r="40" spans="2:40" x14ac:dyDescent="0.3">
      <c r="B40" s="5"/>
      <c r="C40" s="5"/>
      <c r="D40" s="5"/>
      <c r="E40" s="5"/>
      <c r="F40" s="5"/>
      <c r="G40" s="5"/>
      <c r="H40" s="5"/>
      <c r="I40" s="5"/>
      <c r="J40" s="5"/>
      <c r="K40" s="5"/>
      <c r="L40" s="5"/>
      <c r="M40" s="5"/>
      <c r="N40" s="5"/>
      <c r="O40" s="5"/>
      <c r="P40" s="5"/>
      <c r="Q40" s="5"/>
      <c r="R40" s="5"/>
      <c r="S40" s="5"/>
      <c r="T40" s="5"/>
      <c r="U40" s="5"/>
      <c r="V40" s="5"/>
      <c r="W40" s="5"/>
      <c r="X40" s="5"/>
      <c r="Y40" s="5"/>
      <c r="Z40" s="5"/>
      <c r="AA40" s="5"/>
      <c r="AB40" s="5"/>
      <c r="AC40" s="5"/>
      <c r="AD40" s="5"/>
      <c r="AE40" s="5"/>
      <c r="AF40" s="5"/>
      <c r="AG40" s="5"/>
      <c r="AH40" s="5"/>
      <c r="AI40" s="5"/>
      <c r="AJ40" s="5"/>
      <c r="AK40" s="5"/>
      <c r="AL40" s="5"/>
      <c r="AM40" s="5"/>
      <c r="AN40" s="5"/>
    </row>
    <row r="41" spans="2:40" x14ac:dyDescent="0.3">
      <c r="B41" s="5"/>
      <c r="C41" s="5"/>
      <c r="D41" s="5"/>
      <c r="E41" s="5"/>
      <c r="F41" s="5"/>
      <c r="G41" s="5"/>
      <c r="H41" s="5"/>
      <c r="I41" s="5"/>
      <c r="J41" s="5"/>
      <c r="K41" s="5"/>
      <c r="L41" s="5"/>
      <c r="M41" s="5"/>
      <c r="N41" s="5"/>
      <c r="O41" s="5"/>
      <c r="P41" s="5"/>
      <c r="Q41" s="5"/>
      <c r="R41" s="5"/>
      <c r="S41" s="5"/>
      <c r="T41" s="5"/>
      <c r="U41" s="5"/>
      <c r="V41" s="5"/>
      <c r="W41" s="5"/>
      <c r="X41" s="5"/>
      <c r="Y41" s="5"/>
      <c r="Z41" s="5"/>
      <c r="AA41" s="5"/>
      <c r="AB41" s="5"/>
      <c r="AC41" s="5"/>
      <c r="AD41" s="5"/>
      <c r="AE41" s="5"/>
      <c r="AF41" s="5"/>
      <c r="AG41" s="5"/>
      <c r="AH41" s="5"/>
      <c r="AI41" s="5"/>
      <c r="AJ41" s="5"/>
      <c r="AK41" s="5"/>
      <c r="AL41" s="5"/>
      <c r="AM41" s="5"/>
      <c r="AN41" s="5"/>
    </row>
    <row r="42" spans="2:40" x14ac:dyDescent="0.3">
      <c r="B42" s="5"/>
      <c r="C42" s="5"/>
      <c r="D42" s="5"/>
      <c r="E42" s="5"/>
      <c r="F42" s="5"/>
      <c r="G42" s="5"/>
      <c r="H42" s="5"/>
      <c r="I42" s="5"/>
      <c r="J42" s="5"/>
      <c r="K42" s="5"/>
      <c r="L42" s="5"/>
      <c r="M42" s="5"/>
      <c r="N42" s="5"/>
      <c r="O42" s="5"/>
      <c r="P42" s="5"/>
      <c r="Q42" s="5"/>
      <c r="R42" s="5"/>
      <c r="S42" s="5"/>
      <c r="T42" s="5"/>
      <c r="U42" s="5"/>
      <c r="V42" s="5"/>
      <c r="W42" s="5"/>
      <c r="X42" s="5"/>
      <c r="Y42" s="5"/>
      <c r="Z42" s="5"/>
      <c r="AA42" s="5"/>
      <c r="AB42" s="5"/>
      <c r="AC42" s="5"/>
      <c r="AD42" s="5"/>
      <c r="AE42" s="5"/>
      <c r="AF42" s="5"/>
      <c r="AG42" s="5"/>
      <c r="AH42" s="5"/>
      <c r="AI42" s="5"/>
      <c r="AJ42" s="5"/>
      <c r="AK42" s="5"/>
      <c r="AL42" s="5"/>
      <c r="AM42" s="5"/>
      <c r="AN42" s="5"/>
    </row>
    <row r="43" spans="2:40" x14ac:dyDescent="0.3">
      <c r="B43" s="5"/>
      <c r="C43" s="5"/>
      <c r="D43" s="5"/>
      <c r="E43" s="5"/>
      <c r="F43" s="5"/>
      <c r="G43" s="5"/>
      <c r="H43" s="5"/>
      <c r="I43" s="5"/>
      <c r="J43" s="5"/>
      <c r="K43" s="5"/>
      <c r="L43" s="5"/>
      <c r="M43" s="5"/>
      <c r="N43" s="5"/>
      <c r="O43" s="5"/>
      <c r="P43" s="5"/>
      <c r="Q43" s="5"/>
      <c r="R43" s="5"/>
      <c r="S43" s="5"/>
      <c r="T43" s="5"/>
      <c r="U43" s="5"/>
      <c r="V43" s="5"/>
      <c r="W43" s="5"/>
      <c r="X43" s="5"/>
      <c r="Y43" s="5"/>
      <c r="Z43" s="5"/>
      <c r="AA43" s="5"/>
      <c r="AB43" s="5"/>
      <c r="AC43" s="5"/>
      <c r="AD43" s="5"/>
      <c r="AE43" s="5"/>
      <c r="AF43" s="5"/>
      <c r="AG43" s="5"/>
      <c r="AH43" s="5"/>
      <c r="AI43" s="5"/>
      <c r="AJ43" s="5"/>
      <c r="AK43" s="5"/>
      <c r="AL43" s="5"/>
      <c r="AM43" s="5"/>
      <c r="AN43" s="5"/>
    </row>
    <row r="44" spans="2:40" x14ac:dyDescent="0.3">
      <c r="B44" s="5"/>
      <c r="C44" s="5"/>
      <c r="D44" s="5"/>
      <c r="E44" s="5"/>
      <c r="F44" s="5"/>
      <c r="G44" s="5"/>
      <c r="H44" s="5"/>
      <c r="I44" s="5"/>
      <c r="J44" s="5"/>
      <c r="K44" s="5"/>
      <c r="L44" s="5"/>
      <c r="M44" s="5"/>
      <c r="N44" s="5"/>
      <c r="O44" s="5"/>
      <c r="P44" s="5"/>
      <c r="Q44" s="5"/>
      <c r="R44" s="5"/>
      <c r="S44" s="5"/>
      <c r="T44" s="5"/>
      <c r="U44" s="5"/>
      <c r="V44" s="5"/>
      <c r="W44" s="5"/>
      <c r="X44" s="5"/>
      <c r="Y44" s="5"/>
      <c r="Z44" s="5"/>
      <c r="AA44" s="5"/>
      <c r="AB44" s="5"/>
      <c r="AC44" s="5"/>
      <c r="AD44" s="5"/>
      <c r="AE44" s="5"/>
      <c r="AF44" s="5"/>
      <c r="AG44" s="5"/>
      <c r="AH44" s="5"/>
      <c r="AI44" s="5"/>
      <c r="AJ44" s="5"/>
      <c r="AK44" s="5"/>
      <c r="AL44" s="5"/>
      <c r="AM44" s="5"/>
      <c r="AN44" s="5"/>
    </row>
    <row r="45" spans="2:40" x14ac:dyDescent="0.3">
      <c r="B45" s="5"/>
      <c r="C45" s="5"/>
      <c r="D45" s="5"/>
      <c r="E45" s="5"/>
      <c r="F45" s="5"/>
      <c r="G45" s="5"/>
      <c r="H45" s="5"/>
      <c r="I45" s="5"/>
      <c r="J45" s="5"/>
      <c r="K45" s="5"/>
      <c r="L45" s="5"/>
      <c r="M45" s="5"/>
      <c r="N45" s="5"/>
      <c r="O45" s="5"/>
      <c r="P45" s="5"/>
      <c r="Q45" s="5"/>
      <c r="R45" s="5"/>
      <c r="S45" s="5"/>
      <c r="T45" s="5"/>
      <c r="U45" s="5"/>
      <c r="V45" s="5"/>
      <c r="W45" s="5"/>
      <c r="X45" s="5"/>
      <c r="Y45" s="5"/>
      <c r="Z45" s="5"/>
      <c r="AA45" s="5"/>
      <c r="AB45" s="5"/>
      <c r="AC45" s="5"/>
      <c r="AD45" s="5"/>
      <c r="AE45" s="5"/>
      <c r="AF45" s="5"/>
      <c r="AG45" s="5"/>
      <c r="AH45" s="5"/>
      <c r="AI45" s="5"/>
      <c r="AJ45" s="5"/>
      <c r="AK45" s="5"/>
      <c r="AL45" s="5"/>
      <c r="AM45" s="5"/>
      <c r="AN45" s="5"/>
    </row>
    <row r="46" spans="2:40" x14ac:dyDescent="0.3">
      <c r="B46" s="5"/>
      <c r="C46" s="5"/>
      <c r="D46" s="5"/>
      <c r="E46" s="5"/>
      <c r="F46" s="5"/>
      <c r="G46" s="5"/>
      <c r="H46" s="5"/>
      <c r="I46" s="5"/>
      <c r="J46" s="5"/>
      <c r="K46" s="5"/>
      <c r="L46" s="5"/>
      <c r="M46" s="5"/>
      <c r="N46" s="5"/>
      <c r="O46" s="5"/>
      <c r="P46" s="5"/>
      <c r="Q46" s="5"/>
      <c r="R46" s="5"/>
      <c r="S46" s="5"/>
      <c r="T46" s="5"/>
      <c r="U46" s="5"/>
      <c r="V46" s="5"/>
      <c r="W46" s="5"/>
      <c r="X46" s="5"/>
      <c r="Y46" s="5"/>
      <c r="Z46" s="5"/>
      <c r="AA46" s="5"/>
      <c r="AB46" s="5"/>
      <c r="AC46" s="5"/>
      <c r="AD46" s="5"/>
      <c r="AE46" s="5"/>
      <c r="AF46" s="5"/>
      <c r="AG46" s="5"/>
      <c r="AH46" s="5"/>
      <c r="AI46" s="5"/>
      <c r="AJ46" s="5"/>
      <c r="AK46" s="5"/>
      <c r="AL46" s="5"/>
      <c r="AM46" s="5"/>
      <c r="AN46" s="5"/>
    </row>
    <row r="47" spans="2:40" x14ac:dyDescent="0.3">
      <c r="B47" s="5"/>
      <c r="C47" s="5"/>
      <c r="D47" s="5"/>
      <c r="E47" s="5"/>
      <c r="F47" s="5"/>
      <c r="G47" s="5"/>
      <c r="H47" s="5"/>
      <c r="I47" s="5"/>
      <c r="J47" s="5"/>
      <c r="K47" s="5"/>
      <c r="L47" s="5"/>
      <c r="M47" s="5"/>
      <c r="N47" s="5"/>
      <c r="O47" s="5"/>
      <c r="P47" s="5"/>
      <c r="Q47" s="5"/>
      <c r="R47" s="5"/>
      <c r="S47" s="5"/>
      <c r="T47" s="5"/>
      <c r="U47" s="5"/>
      <c r="V47" s="5"/>
      <c r="W47" s="5"/>
      <c r="X47" s="5"/>
      <c r="Y47" s="5"/>
      <c r="Z47" s="5"/>
      <c r="AA47" s="5"/>
      <c r="AB47" s="5"/>
      <c r="AC47" s="5"/>
      <c r="AD47" s="5"/>
      <c r="AE47" s="5"/>
      <c r="AF47" s="5"/>
      <c r="AG47" s="5"/>
      <c r="AH47" s="5"/>
      <c r="AI47" s="5"/>
      <c r="AJ47" s="5"/>
      <c r="AK47" s="5"/>
      <c r="AL47" s="5"/>
      <c r="AM47" s="5"/>
      <c r="AN47" s="5"/>
    </row>
    <row r="48" spans="2:40" x14ac:dyDescent="0.3">
      <c r="B48" s="5"/>
      <c r="C48" s="5"/>
      <c r="D48" s="5"/>
      <c r="E48" s="5"/>
      <c r="F48" s="5"/>
      <c r="G48" s="5"/>
      <c r="H48" s="5"/>
      <c r="I48" s="5"/>
      <c r="J48" s="5"/>
      <c r="K48" s="5"/>
      <c r="L48" s="5"/>
      <c r="M48" s="5"/>
      <c r="N48" s="5"/>
      <c r="O48" s="5"/>
      <c r="P48" s="5"/>
      <c r="Q48" s="5"/>
      <c r="R48" s="5"/>
      <c r="S48" s="5"/>
      <c r="T48" s="5"/>
      <c r="U48" s="5"/>
      <c r="V48" s="5"/>
      <c r="W48" s="5"/>
      <c r="X48" s="5"/>
      <c r="Y48" s="5"/>
      <c r="Z48" s="5"/>
      <c r="AA48" s="5"/>
      <c r="AB48" s="5"/>
      <c r="AC48" s="5"/>
      <c r="AD48" s="5"/>
      <c r="AE48" s="5"/>
      <c r="AF48" s="5"/>
      <c r="AG48" s="5"/>
      <c r="AH48" s="5"/>
      <c r="AI48" s="5"/>
      <c r="AJ48" s="5"/>
      <c r="AK48" s="5"/>
      <c r="AL48" s="5"/>
      <c r="AM48" s="5"/>
      <c r="AN48" s="5"/>
    </row>
    <row r="49" spans="2:40" x14ac:dyDescent="0.3">
      <c r="B49" s="5"/>
      <c r="C49" s="5"/>
      <c r="D49" s="5"/>
      <c r="E49" s="5"/>
      <c r="F49" s="5"/>
      <c r="G49" s="5"/>
      <c r="H49" s="5"/>
      <c r="I49" s="5"/>
      <c r="J49" s="5"/>
      <c r="K49" s="5"/>
      <c r="L49" s="5"/>
      <c r="M49" s="5"/>
      <c r="N49" s="5"/>
      <c r="O49" s="5"/>
      <c r="P49" s="5"/>
      <c r="Q49" s="5"/>
      <c r="R49" s="5"/>
      <c r="S49" s="5"/>
      <c r="T49" s="5"/>
      <c r="U49" s="5"/>
      <c r="V49" s="5"/>
      <c r="W49" s="5"/>
      <c r="X49" s="5"/>
      <c r="Y49" s="5"/>
      <c r="Z49" s="5"/>
      <c r="AA49" s="5"/>
      <c r="AB49" s="5"/>
      <c r="AC49" s="5"/>
      <c r="AD49" s="5"/>
      <c r="AE49" s="5"/>
      <c r="AF49" s="5"/>
      <c r="AG49" s="5"/>
      <c r="AH49" s="5"/>
      <c r="AI49" s="5"/>
      <c r="AJ49" s="5"/>
      <c r="AK49" s="5"/>
      <c r="AL49" s="5"/>
      <c r="AM49" s="5"/>
      <c r="AN49" s="5"/>
    </row>
    <row r="50" spans="2:40" x14ac:dyDescent="0.3">
      <c r="B50" s="5"/>
      <c r="C50" s="5"/>
      <c r="D50" s="5"/>
      <c r="E50" s="5"/>
      <c r="F50" s="5"/>
      <c r="G50" s="5"/>
      <c r="H50" s="5"/>
      <c r="I50" s="5"/>
      <c r="J50" s="5"/>
      <c r="K50" s="5"/>
      <c r="L50" s="5"/>
      <c r="M50" s="5"/>
      <c r="N50" s="5"/>
      <c r="O50" s="5"/>
      <c r="P50" s="5"/>
      <c r="Q50" s="5"/>
      <c r="R50" s="5"/>
      <c r="S50" s="5"/>
      <c r="T50" s="5"/>
      <c r="U50" s="5"/>
      <c r="V50" s="5"/>
      <c r="W50" s="5"/>
      <c r="X50" s="5"/>
      <c r="Y50" s="5"/>
      <c r="Z50" s="5"/>
      <c r="AA50" s="5"/>
      <c r="AB50" s="5"/>
      <c r="AC50" s="5"/>
      <c r="AD50" s="5"/>
      <c r="AE50" s="5"/>
      <c r="AF50" s="5"/>
      <c r="AG50" s="5"/>
      <c r="AH50" s="5"/>
      <c r="AI50" s="5"/>
      <c r="AJ50" s="5"/>
      <c r="AK50" s="5"/>
      <c r="AL50" s="5"/>
      <c r="AM50" s="5"/>
      <c r="AN50" s="5"/>
    </row>
    <row r="51" spans="2:40" x14ac:dyDescent="0.3">
      <c r="B51" s="5"/>
      <c r="C51" s="5"/>
      <c r="D51" s="5"/>
      <c r="E51" s="5"/>
      <c r="F51" s="5"/>
      <c r="G51" s="5"/>
      <c r="H51" s="5"/>
      <c r="I51" s="5"/>
      <c r="J51" s="5"/>
      <c r="K51" s="5"/>
      <c r="L51" s="5"/>
      <c r="M51" s="5"/>
      <c r="N51" s="5"/>
      <c r="O51" s="5"/>
      <c r="P51" s="5"/>
      <c r="Q51" s="5"/>
      <c r="R51" s="5"/>
      <c r="S51" s="5"/>
      <c r="T51" s="5"/>
      <c r="U51" s="5"/>
      <c r="V51" s="5"/>
      <c r="W51" s="5"/>
      <c r="X51" s="5"/>
      <c r="Y51" s="5"/>
      <c r="Z51" s="5"/>
      <c r="AA51" s="5"/>
      <c r="AB51" s="5"/>
      <c r="AC51" s="5"/>
      <c r="AD51" s="5"/>
      <c r="AE51" s="5"/>
      <c r="AF51" s="5"/>
      <c r="AG51" s="5"/>
      <c r="AH51" s="5"/>
      <c r="AI51" s="5"/>
      <c r="AJ51" s="5"/>
      <c r="AK51" s="5"/>
      <c r="AL51" s="5"/>
      <c r="AM51" s="5"/>
      <c r="AN51" s="5"/>
    </row>
    <row r="52" spans="2:40" x14ac:dyDescent="0.3">
      <c r="B52" s="5"/>
      <c r="C52" s="5"/>
      <c r="D52" s="5"/>
      <c r="E52" s="5"/>
      <c r="F52" s="5"/>
      <c r="G52" s="5"/>
      <c r="H52" s="5"/>
      <c r="I52" s="5"/>
      <c r="J52" s="5"/>
      <c r="K52" s="5"/>
      <c r="L52" s="5"/>
      <c r="M52" s="5"/>
      <c r="N52" s="5"/>
      <c r="O52" s="5"/>
      <c r="P52" s="5"/>
      <c r="Q52" s="5"/>
      <c r="R52" s="5"/>
      <c r="S52" s="5"/>
      <c r="T52" s="5"/>
      <c r="U52" s="5"/>
      <c r="V52" s="5"/>
      <c r="W52" s="5"/>
      <c r="X52" s="5"/>
      <c r="Y52" s="5"/>
      <c r="Z52" s="5"/>
      <c r="AA52" s="5"/>
      <c r="AB52" s="5"/>
      <c r="AC52" s="5"/>
      <c r="AD52" s="5"/>
      <c r="AE52" s="5"/>
      <c r="AF52" s="5"/>
      <c r="AG52" s="5"/>
      <c r="AH52" s="5"/>
      <c r="AI52" s="5"/>
      <c r="AJ52" s="5"/>
      <c r="AK52" s="5"/>
      <c r="AL52" s="5"/>
      <c r="AM52" s="5"/>
      <c r="AN52" s="5"/>
    </row>
    <row r="53" spans="2:40" x14ac:dyDescent="0.3">
      <c r="B53" s="5"/>
      <c r="C53" s="5"/>
      <c r="D53" s="5"/>
      <c r="E53" s="5"/>
      <c r="F53" s="5"/>
      <c r="G53" s="5"/>
      <c r="H53" s="5"/>
      <c r="I53" s="5"/>
      <c r="J53" s="5"/>
      <c r="K53" s="5"/>
      <c r="L53" s="5"/>
      <c r="M53" s="5"/>
      <c r="N53" s="5"/>
      <c r="O53" s="5"/>
      <c r="P53" s="5"/>
      <c r="Q53" s="5"/>
      <c r="R53" s="5"/>
      <c r="S53" s="5"/>
      <c r="T53" s="5"/>
      <c r="U53" s="5"/>
      <c r="V53" s="5"/>
      <c r="W53" s="5"/>
      <c r="X53" s="5"/>
      <c r="Y53" s="5"/>
      <c r="Z53" s="5"/>
      <c r="AA53" s="5"/>
      <c r="AB53" s="5"/>
      <c r="AC53" s="5"/>
      <c r="AD53" s="5"/>
      <c r="AE53" s="5"/>
      <c r="AF53" s="5"/>
      <c r="AG53" s="5"/>
      <c r="AH53" s="5"/>
      <c r="AI53" s="5"/>
      <c r="AJ53" s="5"/>
      <c r="AK53" s="5"/>
      <c r="AL53" s="5"/>
      <c r="AM53" s="5"/>
      <c r="AN53" s="5"/>
    </row>
    <row r="54" spans="2:40" x14ac:dyDescent="0.3">
      <c r="B54" s="5"/>
      <c r="C54" s="5"/>
      <c r="D54" s="5"/>
      <c r="E54" s="5"/>
      <c r="F54" s="5"/>
      <c r="G54" s="5"/>
      <c r="H54" s="5"/>
      <c r="I54" s="5"/>
      <c r="J54" s="5"/>
      <c r="K54" s="5"/>
      <c r="L54" s="5"/>
      <c r="M54" s="5"/>
      <c r="N54" s="5"/>
      <c r="O54" s="5"/>
      <c r="P54" s="5"/>
      <c r="Q54" s="5"/>
      <c r="R54" s="5"/>
      <c r="S54" s="5"/>
      <c r="T54" s="5"/>
      <c r="U54" s="5"/>
      <c r="V54" s="5"/>
      <c r="W54" s="5"/>
      <c r="X54" s="5"/>
      <c r="Y54" s="5"/>
      <c r="Z54" s="5"/>
      <c r="AA54" s="5"/>
      <c r="AB54" s="5"/>
      <c r="AC54" s="5"/>
      <c r="AD54" s="5"/>
      <c r="AE54" s="5"/>
      <c r="AF54" s="5"/>
      <c r="AG54" s="5"/>
      <c r="AH54" s="5"/>
      <c r="AI54" s="5"/>
      <c r="AJ54" s="5"/>
      <c r="AK54" s="5"/>
      <c r="AL54" s="5"/>
      <c r="AM54" s="5"/>
      <c r="AN54" s="5"/>
    </row>
    <row r="55" spans="2:40" x14ac:dyDescent="0.3">
      <c r="B55" s="5"/>
      <c r="C55" s="5"/>
      <c r="D55" s="5"/>
      <c r="E55" s="5"/>
      <c r="F55" s="5"/>
      <c r="G55" s="5"/>
      <c r="H55" s="5"/>
      <c r="I55" s="5"/>
      <c r="J55" s="5"/>
      <c r="K55" s="5"/>
      <c r="L55" s="5"/>
      <c r="M55" s="5"/>
      <c r="N55" s="5"/>
      <c r="O55" s="5"/>
      <c r="P55" s="5"/>
      <c r="Q55" s="5"/>
      <c r="R55" s="5"/>
      <c r="S55" s="5"/>
      <c r="T55" s="5"/>
      <c r="U55" s="5"/>
      <c r="V55" s="5"/>
      <c r="W55" s="5"/>
      <c r="X55" s="5"/>
      <c r="Y55" s="5"/>
      <c r="Z55" s="5"/>
      <c r="AA55" s="5"/>
      <c r="AB55" s="5"/>
      <c r="AC55" s="5"/>
      <c r="AD55" s="5"/>
      <c r="AE55" s="5"/>
      <c r="AF55" s="5"/>
      <c r="AG55" s="5"/>
      <c r="AH55" s="5"/>
      <c r="AI55" s="5"/>
      <c r="AJ55" s="5"/>
      <c r="AK55" s="5"/>
      <c r="AL55" s="5"/>
      <c r="AM55" s="5"/>
      <c r="AN55" s="5"/>
    </row>
    <row r="56" spans="2:40" x14ac:dyDescent="0.3">
      <c r="B56" s="5"/>
      <c r="C56" s="5"/>
      <c r="D56" s="5"/>
      <c r="E56" s="5"/>
      <c r="F56" s="5"/>
      <c r="G56" s="5"/>
      <c r="H56" s="5"/>
      <c r="I56" s="5"/>
      <c r="J56" s="5"/>
      <c r="K56" s="5"/>
      <c r="L56" s="5"/>
      <c r="M56" s="5"/>
      <c r="N56" s="5"/>
      <c r="O56" s="5"/>
      <c r="P56" s="5"/>
      <c r="Q56" s="5"/>
      <c r="R56" s="5"/>
      <c r="S56" s="5"/>
      <c r="T56" s="5"/>
      <c r="U56" s="5"/>
      <c r="V56" s="5"/>
      <c r="W56" s="5"/>
      <c r="X56" s="5"/>
      <c r="Y56" s="5"/>
      <c r="Z56" s="5"/>
      <c r="AA56" s="5"/>
      <c r="AB56" s="5"/>
      <c r="AC56" s="5"/>
      <c r="AD56" s="5"/>
      <c r="AE56" s="5"/>
      <c r="AF56" s="5"/>
      <c r="AG56" s="5"/>
      <c r="AH56" s="5"/>
      <c r="AI56" s="5"/>
      <c r="AJ56" s="5"/>
      <c r="AK56" s="5"/>
      <c r="AL56" s="5"/>
      <c r="AM56" s="5"/>
      <c r="AN56" s="5"/>
    </row>
    <row r="57" spans="2:40" x14ac:dyDescent="0.3">
      <c r="B57" s="5"/>
      <c r="C57" s="5"/>
      <c r="D57" s="5"/>
      <c r="E57" s="5"/>
      <c r="F57" s="5"/>
      <c r="G57" s="5"/>
      <c r="H57" s="5"/>
      <c r="I57" s="5"/>
      <c r="J57" s="5"/>
      <c r="K57" s="5"/>
      <c r="L57" s="5"/>
      <c r="M57" s="5"/>
      <c r="N57" s="5"/>
      <c r="O57" s="5"/>
      <c r="P57" s="5"/>
      <c r="Q57" s="5"/>
      <c r="R57" s="5"/>
      <c r="S57" s="5"/>
      <c r="T57" s="5"/>
      <c r="U57" s="5"/>
      <c r="V57" s="5"/>
      <c r="W57" s="5"/>
      <c r="X57" s="5"/>
      <c r="Y57" s="5"/>
      <c r="Z57" s="5"/>
      <c r="AA57" s="5"/>
      <c r="AB57" s="5"/>
      <c r="AC57" s="5"/>
      <c r="AD57" s="5"/>
      <c r="AE57" s="5"/>
      <c r="AF57" s="5"/>
      <c r="AG57" s="5"/>
      <c r="AH57" s="5"/>
      <c r="AI57" s="5"/>
      <c r="AJ57" s="5"/>
      <c r="AK57" s="5"/>
      <c r="AL57" s="5"/>
      <c r="AM57" s="5"/>
      <c r="AN57" s="5"/>
    </row>
    <row r="58" spans="2:40" x14ac:dyDescent="0.3">
      <c r="B58" s="5"/>
      <c r="C58" s="5"/>
      <c r="D58" s="5"/>
      <c r="E58" s="5"/>
      <c r="F58" s="5"/>
      <c r="G58" s="5"/>
      <c r="H58" s="5"/>
      <c r="I58" s="5"/>
      <c r="J58" s="5"/>
      <c r="K58" s="5"/>
      <c r="L58" s="5"/>
      <c r="M58" s="5"/>
      <c r="N58" s="5"/>
      <c r="O58" s="5"/>
      <c r="P58" s="5"/>
      <c r="Q58" s="5"/>
      <c r="R58" s="5"/>
      <c r="S58" s="5"/>
      <c r="T58" s="5"/>
      <c r="U58" s="5"/>
      <c r="V58" s="5"/>
      <c r="W58" s="5"/>
      <c r="X58" s="5"/>
      <c r="Y58" s="5"/>
      <c r="Z58" s="5"/>
      <c r="AA58" s="5"/>
      <c r="AB58" s="5"/>
      <c r="AC58" s="5"/>
      <c r="AD58" s="5"/>
      <c r="AE58" s="5"/>
      <c r="AF58" s="5"/>
      <c r="AG58" s="5"/>
      <c r="AH58" s="5"/>
      <c r="AI58" s="5"/>
      <c r="AJ58" s="5"/>
      <c r="AK58" s="5"/>
      <c r="AL58" s="5"/>
      <c r="AM58" s="5"/>
      <c r="AN58" s="5"/>
    </row>
    <row r="59" spans="2:40" x14ac:dyDescent="0.3">
      <c r="B59" s="5"/>
      <c r="C59" s="5"/>
      <c r="D59" s="5"/>
      <c r="E59" s="5"/>
      <c r="F59" s="5"/>
      <c r="G59" s="5"/>
      <c r="H59" s="5"/>
      <c r="I59" s="5"/>
      <c r="J59" s="5"/>
      <c r="K59" s="5"/>
      <c r="L59" s="5"/>
      <c r="M59" s="5"/>
      <c r="N59" s="5"/>
      <c r="O59" s="5"/>
      <c r="P59" s="5"/>
      <c r="Q59" s="5"/>
      <c r="R59" s="5"/>
      <c r="S59" s="5"/>
      <c r="T59" s="5"/>
      <c r="U59" s="5"/>
      <c r="V59" s="5"/>
      <c r="W59" s="5"/>
      <c r="X59" s="5"/>
      <c r="Y59" s="5"/>
      <c r="Z59" s="5"/>
      <c r="AA59" s="5"/>
      <c r="AB59" s="5"/>
      <c r="AC59" s="5"/>
      <c r="AD59" s="5"/>
      <c r="AE59" s="5"/>
      <c r="AF59" s="5"/>
      <c r="AG59" s="5"/>
      <c r="AH59" s="5"/>
      <c r="AI59" s="5"/>
      <c r="AJ59" s="5"/>
      <c r="AK59" s="5"/>
      <c r="AL59" s="5"/>
      <c r="AM59" s="5"/>
      <c r="AN59" s="5"/>
    </row>
    <row r="60" spans="2:40" x14ac:dyDescent="0.3">
      <c r="B60" s="5"/>
      <c r="C60" s="5"/>
      <c r="D60" s="5"/>
      <c r="E60" s="5"/>
      <c r="F60" s="5"/>
      <c r="G60" s="5"/>
      <c r="H60" s="5"/>
      <c r="I60" s="5"/>
      <c r="J60" s="5"/>
      <c r="K60" s="5"/>
      <c r="L60" s="5"/>
      <c r="M60" s="5"/>
      <c r="N60" s="5"/>
      <c r="O60" s="5"/>
      <c r="P60" s="5"/>
      <c r="Q60" s="5"/>
      <c r="R60" s="5"/>
      <c r="S60" s="5"/>
      <c r="T60" s="5"/>
      <c r="U60" s="5"/>
      <c r="V60" s="5"/>
      <c r="W60" s="5"/>
      <c r="X60" s="5"/>
      <c r="Y60" s="5"/>
      <c r="Z60" s="5"/>
      <c r="AA60" s="5"/>
      <c r="AB60" s="5"/>
      <c r="AC60" s="5"/>
      <c r="AD60" s="5"/>
      <c r="AE60" s="5"/>
      <c r="AF60" s="5"/>
      <c r="AG60" s="5"/>
      <c r="AH60" s="5"/>
      <c r="AI60" s="5"/>
      <c r="AJ60" s="5"/>
      <c r="AK60" s="5"/>
      <c r="AL60" s="5"/>
      <c r="AM60" s="5"/>
      <c r="AN60" s="5"/>
    </row>
    <row r="61" spans="2:40" x14ac:dyDescent="0.3">
      <c r="B61" s="5"/>
      <c r="C61" s="5"/>
      <c r="D61" s="5"/>
      <c r="E61" s="5"/>
      <c r="F61" s="5"/>
      <c r="G61" s="5"/>
      <c r="H61" s="5"/>
      <c r="I61" s="5"/>
      <c r="J61" s="5"/>
      <c r="K61" s="5"/>
      <c r="L61" s="5"/>
      <c r="M61" s="5"/>
      <c r="N61" s="5"/>
      <c r="O61" s="5"/>
      <c r="P61" s="5"/>
      <c r="Q61" s="5"/>
      <c r="R61" s="5"/>
      <c r="S61" s="5"/>
      <c r="T61" s="5"/>
      <c r="U61" s="5"/>
      <c r="V61" s="5"/>
      <c r="W61" s="5"/>
      <c r="X61" s="5"/>
      <c r="Y61" s="5"/>
      <c r="Z61" s="5"/>
      <c r="AA61" s="5"/>
      <c r="AB61" s="5"/>
      <c r="AC61" s="5"/>
      <c r="AD61" s="5"/>
      <c r="AE61" s="5"/>
      <c r="AF61" s="5"/>
      <c r="AG61" s="5"/>
      <c r="AH61" s="5"/>
      <c r="AI61" s="5"/>
      <c r="AJ61" s="5"/>
      <c r="AK61" s="5"/>
      <c r="AL61" s="5"/>
      <c r="AM61" s="5"/>
      <c r="AN61" s="5"/>
    </row>
    <row r="62" spans="2:40" x14ac:dyDescent="0.3">
      <c r="B62" s="5"/>
      <c r="C62" s="5"/>
      <c r="D62" s="5"/>
      <c r="E62" s="5"/>
      <c r="F62" s="5"/>
      <c r="G62" s="5"/>
      <c r="H62" s="5"/>
      <c r="I62" s="5"/>
      <c r="J62" s="5"/>
      <c r="K62" s="5"/>
      <c r="L62" s="5"/>
      <c r="M62" s="5"/>
      <c r="N62" s="5"/>
      <c r="O62" s="5"/>
      <c r="P62" s="5"/>
      <c r="Q62" s="5"/>
      <c r="R62" s="5"/>
      <c r="S62" s="5"/>
      <c r="T62" s="5"/>
      <c r="U62" s="5"/>
      <c r="V62" s="5"/>
      <c r="W62" s="5"/>
      <c r="X62" s="5"/>
      <c r="Y62" s="5"/>
      <c r="Z62" s="5"/>
      <c r="AA62" s="5"/>
      <c r="AB62" s="5"/>
      <c r="AC62" s="5"/>
      <c r="AD62" s="5"/>
      <c r="AE62" s="5"/>
      <c r="AF62" s="5"/>
      <c r="AG62" s="5"/>
      <c r="AH62" s="5"/>
      <c r="AI62" s="5"/>
      <c r="AJ62" s="5"/>
      <c r="AK62" s="5"/>
      <c r="AL62" s="5"/>
      <c r="AM62" s="5"/>
      <c r="AN62" s="5"/>
    </row>
    <row r="63" spans="2:40" x14ac:dyDescent="0.3">
      <c r="B63" s="5"/>
      <c r="C63" s="5"/>
      <c r="D63" s="5"/>
      <c r="E63" s="5"/>
      <c r="F63" s="5"/>
      <c r="G63" s="5"/>
      <c r="H63" s="5"/>
      <c r="I63" s="5"/>
      <c r="J63" s="5"/>
      <c r="K63" s="5"/>
      <c r="L63" s="5"/>
      <c r="M63" s="5"/>
      <c r="N63" s="5"/>
      <c r="O63" s="5"/>
      <c r="P63" s="5"/>
      <c r="Q63" s="5"/>
      <c r="R63" s="5"/>
      <c r="S63" s="5"/>
      <c r="T63" s="5"/>
      <c r="U63" s="5"/>
      <c r="V63" s="5"/>
      <c r="W63" s="5"/>
      <c r="X63" s="5"/>
      <c r="Y63" s="5"/>
      <c r="Z63" s="5"/>
      <c r="AA63" s="5"/>
      <c r="AB63" s="5"/>
      <c r="AC63" s="5"/>
      <c r="AD63" s="5"/>
      <c r="AE63" s="5"/>
      <c r="AF63" s="5"/>
      <c r="AG63" s="5"/>
      <c r="AH63" s="5"/>
      <c r="AI63" s="5"/>
      <c r="AJ63" s="5"/>
      <c r="AK63" s="5"/>
      <c r="AL63" s="5"/>
      <c r="AM63" s="5"/>
      <c r="AN63" s="5"/>
    </row>
    <row r="64" spans="2:40" x14ac:dyDescent="0.3">
      <c r="B64" s="5"/>
      <c r="C64" s="5"/>
      <c r="D64" s="5"/>
      <c r="E64" s="5"/>
      <c r="F64" s="5"/>
      <c r="G64" s="5"/>
      <c r="H64" s="5"/>
      <c r="I64" s="5"/>
      <c r="J64" s="5"/>
      <c r="K64" s="5"/>
      <c r="L64" s="5"/>
      <c r="M64" s="5"/>
      <c r="N64" s="5"/>
      <c r="O64" s="5"/>
      <c r="P64" s="5"/>
      <c r="Q64" s="5"/>
      <c r="R64" s="5"/>
      <c r="S64" s="5"/>
      <c r="T64" s="5"/>
      <c r="U64" s="5"/>
      <c r="V64" s="5"/>
      <c r="W64" s="5"/>
      <c r="X64" s="5"/>
      <c r="Y64" s="5"/>
      <c r="Z64" s="5"/>
      <c r="AA64" s="5"/>
      <c r="AB64" s="5"/>
      <c r="AC64" s="5"/>
      <c r="AD64" s="5"/>
      <c r="AE64" s="5"/>
      <c r="AF64" s="5"/>
      <c r="AG64" s="5"/>
      <c r="AH64" s="5"/>
      <c r="AI64" s="5"/>
      <c r="AJ64" s="5"/>
      <c r="AK64" s="5"/>
      <c r="AL64" s="5"/>
      <c r="AM64" s="5"/>
      <c r="AN64" s="5"/>
    </row>
    <row r="65" spans="2:40" x14ac:dyDescent="0.3">
      <c r="B65" s="5"/>
      <c r="C65" s="5"/>
      <c r="D65" s="5"/>
      <c r="E65" s="5"/>
      <c r="F65" s="5"/>
      <c r="G65" s="5"/>
      <c r="H65" s="5"/>
      <c r="I65" s="5"/>
      <c r="J65" s="5"/>
      <c r="K65" s="5"/>
      <c r="L65" s="5"/>
      <c r="M65" s="5"/>
      <c r="N65" s="5"/>
      <c r="O65" s="5"/>
      <c r="P65" s="5"/>
      <c r="Q65" s="5"/>
      <c r="R65" s="5"/>
      <c r="S65" s="5"/>
      <c r="T65" s="5"/>
      <c r="U65" s="5"/>
      <c r="V65" s="5"/>
      <c r="W65" s="5"/>
      <c r="X65" s="5"/>
      <c r="Y65" s="5"/>
      <c r="Z65" s="5"/>
      <c r="AA65" s="5"/>
      <c r="AB65" s="5"/>
      <c r="AC65" s="5"/>
      <c r="AD65" s="5"/>
      <c r="AE65" s="5"/>
      <c r="AF65" s="5"/>
      <c r="AG65" s="5"/>
      <c r="AH65" s="5"/>
      <c r="AI65" s="5"/>
      <c r="AJ65" s="5"/>
      <c r="AK65" s="5"/>
      <c r="AL65" s="5"/>
      <c r="AM65" s="5"/>
      <c r="AN65" s="5"/>
    </row>
    <row r="66" spans="2:40" x14ac:dyDescent="0.3">
      <c r="B66" s="5"/>
      <c r="C66" s="5"/>
      <c r="D66" s="5"/>
      <c r="E66" s="5"/>
      <c r="F66" s="5"/>
      <c r="G66" s="5"/>
      <c r="H66" s="5"/>
      <c r="I66" s="5"/>
      <c r="J66" s="5"/>
      <c r="K66" s="5"/>
      <c r="L66" s="5"/>
      <c r="M66" s="5"/>
      <c r="N66" s="5"/>
      <c r="O66" s="5"/>
      <c r="P66" s="5"/>
      <c r="Q66" s="5"/>
      <c r="R66" s="5"/>
      <c r="S66" s="5"/>
      <c r="T66" s="5"/>
      <c r="U66" s="5"/>
      <c r="V66" s="5"/>
      <c r="W66" s="5"/>
      <c r="X66" s="5"/>
      <c r="Y66" s="5"/>
      <c r="Z66" s="5"/>
      <c r="AA66" s="5"/>
      <c r="AB66" s="5"/>
      <c r="AC66" s="5"/>
      <c r="AD66" s="5"/>
      <c r="AE66" s="5"/>
      <c r="AF66" s="5"/>
      <c r="AG66" s="5"/>
      <c r="AH66" s="5"/>
      <c r="AI66" s="5"/>
      <c r="AJ66" s="5"/>
      <c r="AK66" s="5"/>
      <c r="AL66" s="5"/>
      <c r="AM66" s="5"/>
      <c r="AN66" s="5"/>
    </row>
    <row r="67" spans="2:40" x14ac:dyDescent="0.3">
      <c r="B67" s="5"/>
      <c r="C67" s="5"/>
      <c r="D67" s="5"/>
      <c r="E67" s="5"/>
      <c r="F67" s="5"/>
      <c r="G67" s="5"/>
      <c r="H67" s="5"/>
      <c r="I67" s="5"/>
      <c r="J67" s="5"/>
      <c r="K67" s="5"/>
      <c r="L67" s="5"/>
      <c r="M67" s="5"/>
      <c r="N67" s="5"/>
      <c r="O67" s="5"/>
      <c r="P67" s="5"/>
      <c r="Q67" s="5"/>
      <c r="R67" s="5"/>
      <c r="S67" s="5"/>
      <c r="T67" s="5"/>
      <c r="U67" s="5"/>
      <c r="V67" s="5"/>
      <c r="W67" s="5"/>
      <c r="X67" s="5"/>
      <c r="Y67" s="5"/>
      <c r="Z67" s="5"/>
      <c r="AA67" s="5"/>
      <c r="AB67" s="5"/>
      <c r="AC67" s="5"/>
      <c r="AD67" s="5"/>
      <c r="AE67" s="5"/>
      <c r="AF67" s="5"/>
      <c r="AG67" s="5"/>
      <c r="AH67" s="5"/>
      <c r="AI67" s="5"/>
      <c r="AJ67" s="5"/>
      <c r="AK67" s="5"/>
      <c r="AL67" s="5"/>
      <c r="AM67" s="5"/>
      <c r="AN67" s="5"/>
    </row>
    <row r="68" spans="2:40" x14ac:dyDescent="0.3">
      <c r="B68" s="5"/>
      <c r="C68" s="5"/>
      <c r="D68" s="5"/>
      <c r="E68" s="5"/>
      <c r="F68" s="5"/>
      <c r="G68" s="5"/>
      <c r="H68" s="5"/>
      <c r="I68" s="5"/>
      <c r="J68" s="5"/>
      <c r="K68" s="5"/>
      <c r="L68" s="5"/>
      <c r="M68" s="5"/>
      <c r="N68" s="5"/>
      <c r="O68" s="5"/>
      <c r="P68" s="5"/>
      <c r="Q68" s="5"/>
      <c r="R68" s="5"/>
      <c r="S68" s="5"/>
      <c r="T68" s="5"/>
      <c r="U68" s="5"/>
      <c r="V68" s="5"/>
      <c r="W68" s="5"/>
      <c r="X68" s="5"/>
      <c r="Y68" s="5"/>
      <c r="Z68" s="5"/>
      <c r="AA68" s="5"/>
      <c r="AB68" s="5"/>
      <c r="AC68" s="5"/>
      <c r="AD68" s="5"/>
      <c r="AE68" s="5"/>
      <c r="AF68" s="5"/>
      <c r="AG68" s="5"/>
      <c r="AH68" s="5"/>
      <c r="AI68" s="5"/>
      <c r="AJ68" s="5"/>
      <c r="AK68" s="5"/>
      <c r="AL68" s="5"/>
      <c r="AM68" s="5"/>
      <c r="AN68" s="5"/>
    </row>
    <row r="69" spans="2:40" x14ac:dyDescent="0.3">
      <c r="B69" s="5"/>
      <c r="C69" s="5"/>
      <c r="D69" s="5"/>
      <c r="E69" s="5"/>
      <c r="F69" s="5"/>
      <c r="G69" s="5"/>
      <c r="H69" s="5"/>
      <c r="I69" s="5"/>
      <c r="J69" s="5"/>
      <c r="K69" s="5"/>
      <c r="L69" s="5"/>
      <c r="M69" s="5"/>
      <c r="N69" s="5"/>
      <c r="O69" s="5"/>
      <c r="P69" s="5"/>
      <c r="Q69" s="5"/>
      <c r="R69" s="5"/>
      <c r="S69" s="5"/>
      <c r="T69" s="5"/>
      <c r="U69" s="5"/>
      <c r="V69" s="5"/>
      <c r="W69" s="5"/>
      <c r="X69" s="5"/>
      <c r="Y69" s="5"/>
      <c r="Z69" s="5"/>
      <c r="AA69" s="5"/>
      <c r="AB69" s="5"/>
      <c r="AC69" s="5"/>
      <c r="AD69" s="5"/>
      <c r="AE69" s="5"/>
      <c r="AF69" s="5"/>
      <c r="AG69" s="5"/>
      <c r="AH69" s="5"/>
      <c r="AI69" s="5"/>
      <c r="AJ69" s="5"/>
      <c r="AK69" s="5"/>
      <c r="AL69" s="5"/>
      <c r="AM69" s="5"/>
      <c r="AN69" s="5"/>
    </row>
    <row r="70" spans="2:40" x14ac:dyDescent="0.3">
      <c r="B70" s="5"/>
      <c r="C70" s="5"/>
      <c r="D70" s="5"/>
      <c r="E70" s="5"/>
      <c r="F70" s="5"/>
      <c r="G70" s="5"/>
      <c r="H70" s="5"/>
      <c r="I70" s="5"/>
      <c r="J70" s="5"/>
      <c r="K70" s="5"/>
      <c r="L70" s="5"/>
      <c r="M70" s="5"/>
      <c r="N70" s="5"/>
      <c r="O70" s="5"/>
      <c r="P70" s="5"/>
      <c r="Q70" s="5"/>
      <c r="R70" s="5"/>
      <c r="S70" s="5"/>
      <c r="T70" s="5"/>
      <c r="U70" s="5"/>
      <c r="V70" s="5"/>
      <c r="W70" s="5"/>
      <c r="X70" s="5"/>
      <c r="Y70" s="5"/>
      <c r="Z70" s="5"/>
      <c r="AA70" s="5"/>
      <c r="AB70" s="5"/>
      <c r="AC70" s="5"/>
      <c r="AD70" s="5"/>
      <c r="AE70" s="5"/>
      <c r="AF70" s="5"/>
      <c r="AG70" s="5"/>
      <c r="AH70" s="5"/>
      <c r="AI70" s="5"/>
      <c r="AJ70" s="5"/>
      <c r="AK70" s="5"/>
      <c r="AL70" s="5"/>
      <c r="AM70" s="5"/>
      <c r="AN70" s="5"/>
    </row>
    <row r="71" spans="2:40" x14ac:dyDescent="0.3">
      <c r="B71" s="5"/>
      <c r="C71" s="5"/>
      <c r="D71" s="5"/>
      <c r="E71" s="5"/>
      <c r="F71" s="5"/>
      <c r="G71" s="5"/>
      <c r="H71" s="5"/>
      <c r="I71" s="5"/>
      <c r="J71" s="5"/>
      <c r="K71" s="5"/>
      <c r="L71" s="5"/>
      <c r="M71" s="5"/>
      <c r="N71" s="5"/>
      <c r="O71" s="5"/>
      <c r="P71" s="5"/>
      <c r="Q71" s="5"/>
      <c r="R71" s="5"/>
      <c r="S71" s="5"/>
      <c r="T71" s="5"/>
      <c r="U71" s="5"/>
      <c r="V71" s="5"/>
      <c r="W71" s="5"/>
      <c r="X71" s="5"/>
      <c r="Y71" s="5"/>
      <c r="Z71" s="5"/>
      <c r="AA71" s="5"/>
      <c r="AB71" s="5"/>
      <c r="AC71" s="5"/>
      <c r="AD71" s="5"/>
      <c r="AE71" s="5"/>
      <c r="AF71" s="5"/>
      <c r="AG71" s="5"/>
      <c r="AH71" s="5"/>
      <c r="AI71" s="5"/>
      <c r="AJ71" s="5"/>
      <c r="AK71" s="5"/>
      <c r="AL71" s="5"/>
      <c r="AM71" s="5"/>
      <c r="AN71" s="5"/>
    </row>
    <row r="72" spans="2:40" x14ac:dyDescent="0.3">
      <c r="B72" s="5"/>
      <c r="C72" s="5"/>
      <c r="D72" s="5"/>
      <c r="E72" s="5"/>
      <c r="F72" s="5"/>
      <c r="G72" s="5"/>
      <c r="H72" s="5"/>
      <c r="I72" s="5"/>
      <c r="J72" s="5"/>
      <c r="K72" s="5"/>
      <c r="L72" s="5"/>
      <c r="M72" s="5"/>
      <c r="N72" s="5"/>
      <c r="O72" s="5"/>
      <c r="P72" s="5"/>
      <c r="Q72" s="5"/>
      <c r="R72" s="5"/>
      <c r="S72" s="5"/>
      <c r="T72" s="5"/>
      <c r="U72" s="5"/>
      <c r="V72" s="5"/>
      <c r="W72" s="5"/>
      <c r="X72" s="5"/>
      <c r="Y72" s="5"/>
      <c r="Z72" s="5"/>
      <c r="AA72" s="5"/>
      <c r="AB72" s="5"/>
      <c r="AC72" s="5"/>
      <c r="AD72" s="5"/>
      <c r="AE72" s="5"/>
      <c r="AF72" s="5"/>
      <c r="AG72" s="5"/>
      <c r="AH72" s="5"/>
      <c r="AI72" s="5"/>
      <c r="AJ72" s="5"/>
      <c r="AK72" s="5"/>
      <c r="AL72" s="5"/>
      <c r="AM72" s="5"/>
      <c r="AN72" s="5"/>
    </row>
    <row r="73" spans="2:40" x14ac:dyDescent="0.3">
      <c r="B73" s="5"/>
      <c r="C73" s="5"/>
      <c r="D73" s="5"/>
      <c r="E73" s="5"/>
      <c r="F73" s="5"/>
      <c r="G73" s="5"/>
      <c r="H73" s="5"/>
      <c r="I73" s="5"/>
      <c r="J73" s="5"/>
      <c r="K73" s="5"/>
      <c r="L73" s="5"/>
      <c r="M73" s="5"/>
      <c r="N73" s="5"/>
      <c r="O73" s="5"/>
      <c r="P73" s="5"/>
      <c r="Q73" s="5"/>
      <c r="R73" s="5"/>
      <c r="S73" s="5"/>
      <c r="T73" s="5"/>
      <c r="U73" s="5"/>
      <c r="V73" s="5"/>
      <c r="W73" s="5"/>
      <c r="X73" s="5"/>
      <c r="Y73" s="5"/>
      <c r="Z73" s="5"/>
      <c r="AA73" s="5"/>
      <c r="AB73" s="5"/>
      <c r="AC73" s="5"/>
      <c r="AD73" s="5"/>
      <c r="AE73" s="5"/>
      <c r="AF73" s="5"/>
      <c r="AG73" s="5"/>
      <c r="AH73" s="5"/>
      <c r="AI73" s="5"/>
      <c r="AJ73" s="5"/>
      <c r="AK73" s="5"/>
      <c r="AL73" s="5"/>
      <c r="AM73" s="5"/>
      <c r="AN73" s="5"/>
    </row>
    <row r="74" spans="2:40" x14ac:dyDescent="0.3">
      <c r="B74" s="5"/>
      <c r="C74" s="5"/>
      <c r="D74" s="5"/>
      <c r="E74" s="5"/>
      <c r="F74" s="5"/>
      <c r="G74" s="5"/>
      <c r="H74" s="5"/>
      <c r="I74" s="5"/>
      <c r="J74" s="5"/>
      <c r="K74" s="5"/>
      <c r="L74" s="5"/>
      <c r="M74" s="5"/>
      <c r="N74" s="5"/>
      <c r="O74" s="5"/>
      <c r="P74" s="5"/>
      <c r="Q74" s="5"/>
      <c r="R74" s="5"/>
      <c r="S74" s="5"/>
      <c r="T74" s="5"/>
      <c r="U74" s="5"/>
      <c r="V74" s="5"/>
      <c r="W74" s="5"/>
      <c r="X74" s="5"/>
      <c r="Y74" s="5"/>
      <c r="Z74" s="5"/>
      <c r="AA74" s="5"/>
      <c r="AB74" s="5"/>
      <c r="AC74" s="5"/>
      <c r="AD74" s="5"/>
      <c r="AE74" s="5"/>
      <c r="AF74" s="5"/>
      <c r="AG74" s="5"/>
      <c r="AH74" s="5"/>
      <c r="AI74" s="5"/>
      <c r="AJ74" s="5"/>
      <c r="AK74" s="5"/>
      <c r="AL74" s="5"/>
      <c r="AM74" s="5"/>
      <c r="AN74" s="5"/>
    </row>
    <row r="75" spans="2:40" x14ac:dyDescent="0.3">
      <c r="B75" s="5"/>
      <c r="C75" s="5"/>
      <c r="D75" s="5"/>
      <c r="E75" s="5"/>
      <c r="F75" s="5"/>
      <c r="G75" s="5"/>
      <c r="H75" s="5"/>
      <c r="I75" s="5"/>
      <c r="J75" s="5"/>
      <c r="K75" s="5"/>
      <c r="L75" s="5"/>
      <c r="M75" s="5"/>
      <c r="N75" s="5"/>
      <c r="O75" s="5"/>
      <c r="P75" s="5"/>
      <c r="Q75" s="5"/>
      <c r="R75" s="5"/>
      <c r="S75" s="5"/>
      <c r="T75" s="5"/>
      <c r="U75" s="5"/>
      <c r="V75" s="5"/>
      <c r="W75" s="5"/>
      <c r="X75" s="5"/>
      <c r="Y75" s="5"/>
      <c r="Z75" s="5"/>
      <c r="AA75" s="5"/>
      <c r="AB75" s="5"/>
      <c r="AC75" s="5"/>
      <c r="AD75" s="5"/>
      <c r="AE75" s="5"/>
      <c r="AF75" s="5"/>
      <c r="AG75" s="5"/>
      <c r="AH75" s="5"/>
      <c r="AI75" s="5"/>
      <c r="AJ75" s="5"/>
      <c r="AK75" s="5"/>
      <c r="AL75" s="5"/>
      <c r="AM75" s="5"/>
      <c r="AN75" s="5"/>
    </row>
    <row r="76" spans="2:40" x14ac:dyDescent="0.3">
      <c r="B76" s="5"/>
      <c r="C76" s="5"/>
      <c r="D76" s="5"/>
      <c r="E76" s="5"/>
      <c r="F76" s="5"/>
      <c r="G76" s="5"/>
      <c r="H76" s="5"/>
      <c r="I76" s="5"/>
      <c r="J76" s="5"/>
      <c r="K76" s="5"/>
      <c r="L76" s="5"/>
      <c r="M76" s="5"/>
      <c r="N76" s="5"/>
      <c r="O76" s="5"/>
      <c r="P76" s="5"/>
      <c r="Q76" s="5"/>
      <c r="R76" s="5"/>
      <c r="S76" s="5"/>
      <c r="T76" s="5"/>
      <c r="U76" s="5"/>
      <c r="V76" s="5"/>
      <c r="W76" s="5"/>
      <c r="X76" s="5"/>
      <c r="Y76" s="5"/>
      <c r="Z76" s="5"/>
      <c r="AA76" s="5"/>
      <c r="AB76" s="5"/>
      <c r="AC76" s="5"/>
      <c r="AD76" s="5"/>
      <c r="AE76" s="5"/>
      <c r="AF76" s="5"/>
      <c r="AG76" s="5"/>
      <c r="AH76" s="5"/>
      <c r="AI76" s="5"/>
      <c r="AJ76" s="5"/>
      <c r="AK76" s="5"/>
      <c r="AL76" s="5"/>
      <c r="AM76" s="5"/>
      <c r="AN76" s="5"/>
    </row>
    <row r="77" spans="2:40" x14ac:dyDescent="0.3">
      <c r="B77" s="5"/>
      <c r="C77" s="5"/>
      <c r="D77" s="5"/>
      <c r="E77" s="5"/>
      <c r="F77" s="5"/>
      <c r="G77" s="5"/>
      <c r="H77" s="5"/>
      <c r="I77" s="5"/>
      <c r="J77" s="5"/>
      <c r="K77" s="5"/>
      <c r="L77" s="5"/>
      <c r="M77" s="5"/>
      <c r="N77" s="5"/>
      <c r="O77" s="5"/>
      <c r="P77" s="5"/>
      <c r="Q77" s="5"/>
      <c r="R77" s="5"/>
      <c r="S77" s="5"/>
      <c r="T77" s="5"/>
      <c r="U77" s="5"/>
      <c r="V77" s="5"/>
      <c r="W77" s="5"/>
      <c r="X77" s="5"/>
      <c r="Y77" s="5"/>
      <c r="Z77" s="5"/>
      <c r="AA77" s="5"/>
      <c r="AB77" s="5"/>
      <c r="AC77" s="5"/>
      <c r="AD77" s="5"/>
      <c r="AE77" s="5"/>
      <c r="AF77" s="5"/>
      <c r="AG77" s="5"/>
      <c r="AH77" s="5"/>
      <c r="AI77" s="5"/>
      <c r="AJ77" s="5"/>
      <c r="AK77" s="5"/>
      <c r="AL77" s="5"/>
      <c r="AM77" s="5"/>
      <c r="AN77" s="5"/>
    </row>
    <row r="78" spans="2:40" x14ac:dyDescent="0.3">
      <c r="B78" s="5"/>
      <c r="C78" s="5"/>
      <c r="D78" s="5"/>
      <c r="E78" s="5"/>
      <c r="F78" s="5"/>
      <c r="G78" s="5"/>
      <c r="H78" s="5"/>
      <c r="I78" s="5"/>
      <c r="J78" s="5"/>
      <c r="K78" s="5"/>
      <c r="L78" s="5"/>
      <c r="M78" s="5"/>
      <c r="N78" s="5"/>
      <c r="O78" s="5"/>
      <c r="P78" s="5"/>
      <c r="Q78" s="5"/>
      <c r="R78" s="5"/>
      <c r="S78" s="5"/>
      <c r="T78" s="5"/>
      <c r="U78" s="5"/>
      <c r="V78" s="5"/>
      <c r="W78" s="5"/>
      <c r="X78" s="5"/>
      <c r="Y78" s="5"/>
      <c r="Z78" s="5"/>
      <c r="AA78" s="5"/>
      <c r="AB78" s="5"/>
      <c r="AC78" s="5"/>
      <c r="AD78" s="5"/>
      <c r="AE78" s="5"/>
      <c r="AF78" s="5"/>
      <c r="AG78" s="5"/>
      <c r="AH78" s="5"/>
      <c r="AI78" s="5"/>
      <c r="AJ78" s="5"/>
      <c r="AK78" s="5"/>
      <c r="AL78" s="5"/>
      <c r="AM78" s="5"/>
      <c r="AN78" s="5"/>
    </row>
    <row r="79" spans="2:40" x14ac:dyDescent="0.3">
      <c r="B79" s="5"/>
      <c r="C79" s="5"/>
      <c r="D79" s="5"/>
      <c r="E79" s="5"/>
      <c r="F79" s="5"/>
      <c r="G79" s="5"/>
      <c r="H79" s="5"/>
      <c r="I79" s="5"/>
      <c r="J79" s="5"/>
      <c r="K79" s="5"/>
      <c r="L79" s="5"/>
      <c r="M79" s="5"/>
      <c r="N79" s="5"/>
      <c r="O79" s="5"/>
      <c r="P79" s="5"/>
      <c r="Q79" s="5"/>
      <c r="R79" s="5"/>
      <c r="S79" s="5"/>
      <c r="T79" s="5"/>
      <c r="U79" s="5"/>
      <c r="V79" s="5"/>
      <c r="W79" s="5"/>
      <c r="X79" s="5"/>
      <c r="Y79" s="5"/>
      <c r="Z79" s="5"/>
      <c r="AA79" s="5"/>
      <c r="AB79" s="5"/>
      <c r="AC79" s="5"/>
      <c r="AD79" s="5"/>
      <c r="AE79" s="5"/>
      <c r="AF79" s="5"/>
      <c r="AG79" s="5"/>
      <c r="AH79" s="5"/>
      <c r="AI79" s="5"/>
      <c r="AJ79" s="5"/>
      <c r="AK79" s="5"/>
      <c r="AL79" s="5"/>
      <c r="AM79" s="5"/>
      <c r="AN79" s="5"/>
    </row>
    <row r="80" spans="2:40" x14ac:dyDescent="0.3">
      <c r="B80" s="5"/>
      <c r="C80" s="5"/>
      <c r="D80" s="5"/>
      <c r="E80" s="5"/>
      <c r="F80" s="5"/>
      <c r="G80" s="5"/>
      <c r="H80" s="5"/>
      <c r="I80" s="5"/>
      <c r="J80" s="5"/>
      <c r="K80" s="5"/>
      <c r="L80" s="5"/>
      <c r="M80" s="5"/>
      <c r="N80" s="5"/>
      <c r="O80" s="5"/>
      <c r="P80" s="5"/>
      <c r="Q80" s="5"/>
      <c r="R80" s="5"/>
      <c r="S80" s="5"/>
      <c r="T80" s="5"/>
      <c r="U80" s="5"/>
      <c r="V80" s="5"/>
      <c r="W80" s="5"/>
      <c r="X80" s="5"/>
      <c r="Y80" s="5"/>
      <c r="Z80" s="5"/>
      <c r="AA80" s="5"/>
      <c r="AB80" s="5"/>
      <c r="AC80" s="5"/>
      <c r="AD80" s="5"/>
      <c r="AE80" s="5"/>
      <c r="AF80" s="5"/>
      <c r="AG80" s="5"/>
      <c r="AH80" s="5"/>
      <c r="AI80" s="5"/>
      <c r="AJ80" s="5"/>
      <c r="AK80" s="5"/>
      <c r="AL80" s="5"/>
      <c r="AM80" s="5"/>
      <c r="AN80" s="5"/>
    </row>
    <row r="81" spans="2:40" x14ac:dyDescent="0.3">
      <c r="B81" s="5"/>
      <c r="C81" s="5"/>
      <c r="D81" s="5"/>
      <c r="E81" s="5"/>
      <c r="F81" s="5"/>
      <c r="G81" s="5"/>
      <c r="H81" s="5"/>
      <c r="I81" s="5"/>
      <c r="J81" s="5"/>
      <c r="K81" s="5"/>
      <c r="L81" s="5"/>
      <c r="M81" s="5"/>
      <c r="N81" s="5"/>
      <c r="O81" s="5"/>
      <c r="P81" s="5"/>
      <c r="Q81" s="5"/>
      <c r="R81" s="5"/>
      <c r="S81" s="5"/>
      <c r="T81" s="5"/>
      <c r="U81" s="5"/>
      <c r="V81" s="5"/>
      <c r="W81" s="5"/>
      <c r="X81" s="5"/>
      <c r="Y81" s="5"/>
      <c r="Z81" s="5"/>
      <c r="AA81" s="5"/>
      <c r="AB81" s="5"/>
      <c r="AC81" s="5"/>
      <c r="AD81" s="5"/>
      <c r="AE81" s="5"/>
      <c r="AF81" s="5"/>
      <c r="AG81" s="5"/>
      <c r="AH81" s="5"/>
      <c r="AI81" s="5"/>
      <c r="AJ81" s="5"/>
      <c r="AK81" s="5"/>
      <c r="AL81" s="5"/>
      <c r="AM81" s="5"/>
      <c r="AN81" s="5"/>
    </row>
    <row r="82" spans="2:40" x14ac:dyDescent="0.3">
      <c r="B82" s="5"/>
      <c r="C82" s="5"/>
      <c r="D82" s="5"/>
      <c r="E82" s="5"/>
      <c r="F82" s="5"/>
      <c r="G82" s="5"/>
      <c r="H82" s="5"/>
      <c r="I82" s="5"/>
      <c r="J82" s="5"/>
      <c r="K82" s="5"/>
      <c r="L82" s="5"/>
      <c r="M82" s="5"/>
      <c r="N82" s="5"/>
      <c r="O82" s="5"/>
      <c r="P82" s="5"/>
      <c r="Q82" s="5"/>
      <c r="R82" s="5"/>
      <c r="S82" s="5"/>
      <c r="T82" s="5"/>
      <c r="U82" s="5"/>
      <c r="V82" s="5"/>
      <c r="W82" s="5"/>
      <c r="X82" s="5"/>
      <c r="Y82" s="5"/>
      <c r="Z82" s="5"/>
      <c r="AA82" s="5"/>
      <c r="AB82" s="5"/>
      <c r="AC82" s="5"/>
      <c r="AD82" s="5"/>
      <c r="AE82" s="5"/>
      <c r="AF82" s="5"/>
      <c r="AG82" s="5"/>
      <c r="AH82" s="5"/>
      <c r="AI82" s="5"/>
      <c r="AJ82" s="5"/>
      <c r="AK82" s="5"/>
      <c r="AL82" s="5"/>
      <c r="AM82" s="5"/>
      <c r="AN82" s="5"/>
    </row>
    <row r="83" spans="2:40" x14ac:dyDescent="0.3">
      <c r="B83" s="5"/>
      <c r="C83" s="5"/>
      <c r="D83" s="5"/>
      <c r="E83" s="5"/>
      <c r="F83" s="5"/>
      <c r="G83" s="5"/>
      <c r="H83" s="5"/>
      <c r="I83" s="5"/>
      <c r="J83" s="5"/>
      <c r="K83" s="5"/>
      <c r="L83" s="5"/>
      <c r="M83" s="5"/>
      <c r="N83" s="5"/>
      <c r="O83" s="5"/>
      <c r="P83" s="5"/>
      <c r="Q83" s="5"/>
      <c r="R83" s="5"/>
      <c r="S83" s="5"/>
      <c r="T83" s="5"/>
      <c r="U83" s="5"/>
      <c r="V83" s="5"/>
      <c r="W83" s="5"/>
      <c r="X83" s="5"/>
      <c r="Y83" s="5"/>
      <c r="Z83" s="5"/>
      <c r="AA83" s="5"/>
      <c r="AB83" s="5"/>
      <c r="AC83" s="5"/>
      <c r="AD83" s="5"/>
      <c r="AE83" s="5"/>
      <c r="AF83" s="5"/>
      <c r="AG83" s="5"/>
      <c r="AH83" s="5"/>
      <c r="AI83" s="5"/>
      <c r="AJ83" s="5"/>
      <c r="AK83" s="5"/>
      <c r="AL83" s="5"/>
      <c r="AM83" s="5"/>
      <c r="AN83" s="5"/>
    </row>
    <row r="84" spans="2:40" x14ac:dyDescent="0.3">
      <c r="B84" s="5"/>
      <c r="C84" s="5"/>
      <c r="D84" s="5"/>
      <c r="E84" s="5"/>
      <c r="F84" s="5"/>
      <c r="G84" s="5"/>
      <c r="H84" s="5"/>
      <c r="I84" s="5"/>
      <c r="J84" s="5"/>
      <c r="K84" s="5"/>
      <c r="L84" s="5"/>
      <c r="M84" s="5"/>
      <c r="N84" s="5"/>
      <c r="O84" s="5"/>
      <c r="P84" s="5"/>
      <c r="Q84" s="5"/>
      <c r="R84" s="5"/>
      <c r="S84" s="5"/>
      <c r="T84" s="5"/>
      <c r="U84" s="5"/>
      <c r="V84" s="5"/>
      <c r="W84" s="5"/>
      <c r="X84" s="5"/>
      <c r="Y84" s="5"/>
      <c r="Z84" s="5"/>
      <c r="AA84" s="5"/>
      <c r="AB84" s="5"/>
      <c r="AC84" s="5"/>
      <c r="AD84" s="5"/>
      <c r="AE84" s="5"/>
      <c r="AF84" s="5"/>
      <c r="AG84" s="5"/>
      <c r="AH84" s="5"/>
      <c r="AI84" s="5"/>
      <c r="AJ84" s="5"/>
      <c r="AK84" s="5"/>
      <c r="AL84" s="5"/>
      <c r="AM84" s="5"/>
      <c r="AN84" s="5"/>
    </row>
    <row r="85" spans="2:40" x14ac:dyDescent="0.3">
      <c r="B85" s="5"/>
      <c r="C85" s="5"/>
      <c r="D85" s="5"/>
      <c r="E85" s="5"/>
      <c r="F85" s="5"/>
      <c r="G85" s="5"/>
      <c r="H85" s="5"/>
      <c r="I85" s="5"/>
      <c r="J85" s="5"/>
      <c r="K85" s="5"/>
      <c r="L85" s="5"/>
      <c r="M85" s="5"/>
      <c r="N85" s="5"/>
      <c r="O85" s="5"/>
      <c r="P85" s="5"/>
      <c r="Q85" s="5"/>
      <c r="R85" s="5"/>
      <c r="S85" s="5"/>
      <c r="T85" s="5"/>
      <c r="U85" s="5"/>
      <c r="V85" s="5"/>
      <c r="W85" s="5"/>
      <c r="X85" s="5"/>
      <c r="Y85" s="5"/>
      <c r="Z85" s="5"/>
      <c r="AA85" s="5"/>
      <c r="AB85" s="5"/>
      <c r="AC85" s="5"/>
      <c r="AD85" s="5"/>
      <c r="AE85" s="5"/>
      <c r="AF85" s="5"/>
      <c r="AG85" s="5"/>
      <c r="AH85" s="5"/>
      <c r="AI85" s="5"/>
      <c r="AJ85" s="5"/>
      <c r="AK85" s="5"/>
      <c r="AL85" s="5"/>
      <c r="AM85" s="5"/>
      <c r="AN85" s="5"/>
    </row>
    <row r="86" spans="2:40" x14ac:dyDescent="0.3">
      <c r="B86" s="5"/>
      <c r="C86" s="5"/>
      <c r="D86" s="5"/>
      <c r="E86" s="5"/>
      <c r="F86" s="5"/>
      <c r="G86" s="5"/>
      <c r="H86" s="5"/>
      <c r="I86" s="5"/>
      <c r="J86" s="5"/>
      <c r="K86" s="5"/>
      <c r="L86" s="5"/>
      <c r="M86" s="5"/>
      <c r="N86" s="5"/>
      <c r="O86" s="5"/>
      <c r="P86" s="5"/>
      <c r="Q86" s="5"/>
      <c r="R86" s="5"/>
      <c r="S86" s="5"/>
      <c r="T86" s="5"/>
      <c r="U86" s="5"/>
      <c r="V86" s="5"/>
      <c r="W86" s="5"/>
      <c r="X86" s="5"/>
      <c r="Y86" s="5"/>
      <c r="Z86" s="5"/>
      <c r="AA86" s="5"/>
      <c r="AB86" s="5"/>
      <c r="AC86" s="5"/>
      <c r="AD86" s="5"/>
      <c r="AE86" s="5"/>
      <c r="AF86" s="5"/>
      <c r="AG86" s="5"/>
      <c r="AH86" s="5"/>
      <c r="AI86" s="5"/>
      <c r="AJ86" s="5"/>
      <c r="AK86" s="5"/>
      <c r="AL86" s="5"/>
      <c r="AM86" s="5"/>
      <c r="AN86" s="5"/>
    </row>
    <row r="87" spans="2:40" x14ac:dyDescent="0.3">
      <c r="B87" s="5"/>
      <c r="C87" s="5"/>
      <c r="D87" s="5"/>
      <c r="E87" s="5"/>
      <c r="F87" s="5"/>
      <c r="G87" s="5"/>
      <c r="H87" s="5"/>
      <c r="I87" s="5"/>
      <c r="J87" s="5"/>
      <c r="K87" s="5"/>
      <c r="L87" s="5"/>
      <c r="M87" s="5"/>
      <c r="N87" s="5"/>
      <c r="O87" s="5"/>
      <c r="P87" s="5"/>
      <c r="Q87" s="5"/>
      <c r="R87" s="5"/>
      <c r="S87" s="5"/>
      <c r="T87" s="5"/>
      <c r="U87" s="5"/>
      <c r="V87" s="5"/>
      <c r="W87" s="5"/>
      <c r="X87" s="5"/>
      <c r="Y87" s="5"/>
      <c r="Z87" s="5"/>
      <c r="AA87" s="5"/>
      <c r="AB87" s="5"/>
      <c r="AC87" s="5"/>
      <c r="AD87" s="5"/>
      <c r="AE87" s="5"/>
      <c r="AF87" s="5"/>
      <c r="AG87" s="5"/>
      <c r="AH87" s="5"/>
      <c r="AI87" s="5"/>
      <c r="AJ87" s="5"/>
      <c r="AK87" s="5"/>
      <c r="AL87" s="5"/>
      <c r="AM87" s="5"/>
      <c r="AN87" s="5"/>
    </row>
    <row r="88" spans="2:40" x14ac:dyDescent="0.3">
      <c r="B88" s="5"/>
      <c r="C88" s="5"/>
      <c r="D88" s="5"/>
      <c r="E88" s="5"/>
      <c r="F88" s="5"/>
      <c r="G88" s="5"/>
      <c r="H88" s="5"/>
      <c r="I88" s="5"/>
      <c r="J88" s="5"/>
      <c r="K88" s="5"/>
      <c r="L88" s="5"/>
      <c r="M88" s="5"/>
      <c r="N88" s="5"/>
      <c r="O88" s="5"/>
      <c r="P88" s="5"/>
      <c r="Q88" s="5"/>
      <c r="R88" s="5"/>
      <c r="S88" s="5"/>
      <c r="T88" s="5"/>
      <c r="U88" s="5"/>
      <c r="V88" s="5"/>
      <c r="W88" s="5"/>
      <c r="X88" s="5"/>
      <c r="Y88" s="5"/>
      <c r="Z88" s="5"/>
      <c r="AA88" s="5"/>
      <c r="AB88" s="5"/>
      <c r="AC88" s="5"/>
      <c r="AD88" s="5"/>
      <c r="AE88" s="5"/>
      <c r="AF88" s="5"/>
      <c r="AG88" s="5"/>
      <c r="AH88" s="5"/>
      <c r="AI88" s="5"/>
      <c r="AJ88" s="5"/>
      <c r="AK88" s="5"/>
      <c r="AL88" s="5"/>
      <c r="AM88" s="5"/>
      <c r="AN88" s="5"/>
    </row>
    <row r="89" spans="2:40" x14ac:dyDescent="0.3">
      <c r="B89" s="5"/>
      <c r="C89" s="5"/>
      <c r="D89" s="5"/>
      <c r="E89" s="5"/>
      <c r="F89" s="5"/>
      <c r="G89" s="5"/>
      <c r="H89" s="5"/>
      <c r="I89" s="5"/>
      <c r="J89" s="5"/>
      <c r="K89" s="5"/>
      <c r="L89" s="5"/>
      <c r="M89" s="5"/>
      <c r="N89" s="5"/>
      <c r="O89" s="5"/>
      <c r="P89" s="5"/>
      <c r="Q89" s="5"/>
      <c r="R89" s="5"/>
      <c r="S89" s="5"/>
      <c r="T89" s="5"/>
      <c r="U89" s="5"/>
      <c r="V89" s="5"/>
      <c r="W89" s="5"/>
      <c r="X89" s="5"/>
      <c r="Y89" s="5"/>
      <c r="Z89" s="5"/>
      <c r="AA89" s="5"/>
      <c r="AB89" s="5"/>
      <c r="AC89" s="5"/>
      <c r="AD89" s="5"/>
      <c r="AE89" s="5"/>
      <c r="AF89" s="5"/>
      <c r="AG89" s="5"/>
      <c r="AH89" s="5"/>
      <c r="AI89" s="5"/>
      <c r="AJ89" s="5"/>
      <c r="AK89" s="5"/>
      <c r="AL89" s="5"/>
      <c r="AM89" s="5"/>
      <c r="AN89" s="5"/>
    </row>
    <row r="90" spans="2:40" x14ac:dyDescent="0.3">
      <c r="B90" s="5"/>
      <c r="C90" s="5"/>
      <c r="D90" s="5"/>
      <c r="E90" s="5"/>
      <c r="F90" s="5"/>
      <c r="G90" s="5"/>
      <c r="H90" s="5"/>
      <c r="I90" s="5"/>
      <c r="J90" s="5"/>
      <c r="K90" s="5"/>
      <c r="L90" s="5"/>
      <c r="M90" s="5"/>
      <c r="N90" s="5"/>
      <c r="O90" s="5"/>
      <c r="P90" s="5"/>
      <c r="Q90" s="5"/>
      <c r="R90" s="5"/>
      <c r="S90" s="5"/>
      <c r="T90" s="5"/>
      <c r="U90" s="5"/>
      <c r="V90" s="5"/>
      <c r="W90" s="5"/>
      <c r="X90" s="5"/>
      <c r="Y90" s="5"/>
      <c r="Z90" s="5"/>
      <c r="AA90" s="5"/>
      <c r="AB90" s="5"/>
      <c r="AC90" s="5"/>
      <c r="AD90" s="5"/>
      <c r="AE90" s="5"/>
      <c r="AF90" s="5"/>
      <c r="AG90" s="5"/>
      <c r="AH90" s="5"/>
      <c r="AI90" s="5"/>
      <c r="AJ90" s="5"/>
      <c r="AK90" s="5"/>
      <c r="AL90" s="5"/>
      <c r="AM90" s="5"/>
      <c r="AN90" s="5"/>
    </row>
    <row r="91" spans="2:40" x14ac:dyDescent="0.3">
      <c r="B91" s="5"/>
      <c r="C91" s="5"/>
      <c r="D91" s="5"/>
      <c r="E91" s="5"/>
      <c r="F91" s="5"/>
      <c r="G91" s="5"/>
      <c r="H91" s="5"/>
      <c r="I91" s="5"/>
      <c r="J91" s="5"/>
      <c r="K91" s="5"/>
      <c r="L91" s="5"/>
      <c r="M91" s="5"/>
      <c r="N91" s="5"/>
      <c r="O91" s="5"/>
      <c r="P91" s="5"/>
      <c r="Q91" s="5"/>
      <c r="R91" s="5"/>
      <c r="S91" s="5"/>
      <c r="T91" s="5"/>
      <c r="U91" s="5"/>
      <c r="V91" s="5"/>
      <c r="W91" s="5"/>
      <c r="X91" s="5"/>
      <c r="Y91" s="5"/>
      <c r="Z91" s="5"/>
      <c r="AA91" s="5"/>
      <c r="AB91" s="5"/>
      <c r="AC91" s="5"/>
      <c r="AD91" s="5"/>
      <c r="AE91" s="5"/>
      <c r="AF91" s="5"/>
      <c r="AG91" s="5"/>
      <c r="AH91" s="5"/>
      <c r="AI91" s="5"/>
      <c r="AJ91" s="5"/>
      <c r="AK91" s="5"/>
      <c r="AL91" s="5"/>
      <c r="AM91" s="5"/>
      <c r="AN91" s="5"/>
    </row>
    <row r="92" spans="2:40" x14ac:dyDescent="0.3">
      <c r="B92" s="5"/>
      <c r="C92" s="5"/>
      <c r="D92" s="5"/>
      <c r="E92" s="5"/>
      <c r="F92" s="5"/>
      <c r="G92" s="5"/>
      <c r="H92" s="5"/>
      <c r="I92" s="5"/>
      <c r="J92" s="5"/>
      <c r="K92" s="5"/>
      <c r="L92" s="5"/>
      <c r="M92" s="5"/>
      <c r="N92" s="5"/>
      <c r="O92" s="5"/>
      <c r="P92" s="5"/>
      <c r="Q92" s="5"/>
      <c r="R92" s="5"/>
      <c r="S92" s="5"/>
      <c r="T92" s="5"/>
      <c r="U92" s="5"/>
      <c r="V92" s="5"/>
      <c r="W92" s="5"/>
      <c r="X92" s="5"/>
      <c r="Y92" s="5"/>
      <c r="Z92" s="5"/>
      <c r="AA92" s="5"/>
      <c r="AB92" s="5"/>
      <c r="AC92" s="5"/>
      <c r="AD92" s="5"/>
      <c r="AE92" s="5"/>
      <c r="AF92" s="5"/>
      <c r="AG92" s="5"/>
      <c r="AH92" s="5"/>
      <c r="AI92" s="5"/>
      <c r="AJ92" s="5"/>
      <c r="AK92" s="5"/>
      <c r="AL92" s="5"/>
      <c r="AM92" s="5"/>
      <c r="AN92" s="5"/>
    </row>
    <row r="93" spans="2:40" x14ac:dyDescent="0.3">
      <c r="B93" s="5"/>
      <c r="C93" s="5"/>
      <c r="D93" s="5"/>
      <c r="E93" s="5"/>
      <c r="F93" s="5"/>
      <c r="G93" s="5"/>
      <c r="H93" s="5"/>
      <c r="I93" s="5"/>
      <c r="J93" s="5"/>
      <c r="K93" s="5"/>
      <c r="L93" s="5"/>
      <c r="M93" s="5"/>
      <c r="N93" s="5"/>
      <c r="O93" s="5"/>
      <c r="P93" s="5"/>
      <c r="Q93" s="5"/>
      <c r="R93" s="5"/>
      <c r="S93" s="5"/>
      <c r="T93" s="5"/>
      <c r="U93" s="5"/>
      <c r="V93" s="5"/>
      <c r="W93" s="5"/>
      <c r="X93" s="5"/>
      <c r="Y93" s="5"/>
      <c r="Z93" s="5"/>
      <c r="AA93" s="5"/>
      <c r="AB93" s="5"/>
      <c r="AC93" s="5"/>
      <c r="AD93" s="5"/>
      <c r="AE93" s="5"/>
      <c r="AF93" s="5"/>
      <c r="AG93" s="5"/>
      <c r="AH93" s="5"/>
      <c r="AI93" s="5"/>
      <c r="AJ93" s="5"/>
      <c r="AK93" s="5"/>
      <c r="AL93" s="5"/>
      <c r="AM93" s="5"/>
      <c r="AN93" s="5"/>
    </row>
    <row r="94" spans="2:40" x14ac:dyDescent="0.3">
      <c r="B94" s="5"/>
      <c r="C94" s="5"/>
      <c r="D94" s="5"/>
      <c r="E94" s="5"/>
      <c r="F94" s="5"/>
      <c r="G94" s="5"/>
      <c r="H94" s="5"/>
      <c r="I94" s="5"/>
      <c r="J94" s="5"/>
      <c r="K94" s="5"/>
      <c r="L94" s="5"/>
      <c r="M94" s="5"/>
      <c r="N94" s="5"/>
      <c r="O94" s="5"/>
      <c r="P94" s="5"/>
      <c r="Q94" s="5"/>
      <c r="R94" s="5"/>
      <c r="S94" s="5"/>
      <c r="T94" s="5"/>
      <c r="U94" s="5"/>
      <c r="V94" s="5"/>
      <c r="W94" s="5"/>
      <c r="X94" s="5"/>
      <c r="Y94" s="5"/>
      <c r="Z94" s="5"/>
      <c r="AA94" s="5"/>
      <c r="AB94" s="5"/>
      <c r="AC94" s="5"/>
      <c r="AD94" s="5"/>
      <c r="AE94" s="5"/>
      <c r="AF94" s="5"/>
      <c r="AG94" s="5"/>
      <c r="AH94" s="5"/>
      <c r="AI94" s="5"/>
      <c r="AJ94" s="5"/>
      <c r="AK94" s="5"/>
      <c r="AL94" s="5"/>
      <c r="AM94" s="5"/>
      <c r="AN94" s="5"/>
    </row>
    <row r="95" spans="2:40" x14ac:dyDescent="0.3">
      <c r="B95" s="5"/>
      <c r="C95" s="5"/>
      <c r="D95" s="5"/>
      <c r="E95" s="5"/>
      <c r="F95" s="5"/>
      <c r="G95" s="5"/>
      <c r="H95" s="5"/>
      <c r="I95" s="5"/>
      <c r="J95" s="5"/>
      <c r="K95" s="5"/>
      <c r="L95" s="5"/>
      <c r="M95" s="5"/>
      <c r="N95" s="5"/>
      <c r="O95" s="5"/>
      <c r="P95" s="5"/>
      <c r="Q95" s="5"/>
      <c r="R95" s="5"/>
      <c r="S95" s="5"/>
      <c r="T95" s="5"/>
      <c r="U95" s="5"/>
      <c r="V95" s="5"/>
      <c r="W95" s="5"/>
      <c r="X95" s="5"/>
      <c r="Y95" s="5"/>
      <c r="Z95" s="5"/>
      <c r="AA95" s="5"/>
      <c r="AB95" s="5"/>
      <c r="AC95" s="5"/>
      <c r="AD95" s="5"/>
      <c r="AE95" s="5"/>
      <c r="AF95" s="5"/>
      <c r="AG95" s="5"/>
      <c r="AH95" s="5"/>
      <c r="AI95" s="5"/>
      <c r="AJ95" s="5"/>
      <c r="AK95" s="5"/>
      <c r="AL95" s="5"/>
      <c r="AM95" s="5"/>
      <c r="AN95" s="5"/>
    </row>
    <row r="96" spans="2:40" x14ac:dyDescent="0.3">
      <c r="B96" s="5"/>
      <c r="C96" s="5"/>
      <c r="D96" s="5"/>
      <c r="E96" s="5"/>
      <c r="F96" s="5"/>
      <c r="G96" s="5"/>
      <c r="H96" s="5"/>
      <c r="I96" s="5"/>
      <c r="J96" s="5"/>
      <c r="K96" s="5"/>
      <c r="L96" s="5"/>
      <c r="M96" s="5"/>
      <c r="N96" s="5"/>
      <c r="O96" s="5"/>
      <c r="P96" s="5"/>
      <c r="Q96" s="5"/>
      <c r="R96" s="5"/>
      <c r="S96" s="5"/>
      <c r="T96" s="5"/>
      <c r="U96" s="5"/>
      <c r="V96" s="5"/>
      <c r="W96" s="5"/>
      <c r="X96" s="5"/>
      <c r="Y96" s="5"/>
      <c r="Z96" s="5"/>
      <c r="AA96" s="5"/>
      <c r="AB96" s="5"/>
      <c r="AC96" s="5"/>
      <c r="AD96" s="5"/>
      <c r="AE96" s="5"/>
      <c r="AF96" s="5"/>
      <c r="AG96" s="5"/>
      <c r="AH96" s="5"/>
      <c r="AI96" s="5"/>
      <c r="AJ96" s="5"/>
      <c r="AK96" s="5"/>
      <c r="AL96" s="5"/>
      <c r="AM96" s="5"/>
      <c r="AN96" s="5"/>
    </row>
    <row r="97" spans="2:40" x14ac:dyDescent="0.3">
      <c r="B97" s="5"/>
      <c r="C97" s="5"/>
      <c r="D97" s="5"/>
      <c r="E97" s="5"/>
      <c r="F97" s="5"/>
      <c r="G97" s="5"/>
      <c r="H97" s="5"/>
      <c r="I97" s="5"/>
      <c r="J97" s="5"/>
      <c r="K97" s="5"/>
      <c r="L97" s="5"/>
      <c r="M97" s="5"/>
      <c r="N97" s="5"/>
      <c r="O97" s="5"/>
      <c r="P97" s="5"/>
      <c r="Q97" s="5"/>
      <c r="R97" s="5"/>
      <c r="S97" s="5"/>
      <c r="T97" s="5"/>
      <c r="U97" s="5"/>
      <c r="V97" s="5"/>
      <c r="W97" s="5"/>
      <c r="X97" s="5"/>
      <c r="Y97" s="5"/>
      <c r="Z97" s="5"/>
      <c r="AA97" s="5"/>
      <c r="AB97" s="5"/>
      <c r="AC97" s="5"/>
      <c r="AD97" s="5"/>
      <c r="AE97" s="5"/>
      <c r="AF97" s="5"/>
      <c r="AG97" s="5"/>
      <c r="AH97" s="5"/>
      <c r="AI97" s="5"/>
      <c r="AJ97" s="5"/>
      <c r="AK97" s="5"/>
      <c r="AL97" s="5"/>
      <c r="AM97" s="5"/>
      <c r="AN97" s="5"/>
    </row>
    <row r="98" spans="2:40" x14ac:dyDescent="0.3">
      <c r="B98" s="5"/>
      <c r="C98" s="5"/>
      <c r="D98" s="5"/>
      <c r="E98" s="5"/>
      <c r="F98" s="5"/>
      <c r="G98" s="5"/>
      <c r="H98" s="5"/>
      <c r="I98" s="5"/>
      <c r="J98" s="5"/>
      <c r="K98" s="5"/>
      <c r="L98" s="5"/>
      <c r="M98" s="5"/>
      <c r="N98" s="5"/>
      <c r="O98" s="5"/>
      <c r="P98" s="5"/>
      <c r="Q98" s="5"/>
      <c r="R98" s="5"/>
      <c r="S98" s="5"/>
      <c r="T98" s="5"/>
      <c r="U98" s="5"/>
      <c r="V98" s="5"/>
      <c r="W98" s="5"/>
      <c r="X98" s="5"/>
      <c r="Y98" s="5"/>
      <c r="Z98" s="5"/>
      <c r="AA98" s="5"/>
      <c r="AB98" s="5"/>
      <c r="AC98" s="5"/>
      <c r="AD98" s="5"/>
      <c r="AE98" s="5"/>
      <c r="AF98" s="5"/>
      <c r="AG98" s="5"/>
      <c r="AH98" s="5"/>
      <c r="AI98" s="5"/>
      <c r="AJ98" s="5"/>
      <c r="AK98" s="5"/>
      <c r="AL98" s="5"/>
      <c r="AM98" s="5"/>
      <c r="AN98" s="5"/>
    </row>
    <row r="99" spans="2:40" x14ac:dyDescent="0.3">
      <c r="B99" s="5"/>
      <c r="C99" s="5"/>
      <c r="D99" s="5"/>
      <c r="E99" s="5"/>
      <c r="F99" s="5"/>
      <c r="G99" s="5"/>
      <c r="H99" s="5"/>
      <c r="I99" s="5"/>
      <c r="J99" s="5"/>
      <c r="K99" s="5"/>
      <c r="L99" s="5"/>
      <c r="M99" s="5"/>
      <c r="N99" s="5"/>
      <c r="O99" s="5"/>
      <c r="P99" s="5"/>
      <c r="Q99" s="5"/>
      <c r="R99" s="5"/>
      <c r="S99" s="5"/>
      <c r="T99" s="5"/>
      <c r="U99" s="5"/>
      <c r="V99" s="5"/>
      <c r="W99" s="5"/>
      <c r="X99" s="5"/>
      <c r="Y99" s="5"/>
      <c r="Z99" s="5"/>
      <c r="AA99" s="5"/>
      <c r="AB99" s="5"/>
      <c r="AC99" s="5"/>
      <c r="AD99" s="5"/>
      <c r="AE99" s="5"/>
      <c r="AF99" s="5"/>
      <c r="AG99" s="5"/>
      <c r="AH99" s="5"/>
      <c r="AI99" s="5"/>
      <c r="AJ99" s="5"/>
      <c r="AK99" s="5"/>
      <c r="AL99" s="5"/>
      <c r="AM99" s="5"/>
      <c r="AN99" s="5"/>
    </row>
    <row r="100" spans="2:40" x14ac:dyDescent="0.3">
      <c r="B100" s="5"/>
      <c r="C100" s="5"/>
      <c r="D100" s="5"/>
      <c r="E100" s="5"/>
      <c r="F100" s="5"/>
      <c r="G100" s="5"/>
      <c r="H100" s="5"/>
      <c r="I100" s="5"/>
      <c r="J100" s="5"/>
      <c r="K100" s="5"/>
      <c r="L100" s="5"/>
      <c r="M100" s="5"/>
      <c r="N100" s="5"/>
      <c r="O100" s="5"/>
      <c r="P100" s="5"/>
      <c r="Q100" s="5"/>
      <c r="R100" s="5"/>
      <c r="S100" s="5"/>
      <c r="T100" s="5"/>
      <c r="U100" s="5"/>
      <c r="V100" s="5"/>
      <c r="W100" s="5"/>
      <c r="X100" s="5"/>
      <c r="Y100" s="5"/>
      <c r="Z100" s="5"/>
      <c r="AA100" s="5"/>
      <c r="AB100" s="5"/>
      <c r="AC100" s="5"/>
      <c r="AD100" s="5"/>
      <c r="AE100" s="5"/>
      <c r="AF100" s="5"/>
      <c r="AG100" s="5"/>
      <c r="AH100" s="5"/>
      <c r="AI100" s="5"/>
      <c r="AJ100" s="5"/>
      <c r="AK100" s="5"/>
      <c r="AL100" s="5"/>
      <c r="AM100" s="5"/>
      <c r="AN100" s="5"/>
    </row>
  </sheetData>
  <pageMargins left="0.7" right="0.7" top="0.75" bottom="0.75" header="0.3" footer="0.3"/>
  <ignoredErrors>
    <ignoredError sqref="AL4:AN4" formula="1"/>
  </ignoredError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9E244-D198-4992-ABCB-EE31459CDDD7}">
  <sheetPr>
    <tabColor rgb="FF2E8B8B"/>
  </sheetPr>
  <dimension ref="A1:AN100"/>
  <sheetViews>
    <sheetView workbookViewId="0">
      <pane xSplit="1" ySplit="2" topLeftCell="AL3" activePane="bottomRight" state="frozen"/>
      <selection pane="topRight" activeCell="B1" sqref="B1"/>
      <selection pane="bottomLeft" activeCell="A3" sqref="A3"/>
      <selection pane="bottomRight" activeCell="D18" sqref="D18"/>
    </sheetView>
  </sheetViews>
  <sheetFormatPr defaultRowHeight="14.4" x14ac:dyDescent="0.3"/>
  <cols>
    <col min="1" max="1" width="24.88671875" bestFit="1" customWidth="1"/>
    <col min="2" max="37" width="10" bestFit="1" customWidth="1"/>
    <col min="38" max="40" width="11" bestFit="1" customWidth="1"/>
  </cols>
  <sheetData>
    <row r="1" spans="1:40" ht="24" customHeight="1" thickBot="1" x14ac:dyDescent="0.35">
      <c r="A1" s="180" t="str" cm="1">
        <f t="array" ref="A1:AK2">'23_Time'!A1:AK2</f>
        <v>Month Index</v>
      </c>
      <c r="B1" s="181">
        <v>1</v>
      </c>
      <c r="C1" s="181">
        <v>2</v>
      </c>
      <c r="D1" s="181">
        <v>3</v>
      </c>
      <c r="E1" s="181">
        <v>4</v>
      </c>
      <c r="F1" s="181">
        <v>5</v>
      </c>
      <c r="G1" s="181">
        <v>6</v>
      </c>
      <c r="H1" s="181">
        <v>7</v>
      </c>
      <c r="I1" s="181">
        <v>8</v>
      </c>
      <c r="J1" s="181">
        <v>9</v>
      </c>
      <c r="K1" s="181">
        <v>10</v>
      </c>
      <c r="L1" s="181">
        <v>11</v>
      </c>
      <c r="M1" s="181">
        <v>12</v>
      </c>
      <c r="N1" s="181">
        <v>13</v>
      </c>
      <c r="O1" s="181">
        <v>14</v>
      </c>
      <c r="P1" s="181">
        <v>15</v>
      </c>
      <c r="Q1" s="181">
        <v>16</v>
      </c>
      <c r="R1" s="181">
        <v>17</v>
      </c>
      <c r="S1" s="181">
        <v>18</v>
      </c>
      <c r="T1" s="181">
        <v>19</v>
      </c>
      <c r="U1" s="181">
        <v>20</v>
      </c>
      <c r="V1" s="181">
        <v>21</v>
      </c>
      <c r="W1" s="181">
        <v>22</v>
      </c>
      <c r="X1" s="181">
        <v>23</v>
      </c>
      <c r="Y1" s="181">
        <v>24</v>
      </c>
      <c r="Z1" s="181">
        <v>25</v>
      </c>
      <c r="AA1" s="181">
        <v>26</v>
      </c>
      <c r="AB1" s="181">
        <v>27</v>
      </c>
      <c r="AC1" s="181">
        <v>28</v>
      </c>
      <c r="AD1" s="181">
        <v>29</v>
      </c>
      <c r="AE1" s="181">
        <v>30</v>
      </c>
      <c r="AF1" s="181">
        <v>31</v>
      </c>
      <c r="AG1" s="181">
        <v>32</v>
      </c>
      <c r="AH1" s="181">
        <v>33</v>
      </c>
      <c r="AI1" s="181">
        <v>34</v>
      </c>
      <c r="AJ1" s="181">
        <v>35</v>
      </c>
      <c r="AK1" s="182">
        <v>36</v>
      </c>
      <c r="AL1" s="126"/>
      <c r="AM1" s="126"/>
      <c r="AN1" s="126"/>
    </row>
    <row r="2" spans="1:40" ht="15" thickBot="1" x14ac:dyDescent="0.35">
      <c r="A2" s="166" t="str">
        <v>Month Label</v>
      </c>
      <c r="B2" s="442" t="str">
        <v>M1</v>
      </c>
      <c r="C2" s="442" t="str">
        <v>M2</v>
      </c>
      <c r="D2" s="442" t="str">
        <v>M3</v>
      </c>
      <c r="E2" s="442" t="str">
        <v>M4</v>
      </c>
      <c r="F2" s="442" t="str">
        <v>M5</v>
      </c>
      <c r="G2" s="442" t="str">
        <v>M6</v>
      </c>
      <c r="H2" s="442" t="str">
        <v>M7</v>
      </c>
      <c r="I2" s="442" t="str">
        <v>M8</v>
      </c>
      <c r="J2" s="442" t="str">
        <v>M9</v>
      </c>
      <c r="K2" s="442" t="str">
        <v>M10</v>
      </c>
      <c r="L2" s="442" t="str">
        <v>M11</v>
      </c>
      <c r="M2" s="442" t="str">
        <v>M12</v>
      </c>
      <c r="N2" s="442" t="str">
        <v>M13</v>
      </c>
      <c r="O2" s="442" t="str">
        <v>M14</v>
      </c>
      <c r="P2" s="442" t="str">
        <v>M15</v>
      </c>
      <c r="Q2" s="442" t="str">
        <v>M16</v>
      </c>
      <c r="R2" s="442" t="str">
        <v>M17</v>
      </c>
      <c r="S2" s="442" t="str">
        <v>M18</v>
      </c>
      <c r="T2" s="442" t="str">
        <v>M19</v>
      </c>
      <c r="U2" s="442" t="str">
        <v>M20</v>
      </c>
      <c r="V2" s="442" t="str">
        <v>M21</v>
      </c>
      <c r="W2" s="442" t="str">
        <v>M22</v>
      </c>
      <c r="X2" s="442" t="str">
        <v>M23</v>
      </c>
      <c r="Y2" s="442" t="str">
        <v>M24</v>
      </c>
      <c r="Z2" s="442" t="str">
        <v>M25</v>
      </c>
      <c r="AA2" s="442" t="str">
        <v>M26</v>
      </c>
      <c r="AB2" s="442" t="str">
        <v>M27</v>
      </c>
      <c r="AC2" s="442" t="str">
        <v>M28</v>
      </c>
      <c r="AD2" s="442" t="str">
        <v>M29</v>
      </c>
      <c r="AE2" s="442" t="str">
        <v>M30</v>
      </c>
      <c r="AF2" s="442" t="str">
        <v>M31</v>
      </c>
      <c r="AG2" s="442" t="str">
        <v>M32</v>
      </c>
      <c r="AH2" s="442" t="str">
        <v>M33</v>
      </c>
      <c r="AI2" s="442" t="str">
        <v>M34</v>
      </c>
      <c r="AJ2" s="442" t="str">
        <v>M35</v>
      </c>
      <c r="AK2" s="442" t="str">
        <v>M36</v>
      </c>
      <c r="AL2" s="210" t="s">
        <v>72</v>
      </c>
      <c r="AM2" s="211" t="s">
        <v>73</v>
      </c>
      <c r="AN2" s="212" t="s">
        <v>74</v>
      </c>
    </row>
    <row r="3" spans="1:40" x14ac:dyDescent="0.3">
      <c r="A3" s="129" t="s">
        <v>154</v>
      </c>
      <c r="B3" s="148">
        <f>B5-B4</f>
        <v>28</v>
      </c>
      <c r="C3" s="148">
        <f t="shared" ref="C3:AK3" si="0">C5-C4</f>
        <v>28</v>
      </c>
      <c r="D3" s="148">
        <f t="shared" si="0"/>
        <v>28</v>
      </c>
      <c r="E3" s="148">
        <f t="shared" si="0"/>
        <v>28</v>
      </c>
      <c r="F3" s="148">
        <f t="shared" si="0"/>
        <v>28</v>
      </c>
      <c r="G3" s="148">
        <f t="shared" si="0"/>
        <v>28</v>
      </c>
      <c r="H3" s="148">
        <f t="shared" si="0"/>
        <v>28</v>
      </c>
      <c r="I3" s="148">
        <f t="shared" si="0"/>
        <v>30</v>
      </c>
      <c r="J3" s="148">
        <f t="shared" si="0"/>
        <v>34</v>
      </c>
      <c r="K3" s="148">
        <f t="shared" si="0"/>
        <v>36</v>
      </c>
      <c r="L3" s="148">
        <f t="shared" si="0"/>
        <v>39</v>
      </c>
      <c r="M3" s="148">
        <f t="shared" si="0"/>
        <v>42</v>
      </c>
      <c r="N3" s="148">
        <f t="shared" si="0"/>
        <v>45</v>
      </c>
      <c r="O3" s="148">
        <f t="shared" si="0"/>
        <v>45</v>
      </c>
      <c r="P3" s="148">
        <f t="shared" si="0"/>
        <v>46</v>
      </c>
      <c r="Q3" s="148">
        <f t="shared" si="0"/>
        <v>46</v>
      </c>
      <c r="R3" s="148">
        <f t="shared" si="0"/>
        <v>46</v>
      </c>
      <c r="S3" s="148">
        <f t="shared" si="0"/>
        <v>47</v>
      </c>
      <c r="T3" s="148">
        <f t="shared" si="0"/>
        <v>47</v>
      </c>
      <c r="U3" s="148">
        <f t="shared" si="0"/>
        <v>47</v>
      </c>
      <c r="V3" s="148">
        <f t="shared" si="0"/>
        <v>52</v>
      </c>
      <c r="W3" s="148">
        <f t="shared" si="0"/>
        <v>54</v>
      </c>
      <c r="X3" s="148">
        <f t="shared" si="0"/>
        <v>58</v>
      </c>
      <c r="Y3" s="148">
        <f t="shared" si="0"/>
        <v>61</v>
      </c>
      <c r="Z3" s="148">
        <f t="shared" si="0"/>
        <v>63</v>
      </c>
      <c r="AA3" s="148">
        <f t="shared" si="0"/>
        <v>64</v>
      </c>
      <c r="AB3" s="148">
        <f t="shared" si="0"/>
        <v>65</v>
      </c>
      <c r="AC3" s="148">
        <f t="shared" si="0"/>
        <v>67</v>
      </c>
      <c r="AD3" s="148">
        <f t="shared" si="0"/>
        <v>68</v>
      </c>
      <c r="AE3" s="148">
        <f t="shared" si="0"/>
        <v>70</v>
      </c>
      <c r="AF3" s="148">
        <f t="shared" si="0"/>
        <v>72</v>
      </c>
      <c r="AG3" s="148">
        <f t="shared" si="0"/>
        <v>73</v>
      </c>
      <c r="AH3" s="148">
        <f t="shared" si="0"/>
        <v>75</v>
      </c>
      <c r="AI3" s="148">
        <f t="shared" si="0"/>
        <v>77</v>
      </c>
      <c r="AJ3" s="148">
        <f t="shared" si="0"/>
        <v>77</v>
      </c>
      <c r="AK3" s="148">
        <f t="shared" si="0"/>
        <v>79</v>
      </c>
      <c r="AL3" s="202">
        <f>B3</f>
        <v>28</v>
      </c>
      <c r="AM3" s="148">
        <f>N3</f>
        <v>45</v>
      </c>
      <c r="AN3" s="195">
        <f>Z3</f>
        <v>63</v>
      </c>
    </row>
    <row r="4" spans="1:40" x14ac:dyDescent="0.3">
      <c r="A4" s="127" t="s">
        <v>155</v>
      </c>
      <c r="B4" s="184">
        <f>'33_Inputs_Opex_Headcount'!B19</f>
        <v>0</v>
      </c>
      <c r="C4" s="184">
        <f>'33_Inputs_Opex_Headcount'!C19</f>
        <v>0</v>
      </c>
      <c r="D4" s="184">
        <f>'33_Inputs_Opex_Headcount'!D19</f>
        <v>0</v>
      </c>
      <c r="E4" s="184">
        <f>'33_Inputs_Opex_Headcount'!E19</f>
        <v>0</v>
      </c>
      <c r="F4" s="184">
        <f>'33_Inputs_Opex_Headcount'!F19</f>
        <v>0</v>
      </c>
      <c r="G4" s="184">
        <f>'33_Inputs_Opex_Headcount'!G19</f>
        <v>0</v>
      </c>
      <c r="H4" s="184">
        <f>'33_Inputs_Opex_Headcount'!H19</f>
        <v>2</v>
      </c>
      <c r="I4" s="184">
        <f>'33_Inputs_Opex_Headcount'!I19</f>
        <v>4</v>
      </c>
      <c r="J4" s="184">
        <f>'33_Inputs_Opex_Headcount'!J19</f>
        <v>2</v>
      </c>
      <c r="K4" s="184">
        <f>'33_Inputs_Opex_Headcount'!K19</f>
        <v>3</v>
      </c>
      <c r="L4" s="184">
        <f>'33_Inputs_Opex_Headcount'!L19</f>
        <v>3</v>
      </c>
      <c r="M4" s="184">
        <f>'33_Inputs_Opex_Headcount'!M19</f>
        <v>3</v>
      </c>
      <c r="N4" s="184">
        <f>'33_Inputs_Opex_Headcount'!N19</f>
        <v>0</v>
      </c>
      <c r="O4" s="184">
        <f>'33_Inputs_Opex_Headcount'!O19</f>
        <v>1</v>
      </c>
      <c r="P4" s="184">
        <f>'33_Inputs_Opex_Headcount'!P19</f>
        <v>0</v>
      </c>
      <c r="Q4" s="184">
        <f>'33_Inputs_Opex_Headcount'!Q19</f>
        <v>0</v>
      </c>
      <c r="R4" s="184">
        <f>'33_Inputs_Opex_Headcount'!R19</f>
        <v>1</v>
      </c>
      <c r="S4" s="184">
        <f>'33_Inputs_Opex_Headcount'!S19</f>
        <v>0</v>
      </c>
      <c r="T4" s="184">
        <f>'33_Inputs_Opex_Headcount'!T19</f>
        <v>0</v>
      </c>
      <c r="U4" s="184">
        <f>'33_Inputs_Opex_Headcount'!U19</f>
        <v>5</v>
      </c>
      <c r="V4" s="184">
        <f>'33_Inputs_Opex_Headcount'!V19</f>
        <v>2</v>
      </c>
      <c r="W4" s="184">
        <f>'33_Inputs_Opex_Headcount'!W19</f>
        <v>4</v>
      </c>
      <c r="X4" s="184">
        <f>'33_Inputs_Opex_Headcount'!X19</f>
        <v>3</v>
      </c>
      <c r="Y4" s="184">
        <f>'33_Inputs_Opex_Headcount'!Y19</f>
        <v>2</v>
      </c>
      <c r="Z4" s="184">
        <f>'33_Inputs_Opex_Headcount'!Z19</f>
        <v>1</v>
      </c>
      <c r="AA4" s="184">
        <f>'33_Inputs_Opex_Headcount'!AA19</f>
        <v>1</v>
      </c>
      <c r="AB4" s="184">
        <f>'33_Inputs_Opex_Headcount'!AB19</f>
        <v>2</v>
      </c>
      <c r="AC4" s="184">
        <f>'33_Inputs_Opex_Headcount'!AC19</f>
        <v>1</v>
      </c>
      <c r="AD4" s="184">
        <f>'33_Inputs_Opex_Headcount'!AD19</f>
        <v>2</v>
      </c>
      <c r="AE4" s="184">
        <f>'33_Inputs_Opex_Headcount'!AE19</f>
        <v>2</v>
      </c>
      <c r="AF4" s="184">
        <f>'33_Inputs_Opex_Headcount'!AF19</f>
        <v>1</v>
      </c>
      <c r="AG4" s="184">
        <f>'33_Inputs_Opex_Headcount'!AG19</f>
        <v>2</v>
      </c>
      <c r="AH4" s="184">
        <f>'33_Inputs_Opex_Headcount'!AH19</f>
        <v>2</v>
      </c>
      <c r="AI4" s="184">
        <f>'33_Inputs_Opex_Headcount'!AI19</f>
        <v>0</v>
      </c>
      <c r="AJ4" s="184">
        <f>'33_Inputs_Opex_Headcount'!AJ19</f>
        <v>2</v>
      </c>
      <c r="AK4" s="184">
        <f>'33_Inputs_Opex_Headcount'!AK19</f>
        <v>0</v>
      </c>
      <c r="AL4" s="283">
        <f>SUMIF('23_Time'!$B$3:$AK$3, 1,B4:AK4)</f>
        <v>17</v>
      </c>
      <c r="AM4" s="184">
        <f>SUMIF('23_Time'!$B$3:$AK$3, 2,B4:AK4)</f>
        <v>18</v>
      </c>
      <c r="AN4" s="284">
        <f>SUMIF('23_Time'!$B$3:$AK$3, 3,B4:AK4)</f>
        <v>16</v>
      </c>
    </row>
    <row r="5" spans="1:40" ht="15" thickBot="1" x14ac:dyDescent="0.35">
      <c r="A5" s="128" t="s">
        <v>156</v>
      </c>
      <c r="B5" s="143">
        <f>'33_Inputs_Opex_Headcount'!B28</f>
        <v>28</v>
      </c>
      <c r="C5" s="143">
        <f>'33_Inputs_Opex_Headcount'!C28</f>
        <v>28</v>
      </c>
      <c r="D5" s="143">
        <f>'33_Inputs_Opex_Headcount'!D28</f>
        <v>28</v>
      </c>
      <c r="E5" s="143">
        <f>'33_Inputs_Opex_Headcount'!E28</f>
        <v>28</v>
      </c>
      <c r="F5" s="143">
        <f>'33_Inputs_Opex_Headcount'!F28</f>
        <v>28</v>
      </c>
      <c r="G5" s="143">
        <f>'33_Inputs_Opex_Headcount'!G28</f>
        <v>28</v>
      </c>
      <c r="H5" s="143">
        <f>'33_Inputs_Opex_Headcount'!H28</f>
        <v>30</v>
      </c>
      <c r="I5" s="143">
        <f>'33_Inputs_Opex_Headcount'!I28</f>
        <v>34</v>
      </c>
      <c r="J5" s="143">
        <f>'33_Inputs_Opex_Headcount'!J28</f>
        <v>36</v>
      </c>
      <c r="K5" s="143">
        <f>'33_Inputs_Opex_Headcount'!K28</f>
        <v>39</v>
      </c>
      <c r="L5" s="143">
        <f>'33_Inputs_Opex_Headcount'!L28</f>
        <v>42</v>
      </c>
      <c r="M5" s="143">
        <f>'33_Inputs_Opex_Headcount'!M28</f>
        <v>45</v>
      </c>
      <c r="N5" s="143">
        <f>'33_Inputs_Opex_Headcount'!N28</f>
        <v>45</v>
      </c>
      <c r="O5" s="143">
        <f>'33_Inputs_Opex_Headcount'!O28</f>
        <v>46</v>
      </c>
      <c r="P5" s="143">
        <f>'33_Inputs_Opex_Headcount'!P28</f>
        <v>46</v>
      </c>
      <c r="Q5" s="143">
        <f>'33_Inputs_Opex_Headcount'!Q28</f>
        <v>46</v>
      </c>
      <c r="R5" s="143">
        <f>'33_Inputs_Opex_Headcount'!R28</f>
        <v>47</v>
      </c>
      <c r="S5" s="143">
        <f>'33_Inputs_Opex_Headcount'!S28</f>
        <v>47</v>
      </c>
      <c r="T5" s="143">
        <f>'33_Inputs_Opex_Headcount'!T28</f>
        <v>47</v>
      </c>
      <c r="U5" s="143">
        <f>'33_Inputs_Opex_Headcount'!U28</f>
        <v>52</v>
      </c>
      <c r="V5" s="143">
        <f>'33_Inputs_Opex_Headcount'!V28</f>
        <v>54</v>
      </c>
      <c r="W5" s="143">
        <f>'33_Inputs_Opex_Headcount'!W28</f>
        <v>58</v>
      </c>
      <c r="X5" s="143">
        <f>'33_Inputs_Opex_Headcount'!X28</f>
        <v>61</v>
      </c>
      <c r="Y5" s="143">
        <f>'33_Inputs_Opex_Headcount'!Y28</f>
        <v>63</v>
      </c>
      <c r="Z5" s="143">
        <f>'33_Inputs_Opex_Headcount'!Z28</f>
        <v>64</v>
      </c>
      <c r="AA5" s="143">
        <f>'33_Inputs_Opex_Headcount'!AA28</f>
        <v>65</v>
      </c>
      <c r="AB5" s="143">
        <f>'33_Inputs_Opex_Headcount'!AB28</f>
        <v>67</v>
      </c>
      <c r="AC5" s="143">
        <f>'33_Inputs_Opex_Headcount'!AC28</f>
        <v>68</v>
      </c>
      <c r="AD5" s="143">
        <f>'33_Inputs_Opex_Headcount'!AD28</f>
        <v>70</v>
      </c>
      <c r="AE5" s="143">
        <f>'33_Inputs_Opex_Headcount'!AE28</f>
        <v>72</v>
      </c>
      <c r="AF5" s="143">
        <f>'33_Inputs_Opex_Headcount'!AF28</f>
        <v>73</v>
      </c>
      <c r="AG5" s="143">
        <f>'33_Inputs_Opex_Headcount'!AG28</f>
        <v>75</v>
      </c>
      <c r="AH5" s="143">
        <f>'33_Inputs_Opex_Headcount'!AH28</f>
        <v>77</v>
      </c>
      <c r="AI5" s="143">
        <f>'33_Inputs_Opex_Headcount'!AI28</f>
        <v>77</v>
      </c>
      <c r="AJ5" s="143">
        <f>'33_Inputs_Opex_Headcount'!AJ28</f>
        <v>79</v>
      </c>
      <c r="AK5" s="143">
        <f>'33_Inputs_Opex_Headcount'!AK28</f>
        <v>79</v>
      </c>
      <c r="AL5" s="289">
        <f>M5</f>
        <v>45</v>
      </c>
      <c r="AM5" s="143">
        <f>Y5</f>
        <v>63</v>
      </c>
      <c r="AN5" s="144">
        <f>AK5</f>
        <v>79</v>
      </c>
    </row>
    <row r="6" spans="1:40" x14ac:dyDescent="0.3">
      <c r="A6" s="129" t="s">
        <v>158</v>
      </c>
      <c r="B6" s="186">
        <f>'33_Inputs_Opex_Headcount'!B32*(1+'33_Inputs_Opex_Headcount'!$G$8)</f>
        <v>685400</v>
      </c>
      <c r="C6" s="186">
        <f>'33_Inputs_Opex_Headcount'!C32*(1+'33_Inputs_Opex_Headcount'!$G$8)</f>
        <v>685400</v>
      </c>
      <c r="D6" s="186">
        <f>'33_Inputs_Opex_Headcount'!D32*(1+'33_Inputs_Opex_Headcount'!$G$8)</f>
        <v>685400</v>
      </c>
      <c r="E6" s="186">
        <f>'33_Inputs_Opex_Headcount'!E32*(1+'33_Inputs_Opex_Headcount'!$G$8)</f>
        <v>685400</v>
      </c>
      <c r="F6" s="186">
        <f>'33_Inputs_Opex_Headcount'!F32*(1+'33_Inputs_Opex_Headcount'!$G$8)</f>
        <v>685400</v>
      </c>
      <c r="G6" s="186">
        <f>'33_Inputs_Opex_Headcount'!G32*(1+'33_Inputs_Opex_Headcount'!$G$8)</f>
        <v>685400</v>
      </c>
      <c r="H6" s="186">
        <f>'33_Inputs_Opex_Headcount'!H32*(1+'33_Inputs_Opex_Headcount'!$G$8)</f>
        <v>740600</v>
      </c>
      <c r="I6" s="186">
        <f>'33_Inputs_Opex_Headcount'!I32*(1+'33_Inputs_Opex_Headcount'!$G$8)</f>
        <v>827999.99999999988</v>
      </c>
      <c r="J6" s="186">
        <f>'33_Inputs_Opex_Headcount'!J32*(1+'33_Inputs_Opex_Headcount'!$G$8)</f>
        <v>883199.99999999988</v>
      </c>
      <c r="K6" s="186">
        <f>'33_Inputs_Opex_Headcount'!K32*(1+'33_Inputs_Opex_Headcount'!$G$8)</f>
        <v>947599.99999999988</v>
      </c>
      <c r="L6" s="186">
        <f>'33_Inputs_Opex_Headcount'!L32*(1+'33_Inputs_Opex_Headcount'!$G$8)</f>
        <v>1025799.9999999999</v>
      </c>
      <c r="M6" s="186">
        <f>'33_Inputs_Opex_Headcount'!M32*(1+'33_Inputs_Opex_Headcount'!$G$8)</f>
        <v>1090200</v>
      </c>
      <c r="N6" s="186">
        <f>'33_Inputs_Opex_Headcount'!N32*(1+'33_Inputs_Opex_Headcount'!$G$8)</f>
        <v>1090200</v>
      </c>
      <c r="O6" s="186">
        <f>'33_Inputs_Opex_Headcount'!O32*(1+'33_Inputs_Opex_Headcount'!$G$8)</f>
        <v>1104000</v>
      </c>
      <c r="P6" s="186">
        <f>'33_Inputs_Opex_Headcount'!P32*(1+'33_Inputs_Opex_Headcount'!$G$8)</f>
        <v>1104000</v>
      </c>
      <c r="Q6" s="186">
        <f>'33_Inputs_Opex_Headcount'!Q32*(1+'33_Inputs_Opex_Headcount'!$G$8)</f>
        <v>1104000</v>
      </c>
      <c r="R6" s="186">
        <f>'33_Inputs_Opex_Headcount'!R32*(1+'33_Inputs_Opex_Headcount'!$G$8)</f>
        <v>1117800</v>
      </c>
      <c r="S6" s="186">
        <f>'33_Inputs_Opex_Headcount'!S32*(1+'33_Inputs_Opex_Headcount'!$G$8)</f>
        <v>1117800</v>
      </c>
      <c r="T6" s="186">
        <f>'33_Inputs_Opex_Headcount'!T32*(1+'33_Inputs_Opex_Headcount'!$G$8)</f>
        <v>1117800</v>
      </c>
      <c r="U6" s="186">
        <f>'33_Inputs_Opex_Headcount'!U32*(1+'33_Inputs_Opex_Headcount'!$G$8)</f>
        <v>1230500</v>
      </c>
      <c r="V6" s="186">
        <f>'33_Inputs_Opex_Headcount'!V32*(1+'33_Inputs_Opex_Headcount'!$G$8)</f>
        <v>1281100</v>
      </c>
      <c r="W6" s="186">
        <f>'33_Inputs_Opex_Headcount'!W32*(1+'33_Inputs_Opex_Headcount'!$G$8)</f>
        <v>1380000</v>
      </c>
      <c r="X6" s="186">
        <f>'33_Inputs_Opex_Headcount'!X32*(1+'33_Inputs_Opex_Headcount'!$G$8)</f>
        <v>1444400</v>
      </c>
      <c r="Y6" s="186">
        <f>'33_Inputs_Opex_Headcount'!Y32*(1+'33_Inputs_Opex_Headcount'!$G$8)</f>
        <v>1495000</v>
      </c>
      <c r="Z6" s="186">
        <f>'33_Inputs_Opex_Headcount'!Z32*(1+'33_Inputs_Opex_Headcount'!$G$8)</f>
        <v>1515699.9999999998</v>
      </c>
      <c r="AA6" s="186">
        <f>'33_Inputs_Opex_Headcount'!AA32*(1+'33_Inputs_Opex_Headcount'!$G$8)</f>
        <v>1529499.9999999998</v>
      </c>
      <c r="AB6" s="186">
        <f>'33_Inputs_Opex_Headcount'!AB32*(1+'33_Inputs_Opex_Headcount'!$G$8)</f>
        <v>1580099.9999999998</v>
      </c>
      <c r="AC6" s="186">
        <f>'33_Inputs_Opex_Headcount'!AC32*(1+'33_Inputs_Opex_Headcount'!$G$8)</f>
        <v>1605399.9999999998</v>
      </c>
      <c r="AD6" s="186">
        <f>'33_Inputs_Opex_Headcount'!AD32*(1+'33_Inputs_Opex_Headcount'!$G$8)</f>
        <v>1639899.9999999998</v>
      </c>
      <c r="AE6" s="186">
        <f>'33_Inputs_Opex_Headcount'!AE32*(1+'33_Inputs_Opex_Headcount'!$G$8)</f>
        <v>1692799.9999999998</v>
      </c>
      <c r="AF6" s="186">
        <f>'33_Inputs_Opex_Headcount'!AF32*(1+'33_Inputs_Opex_Headcount'!$G$8)</f>
        <v>1713499.9999999998</v>
      </c>
      <c r="AG6" s="186">
        <f>'33_Inputs_Opex_Headcount'!AG32*(1+'33_Inputs_Opex_Headcount'!$G$8)</f>
        <v>1752599.9999999998</v>
      </c>
      <c r="AH6" s="186">
        <f>'33_Inputs_Opex_Headcount'!AH32*(1+'33_Inputs_Opex_Headcount'!$G$8)</f>
        <v>1803199.9999999998</v>
      </c>
      <c r="AI6" s="186">
        <f>'33_Inputs_Opex_Headcount'!AI32*(1+'33_Inputs_Opex_Headcount'!$G$8)</f>
        <v>1803199.9999999998</v>
      </c>
      <c r="AJ6" s="186">
        <f>'33_Inputs_Opex_Headcount'!AJ32*(1+'33_Inputs_Opex_Headcount'!$G$8)</f>
        <v>1837699.9999999998</v>
      </c>
      <c r="AK6" s="186">
        <f>'33_Inputs_Opex_Headcount'!AK32*(1+'33_Inputs_Opex_Headcount'!$G$8)</f>
        <v>1837699.9999999998</v>
      </c>
      <c r="AL6" s="185">
        <f>SUMIF('23_Time'!$B$3:$AK$3, 1,B6:AK6)</f>
        <v>9627800</v>
      </c>
      <c r="AM6" s="186">
        <f>SUMIF('23_Time'!$B$3:$AK$3, 2,B6:AK6)</f>
        <v>14586600</v>
      </c>
      <c r="AN6" s="187">
        <f>SUMIF('23_Time'!$B$3:$AK$3, 3,B6:AK6)</f>
        <v>20311299.999999996</v>
      </c>
    </row>
    <row r="7" spans="1:40" x14ac:dyDescent="0.3">
      <c r="A7" s="127" t="s">
        <v>153</v>
      </c>
      <c r="B7" s="189">
        <f>'40_Customers_Orders'!B8*'31_Inputs_UnitEconomics'!$B$18</f>
        <v>1205.4545454545453</v>
      </c>
      <c r="C7" s="189">
        <f>'40_Customers_Orders'!C8*'31_Inputs_UnitEconomics'!$B$18</f>
        <v>2421.4989345363174</v>
      </c>
      <c r="D7" s="189">
        <f>'40_Customers_Orders'!D8*'31_Inputs_UnitEconomics'!$B$18</f>
        <v>3649.1989978544348</v>
      </c>
      <c r="E7" s="189">
        <f>'40_Customers_Orders'!E8*'31_Inputs_UnitEconomics'!$B$18</f>
        <v>4889.6200030542304</v>
      </c>
      <c r="F7" s="189">
        <f>'40_Customers_Orders'!F8*'31_Inputs_UnitEconomics'!$B$18</f>
        <v>6143.8275976315663</v>
      </c>
      <c r="G7" s="189">
        <f>'40_Customers_Orders'!G8*'31_Inputs_UnitEconomics'!$B$18</f>
        <v>7412.8887420571346</v>
      </c>
      <c r="H7" s="189">
        <f>'40_Customers_Orders'!H8*'31_Inputs_UnitEconomics'!$B$18</f>
        <v>8697.8726341320798</v>
      </c>
      <c r="I7" s="189">
        <f>'40_Customers_Orders'!I8*'31_Inputs_UnitEconomics'!$B$18</f>
        <v>9999.851625478821</v>
      </c>
      <c r="J7" s="189">
        <f>'40_Customers_Orders'!J8*'31_Inputs_UnitEconomics'!$B$18</f>
        <v>11319.90213105441</v>
      </c>
      <c r="K7" s="189">
        <f>'40_Customers_Orders'!K8*'31_Inputs_UnitEconomics'!$B$18</f>
        <v>12659.105532558211</v>
      </c>
      <c r="L7" s="189">
        <f>'40_Customers_Orders'!L8*'31_Inputs_UnitEconomics'!$B$18</f>
        <v>14018.549076591024</v>
      </c>
      <c r="M7" s="189">
        <f>'40_Customers_Orders'!M8*'31_Inputs_UnitEconomics'!$B$18</f>
        <v>15399.326768409135</v>
      </c>
      <c r="N7" s="189">
        <f>'40_Customers_Orders'!N8*'31_Inputs_UnitEconomics'!$B$18</f>
        <v>20573.576812643496</v>
      </c>
      <c r="O7" s="189">
        <f>'40_Customers_Orders'!O8*'31_Inputs_UnitEconomics'!$B$18</f>
        <v>25734.532190746868</v>
      </c>
      <c r="P7" s="189">
        <f>'40_Customers_Orders'!P8*'31_Inputs_UnitEconomics'!$B$18</f>
        <v>30886.978714351651</v>
      </c>
      <c r="Q7" s="189">
        <f>'40_Customers_Orders'!Q8*'31_Inputs_UnitEconomics'!$B$18</f>
        <v>36035.644384309679</v>
      </c>
      <c r="R7" s="189">
        <f>'40_Customers_Orders'!R8*'31_Inputs_UnitEconomics'!$B$18</f>
        <v>41185.204154483792</v>
      </c>
      <c r="S7" s="189">
        <f>'40_Customers_Orders'!S8*'31_Inputs_UnitEconomics'!$B$18</f>
        <v>46340.284598329177</v>
      </c>
      <c r="T7" s="189">
        <f>'40_Customers_Orders'!T8*'31_Inputs_UnitEconomics'!$B$18</f>
        <v>51505.468483390978</v>
      </c>
      <c r="U7" s="189">
        <f>'40_Customers_Orders'!U8*'31_Inputs_UnitEconomics'!$B$18</f>
        <v>63783.17334156116</v>
      </c>
      <c r="V7" s="189">
        <f>'40_Customers_Orders'!V8*'31_Inputs_UnitEconomics'!$B$18</f>
        <v>76010.691854370889</v>
      </c>
      <c r="W7" s="189">
        <f>'40_Customers_Orders'!W8*'31_Inputs_UnitEconomics'!$B$18</f>
        <v>88199.402520948919</v>
      </c>
      <c r="X7" s="189">
        <f>'40_Customers_Orders'!X8*'31_Inputs_UnitEconomics'!$B$18</f>
        <v>100360.52929954309</v>
      </c>
      <c r="Y7" s="189">
        <f>'40_Customers_Orders'!Y8*'31_Inputs_UnitEconomics'!$B$18</f>
        <v>112505.15309660863</v>
      </c>
      <c r="Z7" s="189">
        <f>'40_Customers_Orders'!Z8*'31_Inputs_UnitEconomics'!$B$18</f>
        <v>124644.22300817573</v>
      </c>
      <c r="AA7" s="189">
        <f>'40_Customers_Orders'!AA8*'31_Inputs_UnitEconomics'!$B$18</f>
        <v>136788.56732599012</v>
      </c>
      <c r="AB7" s="189">
        <f>'40_Customers_Orders'!AB8*'31_Inputs_UnitEconomics'!$B$18</f>
        <v>148948.90432058022</v>
      </c>
      <c r="AC7" s="189">
        <f>'40_Customers_Orders'!AC8*'31_Inputs_UnitEconomics'!$B$18</f>
        <v>161135.85281308039</v>
      </c>
      <c r="AD7" s="189">
        <f>'40_Customers_Orders'!AD8*'31_Inputs_UnitEconomics'!$B$18</f>
        <v>173359.94254732781</v>
      </c>
      <c r="AE7" s="189">
        <f>'40_Customers_Orders'!AE8*'31_Inputs_UnitEconomics'!$B$18</f>
        <v>185631.6243734539</v>
      </c>
      <c r="AF7" s="189">
        <f>'40_Customers_Orders'!AF8*'31_Inputs_UnitEconomics'!$B$18</f>
        <v>197961.28025390455</v>
      </c>
      <c r="AG7" s="189">
        <f>'40_Customers_Orders'!AG8*'31_Inputs_UnitEconomics'!$B$18</f>
        <v>210359.23310255422</v>
      </c>
      <c r="AH7" s="189">
        <f>'40_Customers_Orders'!AH8*'31_Inputs_UnitEconomics'!$B$18</f>
        <v>222835.7564673158</v>
      </c>
      <c r="AI7" s="189">
        <f>'40_Customers_Orders'!AI8*'31_Inputs_UnitEconomics'!$B$18</f>
        <v>235401.08406640284</v>
      </c>
      <c r="AJ7" s="189">
        <f>'40_Customers_Orders'!AJ8*'31_Inputs_UnitEconomics'!$B$18</f>
        <v>248065.41918816284</v>
      </c>
      <c r="AK7" s="189">
        <f>'40_Customers_Orders'!AK8*'31_Inputs_UnitEconomics'!$B$18</f>
        <v>260838.94396417588</v>
      </c>
      <c r="AL7" s="188">
        <f>SUMIF('23_Time'!$B$3:$AK$3, 1,B7:AK7)</f>
        <v>97817.09658881191</v>
      </c>
      <c r="AM7" s="189">
        <f>SUMIF('23_Time'!$B$3:$AK$3, 2,B7:AK7)</f>
        <v>693120.63945128827</v>
      </c>
      <c r="AN7" s="190">
        <f>SUMIF('23_Time'!$B$3:$AK$3, 3,B7:AK7)</f>
        <v>2305970.8314311244</v>
      </c>
    </row>
    <row r="8" spans="1:40" ht="15" thickBot="1" x14ac:dyDescent="0.35">
      <c r="A8" s="127" t="s">
        <v>161</v>
      </c>
      <c r="B8" s="199">
        <f>'34_Inputs_Opex_NonPeople'!$H$7</f>
        <v>310000</v>
      </c>
      <c r="C8" s="199">
        <f>'34_Inputs_Opex_NonPeople'!$H$7</f>
        <v>310000</v>
      </c>
      <c r="D8" s="199">
        <f>'34_Inputs_Opex_NonPeople'!$H$7</f>
        <v>310000</v>
      </c>
      <c r="E8" s="199">
        <f>'34_Inputs_Opex_NonPeople'!$H$7</f>
        <v>310000</v>
      </c>
      <c r="F8" s="199">
        <f>'34_Inputs_Opex_NonPeople'!$H$7</f>
        <v>310000</v>
      </c>
      <c r="G8" s="199">
        <f>'34_Inputs_Opex_NonPeople'!$H$7</f>
        <v>310000</v>
      </c>
      <c r="H8" s="199">
        <f>'34_Inputs_Opex_NonPeople'!$H$7</f>
        <v>310000</v>
      </c>
      <c r="I8" s="199">
        <f>'34_Inputs_Opex_NonPeople'!$H$7</f>
        <v>310000</v>
      </c>
      <c r="J8" s="199">
        <f>'34_Inputs_Opex_NonPeople'!$H$7</f>
        <v>310000</v>
      </c>
      <c r="K8" s="199">
        <f>'34_Inputs_Opex_NonPeople'!$H$7</f>
        <v>310000</v>
      </c>
      <c r="L8" s="199">
        <f>'34_Inputs_Opex_NonPeople'!$H$7</f>
        <v>310000</v>
      </c>
      <c r="M8" s="199">
        <f>'34_Inputs_Opex_NonPeople'!$H$7</f>
        <v>310000</v>
      </c>
      <c r="N8" s="199">
        <f>'34_Inputs_Opex_NonPeople'!$H$7</f>
        <v>310000</v>
      </c>
      <c r="O8" s="199">
        <f>'34_Inputs_Opex_NonPeople'!$H$7</f>
        <v>310000</v>
      </c>
      <c r="P8" s="199">
        <f>'34_Inputs_Opex_NonPeople'!$H$7</f>
        <v>310000</v>
      </c>
      <c r="Q8" s="199">
        <f>'34_Inputs_Opex_NonPeople'!$H$7</f>
        <v>310000</v>
      </c>
      <c r="R8" s="199">
        <f>'34_Inputs_Opex_NonPeople'!$H$7</f>
        <v>310000</v>
      </c>
      <c r="S8" s="199">
        <f>'34_Inputs_Opex_NonPeople'!$H$7</f>
        <v>310000</v>
      </c>
      <c r="T8" s="199">
        <f>'34_Inputs_Opex_NonPeople'!$H$7</f>
        <v>310000</v>
      </c>
      <c r="U8" s="199">
        <f>'34_Inputs_Opex_NonPeople'!$H$7</f>
        <v>310000</v>
      </c>
      <c r="V8" s="199">
        <f>'34_Inputs_Opex_NonPeople'!$H$7</f>
        <v>310000</v>
      </c>
      <c r="W8" s="199">
        <f>'34_Inputs_Opex_NonPeople'!$H$7</f>
        <v>310000</v>
      </c>
      <c r="X8" s="199">
        <f>'34_Inputs_Opex_NonPeople'!$H$7</f>
        <v>310000</v>
      </c>
      <c r="Y8" s="199">
        <f>'34_Inputs_Opex_NonPeople'!$H$7</f>
        <v>310000</v>
      </c>
      <c r="Z8" s="199">
        <f>'34_Inputs_Opex_NonPeople'!$H$7</f>
        <v>310000</v>
      </c>
      <c r="AA8" s="199">
        <f>'34_Inputs_Opex_NonPeople'!$H$7</f>
        <v>310000</v>
      </c>
      <c r="AB8" s="199">
        <f>'34_Inputs_Opex_NonPeople'!$H$7</f>
        <v>310000</v>
      </c>
      <c r="AC8" s="199">
        <f>'34_Inputs_Opex_NonPeople'!$H$7</f>
        <v>310000</v>
      </c>
      <c r="AD8" s="199">
        <f>'34_Inputs_Opex_NonPeople'!$H$7</f>
        <v>310000</v>
      </c>
      <c r="AE8" s="199">
        <f>'34_Inputs_Opex_NonPeople'!$H$7</f>
        <v>310000</v>
      </c>
      <c r="AF8" s="199">
        <f>'34_Inputs_Opex_NonPeople'!$H$7</f>
        <v>310000</v>
      </c>
      <c r="AG8" s="199">
        <f>'34_Inputs_Opex_NonPeople'!$H$7</f>
        <v>310000</v>
      </c>
      <c r="AH8" s="199">
        <f>'34_Inputs_Opex_NonPeople'!$H$7</f>
        <v>310000</v>
      </c>
      <c r="AI8" s="199">
        <f>'34_Inputs_Opex_NonPeople'!$H$7</f>
        <v>310000</v>
      </c>
      <c r="AJ8" s="199">
        <f>'34_Inputs_Opex_NonPeople'!$H$7</f>
        <v>310000</v>
      </c>
      <c r="AK8" s="199">
        <f>'34_Inputs_Opex_NonPeople'!$H$7</f>
        <v>310000</v>
      </c>
      <c r="AL8" s="188">
        <f>SUMIF('23_Time'!$B$3:$AK$3, 1,B8:AK8)</f>
        <v>3720000</v>
      </c>
      <c r="AM8" s="189">
        <f>SUMIF('23_Time'!$B$3:$AK$3, 2,B8:AK8)</f>
        <v>3720000</v>
      </c>
      <c r="AN8" s="190">
        <f>SUMIF('23_Time'!$B$3:$AK$3, 3,B8:AK8)</f>
        <v>3720000</v>
      </c>
    </row>
    <row r="9" spans="1:40" x14ac:dyDescent="0.3">
      <c r="A9" s="129" t="s">
        <v>233</v>
      </c>
      <c r="B9" s="301">
        <f>'32_Inputs_GrowthRetention'!$C$9</f>
        <v>110</v>
      </c>
      <c r="C9" s="301">
        <f>MAX(B9*(1+'32_Inputs_GrowthRetention'!$B$10),'32_Inputs_GrowthRetention'!$B$11)</f>
        <v>109.45</v>
      </c>
      <c r="D9" s="301">
        <f>MAX(C9*(1+'32_Inputs_GrowthRetention'!$B$10),'32_Inputs_GrowthRetention'!$B$11)</f>
        <v>108.90275</v>
      </c>
      <c r="E9" s="301">
        <f>MAX(D9*(1+'32_Inputs_GrowthRetention'!$B$10),'32_Inputs_GrowthRetention'!$B$11)</f>
        <v>108.35823624999999</v>
      </c>
      <c r="F9" s="301">
        <f>MAX(E9*(1+'32_Inputs_GrowthRetention'!$B$10),'32_Inputs_GrowthRetention'!$B$11)</f>
        <v>107.81644506874999</v>
      </c>
      <c r="G9" s="301">
        <f>MAX(F9*(1+'32_Inputs_GrowthRetention'!$B$10),'32_Inputs_GrowthRetention'!$B$11)</f>
        <v>107.27736284340624</v>
      </c>
      <c r="H9" s="301">
        <f>MAX(G9*(1+'32_Inputs_GrowthRetention'!$B$10),'32_Inputs_GrowthRetention'!$B$11)</f>
        <v>106.74097602918921</v>
      </c>
      <c r="I9" s="301">
        <f>MAX(H9*(1+'32_Inputs_GrowthRetention'!$B$10),'32_Inputs_GrowthRetention'!$B$11)</f>
        <v>106.20727114904327</v>
      </c>
      <c r="J9" s="301">
        <f>MAX(I9*(1+'32_Inputs_GrowthRetention'!$B$10),'32_Inputs_GrowthRetention'!$B$11)</f>
        <v>105.67623479329805</v>
      </c>
      <c r="K9" s="301">
        <f>MAX(J9*(1+'32_Inputs_GrowthRetention'!$B$10),'32_Inputs_GrowthRetention'!$B$11)</f>
        <v>105.14785361933156</v>
      </c>
      <c r="L9" s="301">
        <f>MAX(K9*(1+'32_Inputs_GrowthRetention'!$B$10),'32_Inputs_GrowthRetention'!$B$11)</f>
        <v>104.6221143512349</v>
      </c>
      <c r="M9" s="301">
        <f>MAX(L9*(1+'32_Inputs_GrowthRetention'!$B$10),'32_Inputs_GrowthRetention'!$B$11)</f>
        <v>104.09900377947872</v>
      </c>
      <c r="N9" s="301">
        <f>MAX(M9*(1+'32_Inputs_GrowthRetention'!$B$10),'32_Inputs_GrowthRetention'!$B$11)</f>
        <v>103.57850876058133</v>
      </c>
      <c r="O9" s="301">
        <f>MAX(N9*(1+'32_Inputs_GrowthRetention'!$B$10),'32_Inputs_GrowthRetention'!$B$11)</f>
        <v>103.06061621677843</v>
      </c>
      <c r="P9" s="301">
        <f>MAX(O9*(1+'32_Inputs_GrowthRetention'!$B$10),'32_Inputs_GrowthRetention'!$B$11)</f>
        <v>102.54531313569454</v>
      </c>
      <c r="Q9" s="301">
        <f>MAX(P9*(1+'32_Inputs_GrowthRetention'!$B$10),'32_Inputs_GrowthRetention'!$B$11)</f>
        <v>102.03258657001606</v>
      </c>
      <c r="R9" s="301">
        <f>MAX(Q9*(1+'32_Inputs_GrowthRetention'!$B$10),'32_Inputs_GrowthRetention'!$B$11)</f>
        <v>101.52242363716599</v>
      </c>
      <c r="S9" s="301">
        <f>MAX(R9*(1+'32_Inputs_GrowthRetention'!$B$10),'32_Inputs_GrowthRetention'!$B$11)</f>
        <v>101.01481151898015</v>
      </c>
      <c r="T9" s="301">
        <f>MAX(S9*(1+'32_Inputs_GrowthRetention'!$B$10),'32_Inputs_GrowthRetention'!$B$11)</f>
        <v>100.50973746138526</v>
      </c>
      <c r="U9" s="301">
        <f>MAX(T9*(1+'32_Inputs_GrowthRetention'!$B$10),'32_Inputs_GrowthRetention'!$B$11)</f>
        <v>100.00718877407833</v>
      </c>
      <c r="V9" s="301">
        <f>MAX(U9*(1+'32_Inputs_GrowthRetention'!$B$10),'32_Inputs_GrowthRetention'!$B$11)</f>
        <v>99.507152830207943</v>
      </c>
      <c r="W9" s="301">
        <f>MAX(V9*(1+'32_Inputs_GrowthRetention'!$B$10),'32_Inputs_GrowthRetention'!$B$11)</f>
        <v>99.009617066056904</v>
      </c>
      <c r="X9" s="301">
        <f>MAX(W9*(1+'32_Inputs_GrowthRetention'!$B$10),'32_Inputs_GrowthRetention'!$B$11)</f>
        <v>98.514568980726622</v>
      </c>
      <c r="Y9" s="301">
        <f>MAX(X9*(1+'32_Inputs_GrowthRetention'!$B$10),'32_Inputs_GrowthRetention'!$B$11)</f>
        <v>98.021996135822988</v>
      </c>
      <c r="Z9" s="301">
        <f>MAX(Y9*(1+'32_Inputs_GrowthRetention'!$B$10),'32_Inputs_GrowthRetention'!$B$11)</f>
        <v>97.531886155143866</v>
      </c>
      <c r="AA9" s="301">
        <f>MAX(Z9*(1+'32_Inputs_GrowthRetention'!$B$10),'32_Inputs_GrowthRetention'!$B$11)</f>
        <v>97.044226724368144</v>
      </c>
      <c r="AB9" s="301">
        <f>MAX(AA9*(1+'32_Inputs_GrowthRetention'!$B$10),'32_Inputs_GrowthRetention'!$B$11)</f>
        <v>96.55900559074631</v>
      </c>
      <c r="AC9" s="301">
        <f>MAX(AB9*(1+'32_Inputs_GrowthRetention'!$B$10),'32_Inputs_GrowthRetention'!$B$11)</f>
        <v>96.076210562792582</v>
      </c>
      <c r="AD9" s="301">
        <f>MAX(AC9*(1+'32_Inputs_GrowthRetention'!$B$10),'32_Inputs_GrowthRetention'!$B$11)</f>
        <v>95.595829509978614</v>
      </c>
      <c r="AE9" s="301">
        <f>MAX(AD9*(1+'32_Inputs_GrowthRetention'!$B$10),'32_Inputs_GrowthRetention'!$B$11)</f>
        <v>95.117850362428726</v>
      </c>
      <c r="AF9" s="301">
        <f>MAX(AE9*(1+'32_Inputs_GrowthRetention'!$B$10),'32_Inputs_GrowthRetention'!$B$11)</f>
        <v>94.642261110616587</v>
      </c>
      <c r="AG9" s="301">
        <f>MAX(AF9*(1+'32_Inputs_GrowthRetention'!$B$10),'32_Inputs_GrowthRetention'!$B$11)</f>
        <v>94.169049805063509</v>
      </c>
      <c r="AH9" s="301">
        <f>MAX(AG9*(1+'32_Inputs_GrowthRetention'!$B$10),'32_Inputs_GrowthRetention'!$B$11)</f>
        <v>93.698204556038192</v>
      </c>
      <c r="AI9" s="301">
        <f>MAX(AH9*(1+'32_Inputs_GrowthRetention'!$B$10),'32_Inputs_GrowthRetention'!$B$11)</f>
        <v>93.229713533258007</v>
      </c>
      <c r="AJ9" s="301">
        <f>MAX(AI9*(1+'32_Inputs_GrowthRetention'!$B$10),'32_Inputs_GrowthRetention'!$B$11)</f>
        <v>92.763564965591712</v>
      </c>
      <c r="AK9" s="301">
        <f>MAX(AJ9*(1+'32_Inputs_GrowthRetention'!$B$10),'32_Inputs_GrowthRetention'!$B$11)</f>
        <v>92.299747140763756</v>
      </c>
      <c r="AL9" s="185"/>
      <c r="AM9" s="186"/>
      <c r="AN9" s="187"/>
    </row>
    <row r="10" spans="1:40" x14ac:dyDescent="0.3">
      <c r="A10" s="127" t="s">
        <v>234</v>
      </c>
      <c r="B10" s="189">
        <f>IF(B$1&gt;='36_Inputs_Funding'!$B$14+1,'32_Inputs_GrowthRetention'!$C$16*(1+'32_Inputs_GrowthRetention'!$B$17)^(B$1-'36_Inputs_Funding'!$B$14-1),IF(B$1&gt;='36_Inputs_Funding'!$B$13+1,'32_Inputs_GrowthRetention'!$C$15*(1+'32_Inputs_GrowthRetention'!$B$17)^(B$1-'36_Inputs_Funding'!$B$13-1),'32_Inputs_GrowthRetention'!$C$14*(1+'32_Inputs_GrowthRetention'!$B$17)^(B$1-1)))-'32_Inputs_GrowthRetention'!$B$12</f>
        <v>130000</v>
      </c>
      <c r="C10" s="189">
        <f>IF(C$1&gt;='36_Inputs_Funding'!$B$14+1,'32_Inputs_GrowthRetention'!$C$16*(1+'32_Inputs_GrowthRetention'!$B$17)^(C$1-'36_Inputs_Funding'!$B$14-1),IF(C$1&gt;='36_Inputs_Funding'!$B$13+1,'32_Inputs_GrowthRetention'!$C$15*(1+'32_Inputs_GrowthRetention'!$B$17)^(C$1-'36_Inputs_Funding'!$B$13-1),'32_Inputs_GrowthRetention'!$C$14*(1+'32_Inputs_GrowthRetention'!$B$17)^(C$1-1)))-'32_Inputs_GrowthRetention'!$B$12</f>
        <v>135000</v>
      </c>
      <c r="D10" s="189">
        <f>IF(D$1&gt;='36_Inputs_Funding'!$B$14+1,'32_Inputs_GrowthRetention'!$C$16*(1+'32_Inputs_GrowthRetention'!$B$17)^(D$1-'36_Inputs_Funding'!$B$14-1),IF(D$1&gt;='36_Inputs_Funding'!$B$13+1,'32_Inputs_GrowthRetention'!$C$15*(1+'32_Inputs_GrowthRetention'!$B$17)^(D$1-'36_Inputs_Funding'!$B$13-1),'32_Inputs_GrowthRetention'!$C$14*(1+'32_Inputs_GrowthRetention'!$B$17)^(D$1-1)))-'32_Inputs_GrowthRetention'!$B$12</f>
        <v>140100</v>
      </c>
      <c r="E10" s="189">
        <f>IF(E$1&gt;='36_Inputs_Funding'!$B$14+1,'32_Inputs_GrowthRetention'!$C$16*(1+'32_Inputs_GrowthRetention'!$B$17)^(E$1-'36_Inputs_Funding'!$B$14-1),IF(E$1&gt;='36_Inputs_Funding'!$B$13+1,'32_Inputs_GrowthRetention'!$C$15*(1+'32_Inputs_GrowthRetention'!$B$17)^(E$1-'36_Inputs_Funding'!$B$13-1),'32_Inputs_GrowthRetention'!$C$14*(1+'32_Inputs_GrowthRetention'!$B$17)^(E$1-1)))-'32_Inputs_GrowthRetention'!$B$12</f>
        <v>145302</v>
      </c>
      <c r="F10" s="189">
        <f>IF(F$1&gt;='36_Inputs_Funding'!$B$14+1,'32_Inputs_GrowthRetention'!$C$16*(1+'32_Inputs_GrowthRetention'!$B$17)^(F$1-'36_Inputs_Funding'!$B$14-1),IF(F$1&gt;='36_Inputs_Funding'!$B$13+1,'32_Inputs_GrowthRetention'!$C$15*(1+'32_Inputs_GrowthRetention'!$B$17)^(F$1-'36_Inputs_Funding'!$B$13-1),'32_Inputs_GrowthRetention'!$C$14*(1+'32_Inputs_GrowthRetention'!$B$17)^(F$1-1)))-'32_Inputs_GrowthRetention'!$B$12</f>
        <v>150608.03999999998</v>
      </c>
      <c r="G10" s="189">
        <f>IF(G$1&gt;='36_Inputs_Funding'!$B$14+1,'32_Inputs_GrowthRetention'!$C$16*(1+'32_Inputs_GrowthRetention'!$B$17)^(G$1-'36_Inputs_Funding'!$B$14-1),IF(G$1&gt;='36_Inputs_Funding'!$B$13+1,'32_Inputs_GrowthRetention'!$C$15*(1+'32_Inputs_GrowthRetention'!$B$17)^(G$1-'36_Inputs_Funding'!$B$13-1),'32_Inputs_GrowthRetention'!$C$14*(1+'32_Inputs_GrowthRetention'!$B$17)^(G$1-1)))-'32_Inputs_GrowthRetention'!$B$12</f>
        <v>156020.20079999999</v>
      </c>
      <c r="H10" s="189">
        <f>IF(H$1&gt;='36_Inputs_Funding'!$B$14+1,'32_Inputs_GrowthRetention'!$C$16*(1+'32_Inputs_GrowthRetention'!$B$17)^(H$1-'36_Inputs_Funding'!$B$14-1),IF(H$1&gt;='36_Inputs_Funding'!$B$13+1,'32_Inputs_GrowthRetention'!$C$15*(1+'32_Inputs_GrowthRetention'!$B$17)^(H$1-'36_Inputs_Funding'!$B$13-1),'32_Inputs_GrowthRetention'!$C$14*(1+'32_Inputs_GrowthRetention'!$B$17)^(H$1-1)))-'32_Inputs_GrowthRetention'!$B$12</f>
        <v>161540.60481600004</v>
      </c>
      <c r="I10" s="189">
        <f>IF(I$1&gt;='36_Inputs_Funding'!$B$14+1,'32_Inputs_GrowthRetention'!$C$16*(1+'32_Inputs_GrowthRetention'!$B$17)^(I$1-'36_Inputs_Funding'!$B$14-1),IF(I$1&gt;='36_Inputs_Funding'!$B$13+1,'32_Inputs_GrowthRetention'!$C$15*(1+'32_Inputs_GrowthRetention'!$B$17)^(I$1-'36_Inputs_Funding'!$B$13-1),'32_Inputs_GrowthRetention'!$C$14*(1+'32_Inputs_GrowthRetention'!$B$17)^(I$1-1)))-'32_Inputs_GrowthRetention'!$B$12</f>
        <v>167171.41691231995</v>
      </c>
      <c r="J10" s="189">
        <f>IF(J$1&gt;='36_Inputs_Funding'!$B$14+1,'32_Inputs_GrowthRetention'!$C$16*(1+'32_Inputs_GrowthRetention'!$B$17)^(J$1-'36_Inputs_Funding'!$B$14-1),IF(J$1&gt;='36_Inputs_Funding'!$B$13+1,'32_Inputs_GrowthRetention'!$C$15*(1+'32_Inputs_GrowthRetention'!$B$17)^(J$1-'36_Inputs_Funding'!$B$13-1),'32_Inputs_GrowthRetention'!$C$14*(1+'32_Inputs_GrowthRetention'!$B$17)^(J$1-1)))-'32_Inputs_GrowthRetention'!$B$12</f>
        <v>172914.84525056637</v>
      </c>
      <c r="K10" s="189">
        <f>IF(K$1&gt;='36_Inputs_Funding'!$B$14+1,'32_Inputs_GrowthRetention'!$C$16*(1+'32_Inputs_GrowthRetention'!$B$17)^(K$1-'36_Inputs_Funding'!$B$14-1),IF(K$1&gt;='36_Inputs_Funding'!$B$13+1,'32_Inputs_GrowthRetention'!$C$15*(1+'32_Inputs_GrowthRetention'!$B$17)^(K$1-'36_Inputs_Funding'!$B$13-1),'32_Inputs_GrowthRetention'!$C$14*(1+'32_Inputs_GrowthRetention'!$B$17)^(K$1-1)))-'32_Inputs_GrowthRetention'!$B$12</f>
        <v>178773.14215557772</v>
      </c>
      <c r="L10" s="189">
        <f>IF(L$1&gt;='36_Inputs_Funding'!$B$14+1,'32_Inputs_GrowthRetention'!$C$16*(1+'32_Inputs_GrowthRetention'!$B$17)^(L$1-'36_Inputs_Funding'!$B$14-1),IF(L$1&gt;='36_Inputs_Funding'!$B$13+1,'32_Inputs_GrowthRetention'!$C$15*(1+'32_Inputs_GrowthRetention'!$B$17)^(L$1-'36_Inputs_Funding'!$B$13-1),'32_Inputs_GrowthRetention'!$C$14*(1+'32_Inputs_GrowthRetention'!$B$17)^(L$1-1)))-'32_Inputs_GrowthRetention'!$B$12</f>
        <v>184748.60499868926</v>
      </c>
      <c r="M10" s="189">
        <f>IF(M$1&gt;='36_Inputs_Funding'!$B$14+1,'32_Inputs_GrowthRetention'!$C$16*(1+'32_Inputs_GrowthRetention'!$B$17)^(M$1-'36_Inputs_Funding'!$B$14-1),IF(M$1&gt;='36_Inputs_Funding'!$B$13+1,'32_Inputs_GrowthRetention'!$C$15*(1+'32_Inputs_GrowthRetention'!$B$17)^(M$1-'36_Inputs_Funding'!$B$13-1),'32_Inputs_GrowthRetention'!$C$14*(1+'32_Inputs_GrowthRetention'!$B$17)^(M$1-1)))-'32_Inputs_GrowthRetention'!$B$12</f>
        <v>190843.57709866302</v>
      </c>
      <c r="N10" s="189">
        <f>IF(N$1&gt;='36_Inputs_Funding'!$B$14+1,'32_Inputs_GrowthRetention'!$C$16*(1+'32_Inputs_GrowthRetention'!$B$17)^(N$1-'36_Inputs_Funding'!$B$14-1),IF(N$1&gt;='36_Inputs_Funding'!$B$13+1,'32_Inputs_GrowthRetention'!$C$15*(1+'32_Inputs_GrowthRetention'!$B$17)^(N$1-'36_Inputs_Funding'!$B$13-1),'32_Inputs_GrowthRetention'!$C$14*(1+'32_Inputs_GrowthRetention'!$B$17)^(N$1-1)))-'32_Inputs_GrowthRetention'!$B$12</f>
        <v>580000</v>
      </c>
      <c r="O10" s="189">
        <f>IF(O$1&gt;='36_Inputs_Funding'!$B$14+1,'32_Inputs_GrowthRetention'!$C$16*(1+'32_Inputs_GrowthRetention'!$B$17)^(O$1-'36_Inputs_Funding'!$B$14-1),IF(O$1&gt;='36_Inputs_Funding'!$B$13+1,'32_Inputs_GrowthRetention'!$C$15*(1+'32_Inputs_GrowthRetention'!$B$17)^(O$1-'36_Inputs_Funding'!$B$13-1),'32_Inputs_GrowthRetention'!$C$14*(1+'32_Inputs_GrowthRetention'!$B$17)^(O$1-1)))-'32_Inputs_GrowthRetention'!$B$12</f>
        <v>594000</v>
      </c>
      <c r="P10" s="189">
        <f>IF(P$1&gt;='36_Inputs_Funding'!$B$14+1,'32_Inputs_GrowthRetention'!$C$16*(1+'32_Inputs_GrowthRetention'!$B$17)^(P$1-'36_Inputs_Funding'!$B$14-1),IF(P$1&gt;='36_Inputs_Funding'!$B$13+1,'32_Inputs_GrowthRetention'!$C$15*(1+'32_Inputs_GrowthRetention'!$B$17)^(P$1-'36_Inputs_Funding'!$B$13-1),'32_Inputs_GrowthRetention'!$C$14*(1+'32_Inputs_GrowthRetention'!$B$17)^(P$1-1)))-'32_Inputs_GrowthRetention'!$B$12</f>
        <v>608280</v>
      </c>
      <c r="Q10" s="189">
        <f>IF(Q$1&gt;='36_Inputs_Funding'!$B$14+1,'32_Inputs_GrowthRetention'!$C$16*(1+'32_Inputs_GrowthRetention'!$B$17)^(Q$1-'36_Inputs_Funding'!$B$14-1),IF(Q$1&gt;='36_Inputs_Funding'!$B$13+1,'32_Inputs_GrowthRetention'!$C$15*(1+'32_Inputs_GrowthRetention'!$B$17)^(Q$1-'36_Inputs_Funding'!$B$13-1),'32_Inputs_GrowthRetention'!$C$14*(1+'32_Inputs_GrowthRetention'!$B$17)^(Q$1-1)))-'32_Inputs_GrowthRetention'!$B$12</f>
        <v>622845.6</v>
      </c>
      <c r="R10" s="189">
        <f>IF(R$1&gt;='36_Inputs_Funding'!$B$14+1,'32_Inputs_GrowthRetention'!$C$16*(1+'32_Inputs_GrowthRetention'!$B$17)^(R$1-'36_Inputs_Funding'!$B$14-1),IF(R$1&gt;='36_Inputs_Funding'!$B$13+1,'32_Inputs_GrowthRetention'!$C$15*(1+'32_Inputs_GrowthRetention'!$B$17)^(R$1-'36_Inputs_Funding'!$B$13-1),'32_Inputs_GrowthRetention'!$C$14*(1+'32_Inputs_GrowthRetention'!$B$17)^(R$1-1)))-'32_Inputs_GrowthRetention'!$B$12</f>
        <v>637702.51199999999</v>
      </c>
      <c r="S10" s="189">
        <f>IF(S$1&gt;='36_Inputs_Funding'!$B$14+1,'32_Inputs_GrowthRetention'!$C$16*(1+'32_Inputs_GrowthRetention'!$B$17)^(S$1-'36_Inputs_Funding'!$B$14-1),IF(S$1&gt;='36_Inputs_Funding'!$B$13+1,'32_Inputs_GrowthRetention'!$C$15*(1+'32_Inputs_GrowthRetention'!$B$17)^(S$1-'36_Inputs_Funding'!$B$13-1),'32_Inputs_GrowthRetention'!$C$14*(1+'32_Inputs_GrowthRetention'!$B$17)^(S$1-1)))-'32_Inputs_GrowthRetention'!$B$12</f>
        <v>652856.56224</v>
      </c>
      <c r="T10" s="189">
        <f>IF(T$1&gt;='36_Inputs_Funding'!$B$14+1,'32_Inputs_GrowthRetention'!$C$16*(1+'32_Inputs_GrowthRetention'!$B$17)^(T$1-'36_Inputs_Funding'!$B$14-1),IF(T$1&gt;='36_Inputs_Funding'!$B$13+1,'32_Inputs_GrowthRetention'!$C$15*(1+'32_Inputs_GrowthRetention'!$B$17)^(T$1-'36_Inputs_Funding'!$B$13-1),'32_Inputs_GrowthRetention'!$C$14*(1+'32_Inputs_GrowthRetention'!$B$17)^(T$1-1)))-'32_Inputs_GrowthRetention'!$B$12</f>
        <v>668313.69348480005</v>
      </c>
      <c r="U10" s="189">
        <f>IF(U$1&gt;='36_Inputs_Funding'!$B$14+1,'32_Inputs_GrowthRetention'!$C$16*(1+'32_Inputs_GrowthRetention'!$B$17)^(U$1-'36_Inputs_Funding'!$B$14-1),IF(U$1&gt;='36_Inputs_Funding'!$B$13+1,'32_Inputs_GrowthRetention'!$C$15*(1+'32_Inputs_GrowthRetention'!$B$17)^(U$1-'36_Inputs_Funding'!$B$13-1),'32_Inputs_GrowthRetention'!$C$14*(1+'32_Inputs_GrowthRetention'!$B$17)^(U$1-1)))-'32_Inputs_GrowthRetention'!$B$12</f>
        <v>1380000</v>
      </c>
      <c r="V10" s="189">
        <f>IF(V$1&gt;='36_Inputs_Funding'!$B$14+1,'32_Inputs_GrowthRetention'!$C$16*(1+'32_Inputs_GrowthRetention'!$B$17)^(V$1-'36_Inputs_Funding'!$B$14-1),IF(V$1&gt;='36_Inputs_Funding'!$B$13+1,'32_Inputs_GrowthRetention'!$C$15*(1+'32_Inputs_GrowthRetention'!$B$17)^(V$1-'36_Inputs_Funding'!$B$13-1),'32_Inputs_GrowthRetention'!$C$14*(1+'32_Inputs_GrowthRetention'!$B$17)^(V$1-1)))-'32_Inputs_GrowthRetention'!$B$12</f>
        <v>1410000</v>
      </c>
      <c r="W10" s="189">
        <f>IF(W$1&gt;='36_Inputs_Funding'!$B$14+1,'32_Inputs_GrowthRetention'!$C$16*(1+'32_Inputs_GrowthRetention'!$B$17)^(W$1-'36_Inputs_Funding'!$B$14-1),IF(W$1&gt;='36_Inputs_Funding'!$B$13+1,'32_Inputs_GrowthRetention'!$C$15*(1+'32_Inputs_GrowthRetention'!$B$17)^(W$1-'36_Inputs_Funding'!$B$13-1),'32_Inputs_GrowthRetention'!$C$14*(1+'32_Inputs_GrowthRetention'!$B$17)^(W$1-1)))-'32_Inputs_GrowthRetention'!$B$12</f>
        <v>1440600</v>
      </c>
      <c r="X10" s="189">
        <f>IF(X$1&gt;='36_Inputs_Funding'!$B$14+1,'32_Inputs_GrowthRetention'!$C$16*(1+'32_Inputs_GrowthRetention'!$B$17)^(X$1-'36_Inputs_Funding'!$B$14-1),IF(X$1&gt;='36_Inputs_Funding'!$B$13+1,'32_Inputs_GrowthRetention'!$C$15*(1+'32_Inputs_GrowthRetention'!$B$17)^(X$1-'36_Inputs_Funding'!$B$13-1),'32_Inputs_GrowthRetention'!$C$14*(1+'32_Inputs_GrowthRetention'!$B$17)^(X$1-1)))-'32_Inputs_GrowthRetention'!$B$12</f>
        <v>1471812</v>
      </c>
      <c r="Y10" s="189">
        <f>IF(Y$1&gt;='36_Inputs_Funding'!$B$14+1,'32_Inputs_GrowthRetention'!$C$16*(1+'32_Inputs_GrowthRetention'!$B$17)^(Y$1-'36_Inputs_Funding'!$B$14-1),IF(Y$1&gt;='36_Inputs_Funding'!$B$13+1,'32_Inputs_GrowthRetention'!$C$15*(1+'32_Inputs_GrowthRetention'!$B$17)^(Y$1-'36_Inputs_Funding'!$B$13-1),'32_Inputs_GrowthRetention'!$C$14*(1+'32_Inputs_GrowthRetention'!$B$17)^(Y$1-1)))-'32_Inputs_GrowthRetention'!$B$12</f>
        <v>1503648.24</v>
      </c>
      <c r="Z10" s="189">
        <f>IF(Z$1&gt;='36_Inputs_Funding'!$B$14+1,'32_Inputs_GrowthRetention'!$C$16*(1+'32_Inputs_GrowthRetention'!$B$17)^(Z$1-'36_Inputs_Funding'!$B$14-1),IF(Z$1&gt;='36_Inputs_Funding'!$B$13+1,'32_Inputs_GrowthRetention'!$C$15*(1+'32_Inputs_GrowthRetention'!$B$17)^(Z$1-'36_Inputs_Funding'!$B$13-1),'32_Inputs_GrowthRetention'!$C$14*(1+'32_Inputs_GrowthRetention'!$B$17)^(Z$1-1)))-'32_Inputs_GrowthRetention'!$B$12</f>
        <v>1536121.2047999999</v>
      </c>
      <c r="AA10" s="189">
        <f>IF(AA$1&gt;='36_Inputs_Funding'!$B$14+1,'32_Inputs_GrowthRetention'!$C$16*(1+'32_Inputs_GrowthRetention'!$B$17)^(AA$1-'36_Inputs_Funding'!$B$14-1),IF(AA$1&gt;='36_Inputs_Funding'!$B$13+1,'32_Inputs_GrowthRetention'!$C$15*(1+'32_Inputs_GrowthRetention'!$B$17)^(AA$1-'36_Inputs_Funding'!$B$13-1),'32_Inputs_GrowthRetention'!$C$14*(1+'32_Inputs_GrowthRetention'!$B$17)^(AA$1-1)))-'32_Inputs_GrowthRetention'!$B$12</f>
        <v>1569243.6288960001</v>
      </c>
      <c r="AB10" s="189">
        <f>IF(AB$1&gt;='36_Inputs_Funding'!$B$14+1,'32_Inputs_GrowthRetention'!$C$16*(1+'32_Inputs_GrowthRetention'!$B$17)^(AB$1-'36_Inputs_Funding'!$B$14-1),IF(AB$1&gt;='36_Inputs_Funding'!$B$13+1,'32_Inputs_GrowthRetention'!$C$15*(1+'32_Inputs_GrowthRetention'!$B$17)^(AB$1-'36_Inputs_Funding'!$B$13-1),'32_Inputs_GrowthRetention'!$C$14*(1+'32_Inputs_GrowthRetention'!$B$17)^(AB$1-1)))-'32_Inputs_GrowthRetention'!$B$12</f>
        <v>1603028.5014739197</v>
      </c>
      <c r="AC10" s="189">
        <f>IF(AC$1&gt;='36_Inputs_Funding'!$B$14+1,'32_Inputs_GrowthRetention'!$C$16*(1+'32_Inputs_GrowthRetention'!$B$17)^(AC$1-'36_Inputs_Funding'!$B$14-1),IF(AC$1&gt;='36_Inputs_Funding'!$B$13+1,'32_Inputs_GrowthRetention'!$C$15*(1+'32_Inputs_GrowthRetention'!$B$17)^(AC$1-'36_Inputs_Funding'!$B$13-1),'32_Inputs_GrowthRetention'!$C$14*(1+'32_Inputs_GrowthRetention'!$B$17)^(AC$1-1)))-'32_Inputs_GrowthRetention'!$B$12</f>
        <v>1637489.0715033982</v>
      </c>
      <c r="AD10" s="189">
        <f>IF(AD$1&gt;='36_Inputs_Funding'!$B$14+1,'32_Inputs_GrowthRetention'!$C$16*(1+'32_Inputs_GrowthRetention'!$B$17)^(AD$1-'36_Inputs_Funding'!$B$14-1),IF(AD$1&gt;='36_Inputs_Funding'!$B$13+1,'32_Inputs_GrowthRetention'!$C$15*(1+'32_Inputs_GrowthRetention'!$B$17)^(AD$1-'36_Inputs_Funding'!$B$13-1),'32_Inputs_GrowthRetention'!$C$14*(1+'32_Inputs_GrowthRetention'!$B$17)^(AD$1-1)))-'32_Inputs_GrowthRetention'!$B$12</f>
        <v>1672638.8529334662</v>
      </c>
      <c r="AE10" s="189">
        <f>IF(AE$1&gt;='36_Inputs_Funding'!$B$14+1,'32_Inputs_GrowthRetention'!$C$16*(1+'32_Inputs_GrowthRetention'!$B$17)^(AE$1-'36_Inputs_Funding'!$B$14-1),IF(AE$1&gt;='36_Inputs_Funding'!$B$13+1,'32_Inputs_GrowthRetention'!$C$15*(1+'32_Inputs_GrowthRetention'!$B$17)^(AE$1-'36_Inputs_Funding'!$B$13-1),'32_Inputs_GrowthRetention'!$C$14*(1+'32_Inputs_GrowthRetention'!$B$17)^(AE$1-1)))-'32_Inputs_GrowthRetention'!$B$12</f>
        <v>1708491.6299921356</v>
      </c>
      <c r="AF10" s="189">
        <f>IF(AF$1&gt;='36_Inputs_Funding'!$B$14+1,'32_Inputs_GrowthRetention'!$C$16*(1+'32_Inputs_GrowthRetention'!$B$17)^(AF$1-'36_Inputs_Funding'!$B$14-1),IF(AF$1&gt;='36_Inputs_Funding'!$B$13+1,'32_Inputs_GrowthRetention'!$C$15*(1+'32_Inputs_GrowthRetention'!$B$17)^(AF$1-'36_Inputs_Funding'!$B$13-1),'32_Inputs_GrowthRetention'!$C$14*(1+'32_Inputs_GrowthRetention'!$B$17)^(AF$1-1)))-'32_Inputs_GrowthRetention'!$B$12</f>
        <v>1745061.462591978</v>
      </c>
      <c r="AG10" s="189">
        <f>IF(AG$1&gt;='36_Inputs_Funding'!$B$14+1,'32_Inputs_GrowthRetention'!$C$16*(1+'32_Inputs_GrowthRetention'!$B$17)^(AG$1-'36_Inputs_Funding'!$B$14-1),IF(AG$1&gt;='36_Inputs_Funding'!$B$13+1,'32_Inputs_GrowthRetention'!$C$15*(1+'32_Inputs_GrowthRetention'!$B$17)^(AG$1-'36_Inputs_Funding'!$B$13-1),'32_Inputs_GrowthRetention'!$C$14*(1+'32_Inputs_GrowthRetention'!$B$17)^(AG$1-1)))-'32_Inputs_GrowthRetention'!$B$12</f>
        <v>1782362.6918438179</v>
      </c>
      <c r="AH10" s="189">
        <f>IF(AH$1&gt;='36_Inputs_Funding'!$B$14+1,'32_Inputs_GrowthRetention'!$C$16*(1+'32_Inputs_GrowthRetention'!$B$17)^(AH$1-'36_Inputs_Funding'!$B$14-1),IF(AH$1&gt;='36_Inputs_Funding'!$B$13+1,'32_Inputs_GrowthRetention'!$C$15*(1+'32_Inputs_GrowthRetention'!$B$17)^(AH$1-'36_Inputs_Funding'!$B$13-1),'32_Inputs_GrowthRetention'!$C$14*(1+'32_Inputs_GrowthRetention'!$B$17)^(AH$1-1)))-'32_Inputs_GrowthRetention'!$B$12</f>
        <v>1820409.9456806942</v>
      </c>
      <c r="AI10" s="189">
        <f>IF(AI$1&gt;='36_Inputs_Funding'!$B$14+1,'32_Inputs_GrowthRetention'!$C$16*(1+'32_Inputs_GrowthRetention'!$B$17)^(AI$1-'36_Inputs_Funding'!$B$14-1),IF(AI$1&gt;='36_Inputs_Funding'!$B$13+1,'32_Inputs_GrowthRetention'!$C$15*(1+'32_Inputs_GrowthRetention'!$B$17)^(AI$1-'36_Inputs_Funding'!$B$13-1),'32_Inputs_GrowthRetention'!$C$14*(1+'32_Inputs_GrowthRetention'!$B$17)^(AI$1-1)))-'32_Inputs_GrowthRetention'!$B$12</f>
        <v>1859218.1445943082</v>
      </c>
      <c r="AJ10" s="189">
        <f>IF(AJ$1&gt;='36_Inputs_Funding'!$B$14+1,'32_Inputs_GrowthRetention'!$C$16*(1+'32_Inputs_GrowthRetention'!$B$17)^(AJ$1-'36_Inputs_Funding'!$B$14-1),IF(AJ$1&gt;='36_Inputs_Funding'!$B$13+1,'32_Inputs_GrowthRetention'!$C$15*(1+'32_Inputs_GrowthRetention'!$B$17)^(AJ$1-'36_Inputs_Funding'!$B$13-1),'32_Inputs_GrowthRetention'!$C$14*(1+'32_Inputs_GrowthRetention'!$B$17)^(AJ$1-1)))-'32_Inputs_GrowthRetention'!$B$12</f>
        <v>1898802.5074861939</v>
      </c>
      <c r="AK10" s="189">
        <f>IF(AK$1&gt;='36_Inputs_Funding'!$B$14+1,'32_Inputs_GrowthRetention'!$C$16*(1+'32_Inputs_GrowthRetention'!$B$17)^(AK$1-'36_Inputs_Funding'!$B$14-1),IF(AK$1&gt;='36_Inputs_Funding'!$B$13+1,'32_Inputs_GrowthRetention'!$C$15*(1+'32_Inputs_GrowthRetention'!$B$17)^(AK$1-'36_Inputs_Funding'!$B$13-1),'32_Inputs_GrowthRetention'!$C$14*(1+'32_Inputs_GrowthRetention'!$B$17)^(AK$1-1)))-'32_Inputs_GrowthRetention'!$B$12</f>
        <v>1939178.557635918</v>
      </c>
      <c r="AL10" s="188">
        <f>SUMIF('23_Time'!$B$3:$AK$3, 1,B10:AK10)</f>
        <v>1913022.4320318163</v>
      </c>
      <c r="AM10" s="189">
        <f>SUMIF('23_Time'!$B$3:$AK$3, 2,B10:AK10)</f>
        <v>11570058.607724801</v>
      </c>
      <c r="AN10" s="190">
        <f>SUMIF('23_Time'!$B$3:$AK$3, 3,B10:AK10)</f>
        <v>20772046.199431833</v>
      </c>
    </row>
    <row r="11" spans="1:40" x14ac:dyDescent="0.3">
      <c r="A11" s="127" t="s">
        <v>99</v>
      </c>
      <c r="B11" s="189">
        <f>'32_Inputs_GrowthRetention'!$B$12</f>
        <v>120000</v>
      </c>
      <c r="C11" s="189">
        <f>'32_Inputs_GrowthRetention'!$B$12</f>
        <v>120000</v>
      </c>
      <c r="D11" s="189">
        <f>'32_Inputs_GrowthRetention'!$B$12</f>
        <v>120000</v>
      </c>
      <c r="E11" s="189">
        <f>'32_Inputs_GrowthRetention'!$B$12</f>
        <v>120000</v>
      </c>
      <c r="F11" s="189">
        <f>'32_Inputs_GrowthRetention'!$B$12</f>
        <v>120000</v>
      </c>
      <c r="G11" s="189">
        <f>'32_Inputs_GrowthRetention'!$B$12</f>
        <v>120000</v>
      </c>
      <c r="H11" s="189">
        <f>'32_Inputs_GrowthRetention'!$B$12</f>
        <v>120000</v>
      </c>
      <c r="I11" s="189">
        <f>'32_Inputs_GrowthRetention'!$B$12</f>
        <v>120000</v>
      </c>
      <c r="J11" s="189">
        <f>'32_Inputs_GrowthRetention'!$B$12</f>
        <v>120000</v>
      </c>
      <c r="K11" s="189">
        <f>'32_Inputs_GrowthRetention'!$B$12</f>
        <v>120000</v>
      </c>
      <c r="L11" s="189">
        <f>'32_Inputs_GrowthRetention'!$B$12</f>
        <v>120000</v>
      </c>
      <c r="M11" s="189">
        <f>'32_Inputs_GrowthRetention'!$B$12</f>
        <v>120000</v>
      </c>
      <c r="N11" s="189">
        <f>'32_Inputs_GrowthRetention'!$B$12</f>
        <v>120000</v>
      </c>
      <c r="O11" s="189">
        <f>'32_Inputs_GrowthRetention'!$B$12</f>
        <v>120000</v>
      </c>
      <c r="P11" s="189">
        <f>'32_Inputs_GrowthRetention'!$B$12</f>
        <v>120000</v>
      </c>
      <c r="Q11" s="189">
        <f>'32_Inputs_GrowthRetention'!$B$12</f>
        <v>120000</v>
      </c>
      <c r="R11" s="189">
        <f>'32_Inputs_GrowthRetention'!$B$12</f>
        <v>120000</v>
      </c>
      <c r="S11" s="189">
        <f>'32_Inputs_GrowthRetention'!$B$12</f>
        <v>120000</v>
      </c>
      <c r="T11" s="189">
        <f>'32_Inputs_GrowthRetention'!$B$12</f>
        <v>120000</v>
      </c>
      <c r="U11" s="189">
        <f>'32_Inputs_GrowthRetention'!$B$12</f>
        <v>120000</v>
      </c>
      <c r="V11" s="189">
        <f>'32_Inputs_GrowthRetention'!$B$12</f>
        <v>120000</v>
      </c>
      <c r="W11" s="189">
        <f>'32_Inputs_GrowthRetention'!$B$12</f>
        <v>120000</v>
      </c>
      <c r="X11" s="189">
        <f>'32_Inputs_GrowthRetention'!$B$12</f>
        <v>120000</v>
      </c>
      <c r="Y11" s="189">
        <f>'32_Inputs_GrowthRetention'!$B$12</f>
        <v>120000</v>
      </c>
      <c r="Z11" s="189">
        <f>'32_Inputs_GrowthRetention'!$B$12</f>
        <v>120000</v>
      </c>
      <c r="AA11" s="189">
        <f>'32_Inputs_GrowthRetention'!$B$12</f>
        <v>120000</v>
      </c>
      <c r="AB11" s="189">
        <f>'32_Inputs_GrowthRetention'!$B$12</f>
        <v>120000</v>
      </c>
      <c r="AC11" s="189">
        <f>'32_Inputs_GrowthRetention'!$B$12</f>
        <v>120000</v>
      </c>
      <c r="AD11" s="189">
        <f>'32_Inputs_GrowthRetention'!$B$12</f>
        <v>120000</v>
      </c>
      <c r="AE11" s="189">
        <f>'32_Inputs_GrowthRetention'!$B$12</f>
        <v>120000</v>
      </c>
      <c r="AF11" s="189">
        <f>'32_Inputs_GrowthRetention'!$B$12</f>
        <v>120000</v>
      </c>
      <c r="AG11" s="189">
        <f>'32_Inputs_GrowthRetention'!$B$12</f>
        <v>120000</v>
      </c>
      <c r="AH11" s="189">
        <f>'32_Inputs_GrowthRetention'!$B$12</f>
        <v>120000</v>
      </c>
      <c r="AI11" s="189">
        <f>'32_Inputs_GrowthRetention'!$B$12</f>
        <v>120000</v>
      </c>
      <c r="AJ11" s="189">
        <f>'32_Inputs_GrowthRetention'!$B$12</f>
        <v>120000</v>
      </c>
      <c r="AK11" s="189">
        <f>'32_Inputs_GrowthRetention'!$B$12</f>
        <v>120000</v>
      </c>
      <c r="AL11" s="188">
        <f>SUMIF('23_Time'!$B$3:$AK$3, 1,B11:AK11)</f>
        <v>1440000</v>
      </c>
      <c r="AM11" s="189">
        <f>SUMIF('23_Time'!$B$3:$AK$3, 2,B11:AK11)</f>
        <v>1440000</v>
      </c>
      <c r="AN11" s="190">
        <f>SUMIF('23_Time'!$B$3:$AK$3, 3,B11:AK11)</f>
        <v>1440000</v>
      </c>
    </row>
    <row r="12" spans="1:40" ht="15" thickBot="1" x14ac:dyDescent="0.35">
      <c r="A12" s="24" t="s">
        <v>235</v>
      </c>
      <c r="B12" s="25">
        <f>SUM(B10:B11)</f>
        <v>250000</v>
      </c>
      <c r="C12" s="25">
        <f t="shared" ref="C12:AK12" si="1">SUM(C10:C11)</f>
        <v>255000</v>
      </c>
      <c r="D12" s="25">
        <f t="shared" si="1"/>
        <v>260100</v>
      </c>
      <c r="E12" s="25">
        <f t="shared" si="1"/>
        <v>265302</v>
      </c>
      <c r="F12" s="25">
        <f t="shared" si="1"/>
        <v>270608.03999999998</v>
      </c>
      <c r="G12" s="25">
        <f t="shared" si="1"/>
        <v>276020.20079999999</v>
      </c>
      <c r="H12" s="25">
        <f t="shared" si="1"/>
        <v>281540.60481600004</v>
      </c>
      <c r="I12" s="25">
        <f t="shared" si="1"/>
        <v>287171.41691231995</v>
      </c>
      <c r="J12" s="25">
        <f t="shared" si="1"/>
        <v>292914.84525056637</v>
      </c>
      <c r="K12" s="25">
        <f t="shared" si="1"/>
        <v>298773.14215557772</v>
      </c>
      <c r="L12" s="25">
        <f t="shared" si="1"/>
        <v>304748.60499868926</v>
      </c>
      <c r="M12" s="25">
        <f t="shared" si="1"/>
        <v>310843.57709866302</v>
      </c>
      <c r="N12" s="25">
        <f t="shared" si="1"/>
        <v>700000</v>
      </c>
      <c r="O12" s="25">
        <f t="shared" si="1"/>
        <v>714000</v>
      </c>
      <c r="P12" s="25">
        <f t="shared" si="1"/>
        <v>728280</v>
      </c>
      <c r="Q12" s="25">
        <f t="shared" si="1"/>
        <v>742845.6</v>
      </c>
      <c r="R12" s="25">
        <f t="shared" si="1"/>
        <v>757702.51199999999</v>
      </c>
      <c r="S12" s="25">
        <f t="shared" si="1"/>
        <v>772856.56224</v>
      </c>
      <c r="T12" s="25">
        <f t="shared" si="1"/>
        <v>788313.69348480005</v>
      </c>
      <c r="U12" s="25">
        <f t="shared" si="1"/>
        <v>1500000</v>
      </c>
      <c r="V12" s="25">
        <f t="shared" si="1"/>
        <v>1530000</v>
      </c>
      <c r="W12" s="25">
        <f t="shared" si="1"/>
        <v>1560600</v>
      </c>
      <c r="X12" s="25">
        <f t="shared" si="1"/>
        <v>1591812</v>
      </c>
      <c r="Y12" s="25">
        <f t="shared" si="1"/>
        <v>1623648.24</v>
      </c>
      <c r="Z12" s="25">
        <f t="shared" si="1"/>
        <v>1656121.2047999999</v>
      </c>
      <c r="AA12" s="25">
        <f t="shared" si="1"/>
        <v>1689243.6288960001</v>
      </c>
      <c r="AB12" s="25">
        <f t="shared" si="1"/>
        <v>1723028.5014739197</v>
      </c>
      <c r="AC12" s="25">
        <f t="shared" si="1"/>
        <v>1757489.0715033982</v>
      </c>
      <c r="AD12" s="25">
        <f t="shared" si="1"/>
        <v>1792638.8529334662</v>
      </c>
      <c r="AE12" s="25">
        <f t="shared" si="1"/>
        <v>1828491.6299921356</v>
      </c>
      <c r="AF12" s="25">
        <f t="shared" si="1"/>
        <v>1865061.462591978</v>
      </c>
      <c r="AG12" s="25">
        <f t="shared" si="1"/>
        <v>1902362.6918438179</v>
      </c>
      <c r="AH12" s="25">
        <f t="shared" si="1"/>
        <v>1940409.9456806942</v>
      </c>
      <c r="AI12" s="25">
        <f t="shared" si="1"/>
        <v>1979218.1445943082</v>
      </c>
      <c r="AJ12" s="25">
        <f t="shared" si="1"/>
        <v>2018802.5074861939</v>
      </c>
      <c r="AK12" s="25">
        <f t="shared" si="1"/>
        <v>2059178.557635918</v>
      </c>
      <c r="AL12" s="26">
        <f>SUMIF('23_Time'!$B$3:$AK$3, 1,B12:AK12)</f>
        <v>3353022.4320318163</v>
      </c>
      <c r="AM12" s="25">
        <f>SUMIF('23_Time'!$B$3:$AK$3, 2,B12:AK12)</f>
        <v>13010058.607724801</v>
      </c>
      <c r="AN12" s="27">
        <f>SUMIF('23_Time'!$B$3:$AK$3, 3,B12:AK12)</f>
        <v>22212046.199431833</v>
      </c>
    </row>
    <row r="13" spans="1:40" ht="15" thickBot="1" x14ac:dyDescent="0.35">
      <c r="A13" s="24" t="s">
        <v>163</v>
      </c>
      <c r="B13" s="25">
        <f>B6+B7+B8+B12</f>
        <v>1246605.4545454546</v>
      </c>
      <c r="C13" s="25">
        <f t="shared" ref="C13:AK13" si="2">C6+C7+C8+C12</f>
        <v>1252821.4989345362</v>
      </c>
      <c r="D13" s="25">
        <f t="shared" si="2"/>
        <v>1259149.1989978545</v>
      </c>
      <c r="E13" s="25">
        <f t="shared" si="2"/>
        <v>1265591.6200030544</v>
      </c>
      <c r="F13" s="25">
        <f t="shared" si="2"/>
        <v>1272151.8675976316</v>
      </c>
      <c r="G13" s="25">
        <f t="shared" si="2"/>
        <v>1278833.0895420571</v>
      </c>
      <c r="H13" s="25">
        <f t="shared" si="2"/>
        <v>1340838.4774501319</v>
      </c>
      <c r="I13" s="25">
        <f t="shared" si="2"/>
        <v>1435171.2685377989</v>
      </c>
      <c r="J13" s="25">
        <f t="shared" si="2"/>
        <v>1497434.7473816206</v>
      </c>
      <c r="K13" s="25">
        <f t="shared" si="2"/>
        <v>1569032.2476881358</v>
      </c>
      <c r="L13" s="25">
        <f t="shared" si="2"/>
        <v>1654567.1540752803</v>
      </c>
      <c r="M13" s="25">
        <f t="shared" si="2"/>
        <v>1726442.9038670722</v>
      </c>
      <c r="N13" s="25">
        <f t="shared" si="2"/>
        <v>2120773.5768126436</v>
      </c>
      <c r="O13" s="25">
        <f t="shared" si="2"/>
        <v>2153734.5321907466</v>
      </c>
      <c r="P13" s="25">
        <f t="shared" si="2"/>
        <v>2173166.9787143515</v>
      </c>
      <c r="Q13" s="25">
        <f t="shared" si="2"/>
        <v>2192881.2443843097</v>
      </c>
      <c r="R13" s="25">
        <f t="shared" si="2"/>
        <v>2226687.7161544836</v>
      </c>
      <c r="S13" s="25">
        <f t="shared" si="2"/>
        <v>2246996.846838329</v>
      </c>
      <c r="T13" s="25">
        <f t="shared" si="2"/>
        <v>2267619.1619681912</v>
      </c>
      <c r="U13" s="25">
        <f t="shared" si="2"/>
        <v>3104283.1733415611</v>
      </c>
      <c r="V13" s="25">
        <f t="shared" si="2"/>
        <v>3197110.6918543708</v>
      </c>
      <c r="W13" s="25">
        <f t="shared" si="2"/>
        <v>3338799.402520949</v>
      </c>
      <c r="X13" s="25">
        <f t="shared" si="2"/>
        <v>3446572.5292995432</v>
      </c>
      <c r="Y13" s="25">
        <f t="shared" si="2"/>
        <v>3541153.3930966086</v>
      </c>
      <c r="Z13" s="25">
        <f t="shared" si="2"/>
        <v>3606465.4278081753</v>
      </c>
      <c r="AA13" s="25">
        <f t="shared" si="2"/>
        <v>3665532.19622199</v>
      </c>
      <c r="AB13" s="25">
        <f t="shared" si="2"/>
        <v>3762077.4057944994</v>
      </c>
      <c r="AC13" s="25">
        <f t="shared" si="2"/>
        <v>3834024.9243164784</v>
      </c>
      <c r="AD13" s="25">
        <f t="shared" si="2"/>
        <v>3915898.7954807943</v>
      </c>
      <c r="AE13" s="25">
        <f t="shared" si="2"/>
        <v>4016923.2543655895</v>
      </c>
      <c r="AF13" s="25">
        <f t="shared" si="2"/>
        <v>4086522.7428458827</v>
      </c>
      <c r="AG13" s="25">
        <f t="shared" si="2"/>
        <v>4175321.9249463719</v>
      </c>
      <c r="AH13" s="25">
        <f t="shared" si="2"/>
        <v>4276445.7021480091</v>
      </c>
      <c r="AI13" s="25">
        <f t="shared" si="2"/>
        <v>4327819.2286607111</v>
      </c>
      <c r="AJ13" s="25">
        <f t="shared" si="2"/>
        <v>4414567.9266743567</v>
      </c>
      <c r="AK13" s="25">
        <f t="shared" si="2"/>
        <v>4467717.5016000941</v>
      </c>
      <c r="AL13" s="26">
        <f>SUMIF('23_Time'!$B$3:$AK$3, 1,B13:AK13)</f>
        <v>16798639.528620627</v>
      </c>
      <c r="AM13" s="25">
        <f>SUMIF('23_Time'!$B$3:$AK$3, 2,B13:AK13)</f>
        <v>32009779.247176085</v>
      </c>
      <c r="AN13" s="27">
        <f>SUMIF('23_Time'!$B$3:$AK$3, 3,B13:AK13)</f>
        <v>48549317.03086295</v>
      </c>
    </row>
    <row r="14" spans="1:40" x14ac:dyDescent="0.3">
      <c r="B14" s="5"/>
      <c r="C14" s="5"/>
      <c r="D14" s="5"/>
      <c r="E14" s="5"/>
      <c r="F14" s="5"/>
      <c r="G14" s="5"/>
      <c r="H14" s="5"/>
      <c r="I14" s="5"/>
      <c r="J14" s="5"/>
      <c r="K14" s="5"/>
      <c r="L14" s="5"/>
      <c r="M14" s="5"/>
      <c r="N14" s="5"/>
      <c r="O14" s="5"/>
      <c r="P14" s="5"/>
      <c r="Q14" s="5"/>
      <c r="R14" s="5"/>
      <c r="S14" s="5"/>
      <c r="T14" s="5"/>
      <c r="U14" s="5"/>
      <c r="V14" s="5"/>
      <c r="W14" s="5"/>
      <c r="X14" s="5"/>
      <c r="Y14" s="5"/>
      <c r="Z14" s="5"/>
      <c r="AA14" s="5"/>
      <c r="AB14" s="5"/>
      <c r="AC14" s="5"/>
      <c r="AD14" s="5"/>
      <c r="AE14" s="5"/>
      <c r="AF14" s="5"/>
      <c r="AG14" s="5"/>
      <c r="AH14" s="5"/>
      <c r="AI14" s="5"/>
      <c r="AJ14" s="5"/>
      <c r="AK14" s="5"/>
      <c r="AL14" s="5"/>
      <c r="AM14" s="5"/>
      <c r="AN14" s="5"/>
    </row>
    <row r="15" spans="1:40" x14ac:dyDescent="0.3">
      <c r="B15" s="5"/>
      <c r="C15" s="5"/>
      <c r="D15" s="5"/>
      <c r="E15" s="5"/>
      <c r="F15" s="5"/>
      <c r="G15" s="5"/>
      <c r="H15" s="5"/>
      <c r="I15" s="5"/>
      <c r="J15" s="5"/>
      <c r="K15" s="5"/>
      <c r="L15" s="5"/>
      <c r="M15" s="5"/>
      <c r="N15" s="5"/>
      <c r="O15" s="5"/>
      <c r="P15" s="5"/>
      <c r="Q15" s="5"/>
      <c r="R15" s="5"/>
      <c r="S15" s="5"/>
      <c r="T15" s="5"/>
      <c r="U15" s="5"/>
      <c r="V15" s="5"/>
      <c r="W15" s="5"/>
      <c r="X15" s="5"/>
      <c r="Y15" s="5"/>
      <c r="Z15" s="5"/>
      <c r="AA15" s="5"/>
      <c r="AB15" s="5"/>
      <c r="AC15" s="5"/>
      <c r="AD15" s="5"/>
      <c r="AE15" s="5"/>
      <c r="AF15" s="5"/>
      <c r="AG15" s="5"/>
      <c r="AH15" s="5"/>
      <c r="AI15" s="5"/>
      <c r="AJ15" s="5"/>
      <c r="AK15" s="5"/>
      <c r="AL15" s="5"/>
      <c r="AM15" s="5"/>
      <c r="AN15" s="5"/>
    </row>
    <row r="16" spans="1:40" x14ac:dyDescent="0.3">
      <c r="B16" s="5"/>
      <c r="C16" s="5"/>
      <c r="D16" s="5"/>
      <c r="E16" s="5"/>
      <c r="F16" s="5"/>
      <c r="G16" s="5"/>
      <c r="H16" s="5"/>
      <c r="I16" s="5"/>
      <c r="J16" s="5"/>
      <c r="K16" s="5"/>
      <c r="L16" s="5"/>
      <c r="M16" s="5"/>
      <c r="N16" s="5"/>
      <c r="O16" s="5"/>
      <c r="P16" s="5"/>
      <c r="Q16" s="5"/>
      <c r="R16" s="5"/>
      <c r="S16" s="5"/>
      <c r="T16" s="5"/>
      <c r="U16" s="5"/>
      <c r="V16" s="5"/>
      <c r="W16" s="5"/>
      <c r="X16" s="5"/>
      <c r="Y16" s="5"/>
      <c r="Z16" s="5"/>
      <c r="AA16" s="5"/>
      <c r="AB16" s="5"/>
      <c r="AC16" s="5"/>
      <c r="AD16" s="5"/>
      <c r="AE16" s="5"/>
      <c r="AF16" s="5"/>
      <c r="AG16" s="5"/>
      <c r="AH16" s="5"/>
      <c r="AI16" s="5"/>
      <c r="AJ16" s="5"/>
      <c r="AK16" s="5"/>
      <c r="AL16" s="5"/>
      <c r="AM16" s="5"/>
      <c r="AN16" s="5"/>
    </row>
    <row r="17" spans="2:40" x14ac:dyDescent="0.3">
      <c r="B17" s="5"/>
      <c r="C17" s="5"/>
      <c r="D17" s="5"/>
      <c r="E17" s="5"/>
      <c r="F17" s="5"/>
      <c r="G17" s="5"/>
      <c r="H17" s="5"/>
      <c r="I17" s="5"/>
      <c r="J17" s="5"/>
      <c r="K17" s="5"/>
      <c r="L17" s="5"/>
      <c r="M17" s="5"/>
      <c r="N17" s="5"/>
      <c r="O17" s="5"/>
      <c r="P17" s="5"/>
      <c r="Q17" s="5"/>
      <c r="R17" s="5"/>
      <c r="S17" s="5"/>
      <c r="T17" s="5"/>
      <c r="U17" s="5"/>
      <c r="V17" s="5"/>
      <c r="W17" s="5"/>
      <c r="X17" s="5"/>
      <c r="Y17" s="5"/>
      <c r="Z17" s="5"/>
      <c r="AA17" s="5"/>
      <c r="AB17" s="5"/>
      <c r="AC17" s="5"/>
      <c r="AD17" s="5"/>
      <c r="AE17" s="5"/>
      <c r="AF17" s="5"/>
      <c r="AG17" s="5"/>
      <c r="AH17" s="5"/>
      <c r="AI17" s="5"/>
      <c r="AJ17" s="5"/>
      <c r="AK17" s="5"/>
      <c r="AL17" s="5"/>
      <c r="AM17" s="5"/>
      <c r="AN17" s="5"/>
    </row>
    <row r="18" spans="2:40" x14ac:dyDescent="0.3">
      <c r="B18" s="5"/>
      <c r="C18" s="5"/>
      <c r="D18" s="5"/>
      <c r="E18" s="5"/>
      <c r="F18" s="5"/>
      <c r="G18" s="5"/>
      <c r="H18" s="5"/>
      <c r="I18" s="5"/>
      <c r="J18" s="5"/>
      <c r="K18" s="5"/>
      <c r="L18" s="5"/>
      <c r="M18" s="5"/>
      <c r="N18" s="5"/>
      <c r="O18" s="5"/>
      <c r="P18" s="5"/>
      <c r="Q18" s="5"/>
      <c r="R18" s="5"/>
      <c r="S18" s="5"/>
      <c r="T18" s="5"/>
      <c r="U18" s="5"/>
      <c r="V18" s="5"/>
      <c r="W18" s="5"/>
      <c r="X18" s="5"/>
      <c r="Y18" s="5"/>
      <c r="Z18" s="5"/>
      <c r="AA18" s="5"/>
      <c r="AB18" s="5"/>
      <c r="AC18" s="5"/>
      <c r="AD18" s="5"/>
      <c r="AE18" s="5"/>
      <c r="AF18" s="5"/>
      <c r="AG18" s="5"/>
      <c r="AH18" s="5"/>
      <c r="AI18" s="5"/>
      <c r="AJ18" s="5"/>
      <c r="AK18" s="5"/>
      <c r="AL18" s="5"/>
      <c r="AM18" s="5"/>
      <c r="AN18" s="5"/>
    </row>
    <row r="19" spans="2:40" x14ac:dyDescent="0.3">
      <c r="B19" s="5"/>
      <c r="C19" s="5"/>
      <c r="D19" s="5"/>
      <c r="E19" s="5"/>
      <c r="F19" s="5"/>
      <c r="G19" s="5"/>
      <c r="H19" s="5"/>
      <c r="I19" s="5"/>
      <c r="J19" s="5"/>
      <c r="K19" s="5"/>
      <c r="L19" s="5"/>
      <c r="M19" s="5"/>
      <c r="N19" s="5"/>
      <c r="O19" s="5"/>
      <c r="P19" s="5"/>
      <c r="Q19" s="5"/>
      <c r="R19" s="5"/>
      <c r="S19" s="5"/>
      <c r="T19" s="5"/>
      <c r="U19" s="5"/>
      <c r="V19" s="5"/>
      <c r="W19" s="5"/>
      <c r="X19" s="5"/>
      <c r="Y19" s="5"/>
      <c r="Z19" s="5"/>
      <c r="AA19" s="5"/>
      <c r="AB19" s="5"/>
      <c r="AC19" s="5"/>
      <c r="AD19" s="5"/>
      <c r="AE19" s="5"/>
      <c r="AF19" s="5"/>
      <c r="AG19" s="5"/>
      <c r="AH19" s="5"/>
      <c r="AI19" s="5"/>
      <c r="AJ19" s="5"/>
      <c r="AK19" s="5"/>
      <c r="AL19" s="5"/>
      <c r="AM19" s="5"/>
      <c r="AN19" s="5"/>
    </row>
    <row r="20" spans="2:40" x14ac:dyDescent="0.3">
      <c r="B20" s="5"/>
      <c r="C20" s="5"/>
      <c r="D20" s="5"/>
      <c r="E20" s="5"/>
      <c r="F20" s="5"/>
      <c r="G20" s="5"/>
      <c r="H20" s="5"/>
      <c r="I20" s="5"/>
      <c r="J20" s="5"/>
      <c r="K20" s="5"/>
      <c r="L20" s="5"/>
      <c r="M20" s="5"/>
      <c r="N20" s="5"/>
      <c r="O20" s="5"/>
      <c r="P20" s="5"/>
      <c r="Q20" s="5"/>
      <c r="R20" s="5"/>
      <c r="S20" s="5"/>
      <c r="T20" s="5"/>
      <c r="U20" s="5"/>
      <c r="V20" s="5"/>
      <c r="W20" s="5"/>
      <c r="X20" s="5"/>
      <c r="Y20" s="5"/>
      <c r="Z20" s="5"/>
      <c r="AA20" s="5"/>
      <c r="AB20" s="5"/>
      <c r="AC20" s="5"/>
      <c r="AD20" s="5"/>
      <c r="AE20" s="5"/>
      <c r="AF20" s="5"/>
      <c r="AG20" s="5"/>
      <c r="AH20" s="5"/>
      <c r="AI20" s="5"/>
      <c r="AJ20" s="5"/>
      <c r="AK20" s="5"/>
      <c r="AL20" s="5"/>
      <c r="AM20" s="5"/>
      <c r="AN20" s="5"/>
    </row>
    <row r="21" spans="2:40" x14ac:dyDescent="0.3">
      <c r="B21" s="5"/>
      <c r="C21" s="5"/>
      <c r="D21" s="5"/>
      <c r="E21" s="5"/>
      <c r="F21" s="5"/>
      <c r="G21" s="5"/>
      <c r="H21" s="5"/>
      <c r="I21" s="5"/>
      <c r="J21" s="5"/>
      <c r="K21" s="5"/>
      <c r="L21" s="5"/>
      <c r="M21" s="5"/>
      <c r="N21" s="5"/>
      <c r="O21" s="5"/>
      <c r="P21" s="5"/>
      <c r="Q21" s="5"/>
      <c r="R21" s="5"/>
      <c r="S21" s="5"/>
      <c r="T21" s="5"/>
      <c r="U21" s="5"/>
      <c r="V21" s="5"/>
      <c r="W21" s="5"/>
      <c r="X21" s="5"/>
      <c r="Y21" s="5"/>
      <c r="Z21" s="5"/>
      <c r="AA21" s="5"/>
      <c r="AB21" s="5"/>
      <c r="AC21" s="5"/>
      <c r="AD21" s="5"/>
      <c r="AE21" s="5"/>
      <c r="AF21" s="5"/>
      <c r="AG21" s="5"/>
      <c r="AH21" s="5"/>
      <c r="AI21" s="5"/>
      <c r="AJ21" s="5"/>
      <c r="AK21" s="5"/>
      <c r="AL21" s="5"/>
      <c r="AM21" s="5"/>
      <c r="AN21" s="5"/>
    </row>
    <row r="22" spans="2:40" x14ac:dyDescent="0.3">
      <c r="B22" s="5"/>
      <c r="C22" s="5"/>
      <c r="D22" s="5"/>
      <c r="E22" s="5"/>
      <c r="F22" s="5"/>
      <c r="G22" s="5"/>
      <c r="H22" s="5"/>
      <c r="I22" s="5"/>
      <c r="J22" s="5"/>
      <c r="K22" s="5"/>
      <c r="L22" s="5"/>
      <c r="M22" s="5"/>
      <c r="N22" s="5"/>
      <c r="O22" s="5"/>
      <c r="P22" s="5"/>
      <c r="Q22" s="5"/>
      <c r="R22" s="5"/>
      <c r="S22" s="5"/>
      <c r="T22" s="5"/>
      <c r="U22" s="5"/>
      <c r="V22" s="5"/>
      <c r="W22" s="5"/>
      <c r="X22" s="5"/>
      <c r="Y22" s="5"/>
      <c r="Z22" s="5"/>
      <c r="AA22" s="5"/>
      <c r="AB22" s="5"/>
      <c r="AC22" s="5"/>
      <c r="AD22" s="5"/>
      <c r="AE22" s="5"/>
      <c r="AF22" s="5"/>
      <c r="AG22" s="5"/>
      <c r="AH22" s="5"/>
      <c r="AI22" s="5"/>
      <c r="AJ22" s="5"/>
      <c r="AK22" s="5"/>
      <c r="AL22" s="5"/>
      <c r="AM22" s="5"/>
      <c r="AN22" s="5"/>
    </row>
    <row r="23" spans="2:40" x14ac:dyDescent="0.3">
      <c r="B23" s="5"/>
      <c r="C23" s="5"/>
      <c r="D23" s="5"/>
      <c r="E23" s="5"/>
      <c r="F23" s="5"/>
      <c r="G23" s="5"/>
      <c r="H23" s="5"/>
      <c r="I23" s="5"/>
      <c r="J23" s="5"/>
      <c r="K23" s="5"/>
      <c r="L23" s="5"/>
      <c r="M23" s="5"/>
      <c r="N23" s="5"/>
      <c r="O23" s="5"/>
      <c r="P23" s="5"/>
      <c r="Q23" s="5"/>
      <c r="R23" s="5"/>
      <c r="S23" s="5"/>
      <c r="T23" s="5"/>
      <c r="U23" s="5"/>
      <c r="V23" s="5"/>
      <c r="W23" s="5"/>
      <c r="X23" s="5"/>
      <c r="Y23" s="5"/>
      <c r="Z23" s="5"/>
      <c r="AA23" s="5"/>
      <c r="AB23" s="5"/>
      <c r="AC23" s="5"/>
      <c r="AD23" s="5"/>
      <c r="AE23" s="5"/>
      <c r="AF23" s="5"/>
      <c r="AG23" s="5"/>
      <c r="AH23" s="5"/>
      <c r="AI23" s="5"/>
      <c r="AJ23" s="5"/>
      <c r="AK23" s="5"/>
      <c r="AL23" s="5"/>
      <c r="AM23" s="5"/>
      <c r="AN23" s="5"/>
    </row>
    <row r="24" spans="2:40" x14ac:dyDescent="0.3">
      <c r="B24" s="5"/>
      <c r="C24" s="5"/>
      <c r="D24" s="5"/>
      <c r="E24" s="5"/>
      <c r="F24" s="5"/>
      <c r="G24" s="5"/>
      <c r="H24" s="5"/>
      <c r="I24" s="5"/>
      <c r="J24" s="5"/>
      <c r="K24" s="5"/>
      <c r="L24" s="5"/>
      <c r="M24" s="5"/>
      <c r="N24" s="5"/>
      <c r="O24" s="5"/>
      <c r="P24" s="5"/>
      <c r="Q24" s="5"/>
      <c r="R24" s="5"/>
      <c r="S24" s="5"/>
      <c r="T24" s="5"/>
      <c r="U24" s="5"/>
      <c r="V24" s="5"/>
      <c r="W24" s="5"/>
      <c r="X24" s="5"/>
      <c r="Y24" s="5"/>
      <c r="Z24" s="5"/>
      <c r="AA24" s="5"/>
      <c r="AB24" s="5"/>
      <c r="AC24" s="5"/>
      <c r="AD24" s="5"/>
      <c r="AE24" s="5"/>
      <c r="AF24" s="5"/>
      <c r="AG24" s="5"/>
      <c r="AH24" s="5"/>
      <c r="AI24" s="5"/>
      <c r="AJ24" s="5"/>
      <c r="AK24" s="5"/>
      <c r="AL24" s="5"/>
      <c r="AM24" s="5"/>
      <c r="AN24" s="5"/>
    </row>
    <row r="25" spans="2:40" x14ac:dyDescent="0.3">
      <c r="B25" s="5"/>
      <c r="C25" s="5"/>
      <c r="D25" s="5"/>
      <c r="E25" s="5"/>
      <c r="F25" s="5"/>
      <c r="G25" s="5"/>
      <c r="H25" s="5"/>
      <c r="I25" s="5"/>
      <c r="J25" s="5"/>
      <c r="K25" s="5"/>
      <c r="L25" s="5"/>
      <c r="M25" s="5"/>
      <c r="N25" s="5"/>
      <c r="O25" s="5"/>
      <c r="P25" s="5"/>
      <c r="Q25" s="5"/>
      <c r="R25" s="5"/>
      <c r="S25" s="5"/>
      <c r="T25" s="5"/>
      <c r="U25" s="5"/>
      <c r="V25" s="5"/>
      <c r="W25" s="5"/>
      <c r="X25" s="5"/>
      <c r="Y25" s="5"/>
      <c r="Z25" s="5"/>
      <c r="AA25" s="5"/>
      <c r="AB25" s="5"/>
      <c r="AC25" s="5"/>
      <c r="AD25" s="5"/>
      <c r="AE25" s="5"/>
      <c r="AF25" s="5"/>
      <c r="AG25" s="5"/>
      <c r="AH25" s="5"/>
      <c r="AI25" s="5"/>
      <c r="AJ25" s="5"/>
      <c r="AK25" s="5"/>
      <c r="AL25" s="5"/>
      <c r="AM25" s="5"/>
      <c r="AN25" s="5"/>
    </row>
    <row r="26" spans="2:40" x14ac:dyDescent="0.3">
      <c r="B26" s="5"/>
      <c r="C26" s="5"/>
      <c r="D26" s="5"/>
      <c r="E26" s="5"/>
      <c r="F26" s="5"/>
      <c r="G26" s="5"/>
      <c r="H26" s="5"/>
      <c r="I26" s="5"/>
      <c r="J26" s="5"/>
      <c r="K26" s="5"/>
      <c r="L26" s="5"/>
      <c r="M26" s="5"/>
      <c r="N26" s="5"/>
      <c r="O26" s="5"/>
      <c r="P26" s="5"/>
      <c r="Q26" s="5"/>
      <c r="R26" s="5"/>
      <c r="S26" s="5"/>
      <c r="T26" s="5"/>
      <c r="U26" s="5"/>
      <c r="V26" s="5"/>
      <c r="W26" s="5"/>
      <c r="X26" s="5"/>
      <c r="Y26" s="5"/>
      <c r="Z26" s="5"/>
      <c r="AA26" s="5"/>
      <c r="AB26" s="5"/>
      <c r="AC26" s="5"/>
      <c r="AD26" s="5"/>
      <c r="AE26" s="5"/>
      <c r="AF26" s="5"/>
      <c r="AG26" s="5"/>
      <c r="AH26" s="5"/>
      <c r="AI26" s="5"/>
      <c r="AJ26" s="5"/>
      <c r="AK26" s="5"/>
      <c r="AL26" s="5"/>
      <c r="AM26" s="5"/>
      <c r="AN26" s="5"/>
    </row>
    <row r="27" spans="2:40" x14ac:dyDescent="0.3">
      <c r="B27" s="5"/>
      <c r="C27" s="5"/>
      <c r="D27" s="5"/>
      <c r="E27" s="5"/>
      <c r="F27" s="5"/>
      <c r="G27" s="5"/>
      <c r="H27" s="5"/>
      <c r="I27" s="5"/>
      <c r="J27" s="5"/>
      <c r="K27" s="5"/>
      <c r="L27" s="5"/>
      <c r="M27" s="5"/>
      <c r="N27" s="5"/>
      <c r="O27" s="5"/>
      <c r="P27" s="5"/>
      <c r="Q27" s="5"/>
      <c r="R27" s="5"/>
      <c r="S27" s="5"/>
      <c r="T27" s="5"/>
      <c r="U27" s="5"/>
      <c r="V27" s="5"/>
      <c r="W27" s="5"/>
      <c r="X27" s="5"/>
      <c r="Y27" s="5"/>
      <c r="Z27" s="5"/>
      <c r="AA27" s="5"/>
      <c r="AB27" s="5"/>
      <c r="AC27" s="5"/>
      <c r="AD27" s="5"/>
      <c r="AE27" s="5"/>
      <c r="AF27" s="5"/>
      <c r="AG27" s="5"/>
      <c r="AH27" s="5"/>
      <c r="AI27" s="5"/>
      <c r="AJ27" s="5"/>
      <c r="AK27" s="5"/>
      <c r="AL27" s="5"/>
      <c r="AM27" s="5"/>
      <c r="AN27" s="5"/>
    </row>
    <row r="28" spans="2:40" x14ac:dyDescent="0.3">
      <c r="B28" s="5"/>
      <c r="C28" s="5"/>
      <c r="D28" s="5"/>
      <c r="E28" s="5"/>
      <c r="F28" s="5"/>
      <c r="G28" s="5"/>
      <c r="H28" s="5"/>
      <c r="I28" s="5"/>
      <c r="J28" s="5"/>
      <c r="K28" s="5"/>
      <c r="L28" s="5"/>
      <c r="M28" s="5"/>
      <c r="N28" s="5"/>
      <c r="O28" s="5"/>
      <c r="P28" s="5"/>
      <c r="Q28" s="5"/>
      <c r="R28" s="5"/>
      <c r="S28" s="5"/>
      <c r="T28" s="5"/>
      <c r="U28" s="5"/>
      <c r="V28" s="5"/>
      <c r="W28" s="5"/>
      <c r="X28" s="5"/>
      <c r="Y28" s="5"/>
      <c r="Z28" s="5"/>
      <c r="AA28" s="5"/>
      <c r="AB28" s="5"/>
      <c r="AC28" s="5"/>
      <c r="AD28" s="5"/>
      <c r="AE28" s="5"/>
      <c r="AF28" s="5"/>
      <c r="AG28" s="5"/>
      <c r="AH28" s="5"/>
      <c r="AI28" s="5"/>
      <c r="AJ28" s="5"/>
      <c r="AK28" s="5"/>
      <c r="AL28" s="5"/>
      <c r="AM28" s="5"/>
      <c r="AN28" s="5"/>
    </row>
    <row r="29" spans="2:40" x14ac:dyDescent="0.3">
      <c r="B29" s="5"/>
      <c r="C29" s="5"/>
      <c r="D29" s="5"/>
      <c r="E29" s="5"/>
      <c r="F29" s="5"/>
      <c r="G29" s="5"/>
      <c r="H29" s="5"/>
      <c r="I29" s="5"/>
      <c r="J29" s="5"/>
      <c r="K29" s="5"/>
      <c r="L29" s="5"/>
      <c r="M29" s="5"/>
      <c r="N29" s="5"/>
      <c r="O29" s="5"/>
      <c r="P29" s="5"/>
      <c r="Q29" s="5"/>
      <c r="R29" s="5"/>
      <c r="S29" s="5"/>
      <c r="T29" s="5"/>
      <c r="U29" s="5"/>
      <c r="V29" s="5"/>
      <c r="W29" s="5"/>
      <c r="X29" s="5"/>
      <c r="Y29" s="5"/>
      <c r="Z29" s="5"/>
      <c r="AA29" s="5"/>
      <c r="AB29" s="5"/>
      <c r="AC29" s="5"/>
      <c r="AD29" s="5"/>
      <c r="AE29" s="5"/>
      <c r="AF29" s="5"/>
      <c r="AG29" s="5"/>
      <c r="AH29" s="5"/>
      <c r="AI29" s="5"/>
      <c r="AJ29" s="5"/>
      <c r="AK29" s="5"/>
      <c r="AL29" s="5"/>
      <c r="AM29" s="5"/>
      <c r="AN29" s="5"/>
    </row>
    <row r="30" spans="2:40" x14ac:dyDescent="0.3">
      <c r="B30" s="5"/>
      <c r="C30" s="5"/>
      <c r="D30" s="5"/>
      <c r="E30" s="5"/>
      <c r="F30" s="5"/>
      <c r="G30" s="5"/>
      <c r="H30" s="5"/>
      <c r="I30" s="5"/>
      <c r="J30" s="5"/>
      <c r="K30" s="5"/>
      <c r="L30" s="5"/>
      <c r="M30" s="5"/>
      <c r="N30" s="5"/>
      <c r="O30" s="5"/>
      <c r="P30" s="5"/>
      <c r="Q30" s="5"/>
      <c r="R30" s="5"/>
      <c r="S30" s="5"/>
      <c r="T30" s="5"/>
      <c r="U30" s="5"/>
      <c r="V30" s="5"/>
      <c r="W30" s="5"/>
      <c r="X30" s="5"/>
      <c r="Y30" s="5"/>
      <c r="Z30" s="5"/>
      <c r="AA30" s="5"/>
      <c r="AB30" s="5"/>
      <c r="AC30" s="5"/>
      <c r="AD30" s="5"/>
      <c r="AE30" s="5"/>
      <c r="AF30" s="5"/>
      <c r="AG30" s="5"/>
      <c r="AH30" s="5"/>
      <c r="AI30" s="5"/>
      <c r="AJ30" s="5"/>
      <c r="AK30" s="5"/>
      <c r="AL30" s="5"/>
      <c r="AM30" s="5"/>
      <c r="AN30" s="5"/>
    </row>
    <row r="31" spans="2:40" x14ac:dyDescent="0.3">
      <c r="B31" s="5"/>
      <c r="C31" s="5"/>
      <c r="D31" s="5"/>
      <c r="E31" s="5"/>
      <c r="F31" s="5"/>
      <c r="G31" s="5"/>
      <c r="H31" s="5"/>
      <c r="I31" s="5"/>
      <c r="J31" s="5"/>
      <c r="K31" s="5"/>
      <c r="L31" s="5"/>
      <c r="M31" s="5"/>
      <c r="N31" s="5"/>
      <c r="O31" s="5"/>
      <c r="P31" s="5"/>
      <c r="Q31" s="5"/>
      <c r="R31" s="5"/>
      <c r="S31" s="5"/>
      <c r="T31" s="5"/>
      <c r="U31" s="5"/>
      <c r="V31" s="5"/>
      <c r="W31" s="5"/>
      <c r="X31" s="5"/>
      <c r="Y31" s="5"/>
      <c r="Z31" s="5"/>
      <c r="AA31" s="5"/>
      <c r="AB31" s="5"/>
      <c r="AC31" s="5"/>
      <c r="AD31" s="5"/>
      <c r="AE31" s="5"/>
      <c r="AF31" s="5"/>
      <c r="AG31" s="5"/>
      <c r="AH31" s="5"/>
      <c r="AI31" s="5"/>
      <c r="AJ31" s="5"/>
      <c r="AK31" s="5"/>
      <c r="AL31" s="5"/>
      <c r="AM31" s="5"/>
      <c r="AN31" s="5"/>
    </row>
    <row r="32" spans="2:40" x14ac:dyDescent="0.3">
      <c r="B32" s="5"/>
      <c r="C32" s="5"/>
      <c r="D32" s="5"/>
      <c r="E32" s="5"/>
      <c r="F32" s="5"/>
      <c r="G32" s="5"/>
      <c r="H32" s="5"/>
      <c r="I32" s="5"/>
      <c r="J32" s="5"/>
      <c r="K32" s="5"/>
      <c r="L32" s="5"/>
      <c r="M32" s="5"/>
      <c r="N32" s="5"/>
      <c r="O32" s="5"/>
      <c r="P32" s="5"/>
      <c r="Q32" s="5"/>
      <c r="R32" s="5"/>
      <c r="S32" s="5"/>
      <c r="T32" s="5"/>
      <c r="U32" s="5"/>
      <c r="V32" s="5"/>
      <c r="W32" s="5"/>
      <c r="X32" s="5"/>
      <c r="Y32" s="5"/>
      <c r="Z32" s="5"/>
      <c r="AA32" s="5"/>
      <c r="AB32" s="5"/>
      <c r="AC32" s="5"/>
      <c r="AD32" s="5"/>
      <c r="AE32" s="5"/>
      <c r="AF32" s="5"/>
      <c r="AG32" s="5"/>
      <c r="AH32" s="5"/>
      <c r="AI32" s="5"/>
      <c r="AJ32" s="5"/>
      <c r="AK32" s="5"/>
      <c r="AL32" s="5"/>
      <c r="AM32" s="5"/>
      <c r="AN32" s="5"/>
    </row>
    <row r="33" spans="2:40" x14ac:dyDescent="0.3">
      <c r="B33" s="5"/>
      <c r="C33" s="5"/>
      <c r="D33" s="5"/>
      <c r="E33" s="5"/>
      <c r="F33" s="5"/>
      <c r="G33" s="5"/>
      <c r="H33" s="5"/>
      <c r="I33" s="5"/>
      <c r="J33" s="5"/>
      <c r="K33" s="5"/>
      <c r="L33" s="5"/>
      <c r="M33" s="5"/>
      <c r="N33" s="5"/>
      <c r="O33" s="5"/>
      <c r="P33" s="5"/>
      <c r="Q33" s="5"/>
      <c r="R33" s="5"/>
      <c r="S33" s="5"/>
      <c r="T33" s="5"/>
      <c r="U33" s="5"/>
      <c r="V33" s="5"/>
      <c r="W33" s="5"/>
      <c r="X33" s="5"/>
      <c r="Y33" s="5"/>
      <c r="Z33" s="5"/>
      <c r="AA33" s="5"/>
      <c r="AB33" s="5"/>
      <c r="AC33" s="5"/>
      <c r="AD33" s="5"/>
      <c r="AE33" s="5"/>
      <c r="AF33" s="5"/>
      <c r="AG33" s="5"/>
      <c r="AH33" s="5"/>
      <c r="AI33" s="5"/>
      <c r="AJ33" s="5"/>
      <c r="AK33" s="5"/>
      <c r="AL33" s="5"/>
      <c r="AM33" s="5"/>
      <c r="AN33" s="5"/>
    </row>
    <row r="34" spans="2:40" x14ac:dyDescent="0.3">
      <c r="B34" s="5"/>
      <c r="C34" s="5"/>
      <c r="D34" s="5"/>
      <c r="E34" s="5"/>
      <c r="F34" s="5"/>
      <c r="G34" s="5"/>
      <c r="H34" s="5"/>
      <c r="I34" s="5"/>
      <c r="J34" s="5"/>
      <c r="K34" s="5"/>
      <c r="L34" s="5"/>
      <c r="M34" s="5"/>
      <c r="N34" s="5"/>
      <c r="O34" s="5"/>
      <c r="P34" s="5"/>
      <c r="Q34" s="5"/>
      <c r="R34" s="5"/>
      <c r="S34" s="5"/>
      <c r="T34" s="5"/>
      <c r="U34" s="5"/>
      <c r="V34" s="5"/>
      <c r="W34" s="5"/>
      <c r="X34" s="5"/>
      <c r="Y34" s="5"/>
      <c r="Z34" s="5"/>
      <c r="AA34" s="5"/>
      <c r="AB34" s="5"/>
      <c r="AC34" s="5"/>
      <c r="AD34" s="5"/>
      <c r="AE34" s="5"/>
      <c r="AF34" s="5"/>
      <c r="AG34" s="5"/>
      <c r="AH34" s="5"/>
      <c r="AI34" s="5"/>
      <c r="AJ34" s="5"/>
      <c r="AK34" s="5"/>
      <c r="AL34" s="5"/>
      <c r="AM34" s="5"/>
      <c r="AN34" s="5"/>
    </row>
    <row r="35" spans="2:40" x14ac:dyDescent="0.3">
      <c r="B35" s="5"/>
      <c r="C35" s="5"/>
      <c r="D35" s="5"/>
      <c r="E35" s="5"/>
      <c r="F35" s="5"/>
      <c r="G35" s="5"/>
      <c r="H35" s="5"/>
      <c r="I35" s="5"/>
      <c r="J35" s="5"/>
      <c r="K35" s="5"/>
      <c r="L35" s="5"/>
      <c r="M35" s="5"/>
      <c r="N35" s="5"/>
      <c r="O35" s="5"/>
      <c r="P35" s="5"/>
      <c r="Q35" s="5"/>
      <c r="R35" s="5"/>
      <c r="S35" s="5"/>
      <c r="T35" s="5"/>
      <c r="U35" s="5"/>
      <c r="V35" s="5"/>
      <c r="W35" s="5"/>
      <c r="X35" s="5"/>
      <c r="Y35" s="5"/>
      <c r="Z35" s="5"/>
      <c r="AA35" s="5"/>
      <c r="AB35" s="5"/>
      <c r="AC35" s="5"/>
      <c r="AD35" s="5"/>
      <c r="AE35" s="5"/>
      <c r="AF35" s="5"/>
      <c r="AG35" s="5"/>
      <c r="AH35" s="5"/>
      <c r="AI35" s="5"/>
      <c r="AJ35" s="5"/>
      <c r="AK35" s="5"/>
      <c r="AL35" s="5"/>
      <c r="AM35" s="5"/>
      <c r="AN35" s="5"/>
    </row>
    <row r="36" spans="2:40" x14ac:dyDescent="0.3">
      <c r="B36" s="5"/>
      <c r="C36" s="5"/>
      <c r="D36" s="5"/>
      <c r="E36" s="5"/>
      <c r="F36" s="5"/>
      <c r="G36" s="5"/>
      <c r="H36" s="5"/>
      <c r="I36" s="5"/>
      <c r="J36" s="5"/>
      <c r="K36" s="5"/>
      <c r="L36" s="5"/>
      <c r="M36" s="5"/>
      <c r="N36" s="5"/>
      <c r="O36" s="5"/>
      <c r="P36" s="5"/>
      <c r="Q36" s="5"/>
      <c r="R36" s="5"/>
      <c r="S36" s="5"/>
      <c r="T36" s="5"/>
      <c r="U36" s="5"/>
      <c r="V36" s="5"/>
      <c r="W36" s="5"/>
      <c r="X36" s="5"/>
      <c r="Y36" s="5"/>
      <c r="Z36" s="5"/>
      <c r="AA36" s="5"/>
      <c r="AB36" s="5"/>
      <c r="AC36" s="5"/>
      <c r="AD36" s="5"/>
      <c r="AE36" s="5"/>
      <c r="AF36" s="5"/>
      <c r="AG36" s="5"/>
      <c r="AH36" s="5"/>
      <c r="AI36" s="5"/>
      <c r="AJ36" s="5"/>
      <c r="AK36" s="5"/>
      <c r="AL36" s="5"/>
      <c r="AM36" s="5"/>
      <c r="AN36" s="5"/>
    </row>
    <row r="37" spans="2:40" x14ac:dyDescent="0.3">
      <c r="B37" s="5"/>
      <c r="C37" s="5"/>
      <c r="D37" s="5"/>
      <c r="E37" s="5"/>
      <c r="F37" s="5"/>
      <c r="G37" s="5"/>
      <c r="H37" s="5"/>
      <c r="I37" s="5"/>
      <c r="J37" s="5"/>
      <c r="K37" s="5"/>
      <c r="L37" s="5"/>
      <c r="M37" s="5"/>
      <c r="N37" s="5"/>
      <c r="O37" s="5"/>
      <c r="P37" s="5"/>
      <c r="Q37" s="5"/>
      <c r="R37" s="5"/>
      <c r="S37" s="5"/>
      <c r="T37" s="5"/>
      <c r="U37" s="5"/>
      <c r="V37" s="5"/>
      <c r="W37" s="5"/>
      <c r="X37" s="5"/>
      <c r="Y37" s="5"/>
      <c r="Z37" s="5"/>
      <c r="AA37" s="5"/>
      <c r="AB37" s="5"/>
      <c r="AC37" s="5"/>
      <c r="AD37" s="5"/>
      <c r="AE37" s="5"/>
      <c r="AF37" s="5"/>
      <c r="AG37" s="5"/>
      <c r="AH37" s="5"/>
      <c r="AI37" s="5"/>
      <c r="AJ37" s="5"/>
      <c r="AK37" s="5"/>
      <c r="AL37" s="5"/>
      <c r="AM37" s="5"/>
      <c r="AN37" s="5"/>
    </row>
    <row r="38" spans="2:40" x14ac:dyDescent="0.3">
      <c r="B38" s="5"/>
      <c r="C38" s="5"/>
      <c r="D38" s="5"/>
      <c r="E38" s="5"/>
      <c r="F38" s="5"/>
      <c r="G38" s="5"/>
      <c r="H38" s="5"/>
      <c r="I38" s="5"/>
      <c r="J38" s="5"/>
      <c r="K38" s="5"/>
      <c r="L38" s="5"/>
      <c r="M38" s="5"/>
      <c r="N38" s="5"/>
      <c r="O38" s="5"/>
      <c r="P38" s="5"/>
      <c r="Q38" s="5"/>
      <c r="R38" s="5"/>
      <c r="S38" s="5"/>
      <c r="T38" s="5"/>
      <c r="U38" s="5"/>
      <c r="V38" s="5"/>
      <c r="W38" s="5"/>
      <c r="X38" s="5"/>
      <c r="Y38" s="5"/>
      <c r="Z38" s="5"/>
      <c r="AA38" s="5"/>
      <c r="AB38" s="5"/>
      <c r="AC38" s="5"/>
      <c r="AD38" s="5"/>
      <c r="AE38" s="5"/>
      <c r="AF38" s="5"/>
      <c r="AG38" s="5"/>
      <c r="AH38" s="5"/>
      <c r="AI38" s="5"/>
      <c r="AJ38" s="5"/>
      <c r="AK38" s="5"/>
      <c r="AL38" s="5"/>
      <c r="AM38" s="5"/>
      <c r="AN38" s="5"/>
    </row>
    <row r="39" spans="2:40" x14ac:dyDescent="0.3">
      <c r="B39" s="5"/>
      <c r="C39" s="5"/>
      <c r="D39" s="5"/>
      <c r="E39" s="5"/>
      <c r="F39" s="5"/>
      <c r="G39" s="5"/>
      <c r="H39" s="5"/>
      <c r="I39" s="5"/>
      <c r="J39" s="5"/>
      <c r="K39" s="5"/>
      <c r="L39" s="5"/>
      <c r="M39" s="5"/>
      <c r="N39" s="5"/>
      <c r="O39" s="5"/>
      <c r="P39" s="5"/>
      <c r="Q39" s="5"/>
      <c r="R39" s="5"/>
      <c r="S39" s="5"/>
      <c r="T39" s="5"/>
      <c r="U39" s="5"/>
      <c r="V39" s="5"/>
      <c r="W39" s="5"/>
      <c r="X39" s="5"/>
      <c r="Y39" s="5"/>
      <c r="Z39" s="5"/>
      <c r="AA39" s="5"/>
      <c r="AB39" s="5"/>
      <c r="AC39" s="5"/>
      <c r="AD39" s="5"/>
      <c r="AE39" s="5"/>
      <c r="AF39" s="5"/>
      <c r="AG39" s="5"/>
      <c r="AH39" s="5"/>
      <c r="AI39" s="5"/>
      <c r="AJ39" s="5"/>
      <c r="AK39" s="5"/>
      <c r="AL39" s="5"/>
      <c r="AM39" s="5"/>
      <c r="AN39" s="5"/>
    </row>
    <row r="40" spans="2:40" x14ac:dyDescent="0.3">
      <c r="B40" s="5"/>
      <c r="C40" s="5"/>
      <c r="D40" s="5"/>
      <c r="E40" s="5"/>
      <c r="F40" s="5"/>
      <c r="G40" s="5"/>
      <c r="H40" s="5"/>
      <c r="I40" s="5"/>
      <c r="J40" s="5"/>
      <c r="K40" s="5"/>
      <c r="L40" s="5"/>
      <c r="M40" s="5"/>
      <c r="N40" s="5"/>
      <c r="O40" s="5"/>
      <c r="P40" s="5"/>
      <c r="Q40" s="5"/>
      <c r="R40" s="5"/>
      <c r="S40" s="5"/>
      <c r="T40" s="5"/>
      <c r="U40" s="5"/>
      <c r="V40" s="5"/>
      <c r="W40" s="5"/>
      <c r="X40" s="5"/>
      <c r="Y40" s="5"/>
      <c r="Z40" s="5"/>
      <c r="AA40" s="5"/>
      <c r="AB40" s="5"/>
      <c r="AC40" s="5"/>
      <c r="AD40" s="5"/>
      <c r="AE40" s="5"/>
      <c r="AF40" s="5"/>
      <c r="AG40" s="5"/>
      <c r="AH40" s="5"/>
      <c r="AI40" s="5"/>
      <c r="AJ40" s="5"/>
      <c r="AK40" s="5"/>
      <c r="AL40" s="5"/>
      <c r="AM40" s="5"/>
      <c r="AN40" s="5"/>
    </row>
    <row r="41" spans="2:40" x14ac:dyDescent="0.3">
      <c r="B41" s="5"/>
      <c r="C41" s="5"/>
      <c r="D41" s="5"/>
      <c r="E41" s="5"/>
      <c r="F41" s="5"/>
      <c r="G41" s="5"/>
      <c r="H41" s="5"/>
      <c r="I41" s="5"/>
      <c r="J41" s="5"/>
      <c r="K41" s="5"/>
      <c r="L41" s="5"/>
      <c r="M41" s="5"/>
      <c r="N41" s="5"/>
      <c r="O41" s="5"/>
      <c r="P41" s="5"/>
      <c r="Q41" s="5"/>
      <c r="R41" s="5"/>
      <c r="S41" s="5"/>
      <c r="T41" s="5"/>
      <c r="U41" s="5"/>
      <c r="V41" s="5"/>
      <c r="W41" s="5"/>
      <c r="X41" s="5"/>
      <c r="Y41" s="5"/>
      <c r="Z41" s="5"/>
      <c r="AA41" s="5"/>
      <c r="AB41" s="5"/>
      <c r="AC41" s="5"/>
      <c r="AD41" s="5"/>
      <c r="AE41" s="5"/>
      <c r="AF41" s="5"/>
      <c r="AG41" s="5"/>
      <c r="AH41" s="5"/>
      <c r="AI41" s="5"/>
      <c r="AJ41" s="5"/>
      <c r="AK41" s="5"/>
      <c r="AL41" s="5"/>
      <c r="AM41" s="5"/>
      <c r="AN41" s="5"/>
    </row>
    <row r="42" spans="2:40" x14ac:dyDescent="0.3">
      <c r="B42" s="5"/>
      <c r="C42" s="5"/>
      <c r="D42" s="5"/>
      <c r="E42" s="5"/>
      <c r="F42" s="5"/>
      <c r="G42" s="5"/>
      <c r="H42" s="5"/>
      <c r="I42" s="5"/>
      <c r="J42" s="5"/>
      <c r="K42" s="5"/>
      <c r="L42" s="5"/>
      <c r="M42" s="5"/>
      <c r="N42" s="5"/>
      <c r="O42" s="5"/>
      <c r="P42" s="5"/>
      <c r="Q42" s="5"/>
      <c r="R42" s="5"/>
      <c r="S42" s="5"/>
      <c r="T42" s="5"/>
      <c r="U42" s="5"/>
      <c r="V42" s="5"/>
      <c r="W42" s="5"/>
      <c r="X42" s="5"/>
      <c r="Y42" s="5"/>
      <c r="Z42" s="5"/>
      <c r="AA42" s="5"/>
      <c r="AB42" s="5"/>
      <c r="AC42" s="5"/>
      <c r="AD42" s="5"/>
      <c r="AE42" s="5"/>
      <c r="AF42" s="5"/>
      <c r="AG42" s="5"/>
      <c r="AH42" s="5"/>
      <c r="AI42" s="5"/>
      <c r="AJ42" s="5"/>
      <c r="AK42" s="5"/>
      <c r="AL42" s="5"/>
      <c r="AM42" s="5"/>
      <c r="AN42" s="5"/>
    </row>
    <row r="43" spans="2:40" x14ac:dyDescent="0.3">
      <c r="B43" s="5"/>
      <c r="C43" s="5"/>
      <c r="D43" s="5"/>
      <c r="E43" s="5"/>
      <c r="F43" s="5"/>
      <c r="G43" s="5"/>
      <c r="H43" s="5"/>
      <c r="I43" s="5"/>
      <c r="J43" s="5"/>
      <c r="K43" s="5"/>
      <c r="L43" s="5"/>
      <c r="M43" s="5"/>
      <c r="N43" s="5"/>
      <c r="O43" s="5"/>
      <c r="P43" s="5"/>
      <c r="Q43" s="5"/>
      <c r="R43" s="5"/>
      <c r="S43" s="5"/>
      <c r="T43" s="5"/>
      <c r="U43" s="5"/>
      <c r="V43" s="5"/>
      <c r="W43" s="5"/>
      <c r="X43" s="5"/>
      <c r="Y43" s="5"/>
      <c r="Z43" s="5"/>
      <c r="AA43" s="5"/>
      <c r="AB43" s="5"/>
      <c r="AC43" s="5"/>
      <c r="AD43" s="5"/>
      <c r="AE43" s="5"/>
      <c r="AF43" s="5"/>
      <c r="AG43" s="5"/>
      <c r="AH43" s="5"/>
      <c r="AI43" s="5"/>
      <c r="AJ43" s="5"/>
      <c r="AK43" s="5"/>
      <c r="AL43" s="5"/>
      <c r="AM43" s="5"/>
      <c r="AN43" s="5"/>
    </row>
    <row r="44" spans="2:40" x14ac:dyDescent="0.3">
      <c r="B44" s="5"/>
      <c r="C44" s="5"/>
      <c r="D44" s="5"/>
      <c r="E44" s="5"/>
      <c r="F44" s="5"/>
      <c r="G44" s="5"/>
      <c r="H44" s="5"/>
      <c r="I44" s="5"/>
      <c r="J44" s="5"/>
      <c r="K44" s="5"/>
      <c r="L44" s="5"/>
      <c r="M44" s="5"/>
      <c r="N44" s="5"/>
      <c r="O44" s="5"/>
      <c r="P44" s="5"/>
      <c r="Q44" s="5"/>
      <c r="R44" s="5"/>
      <c r="S44" s="5"/>
      <c r="T44" s="5"/>
      <c r="U44" s="5"/>
      <c r="V44" s="5"/>
      <c r="W44" s="5"/>
      <c r="X44" s="5"/>
      <c r="Y44" s="5"/>
      <c r="Z44" s="5"/>
      <c r="AA44" s="5"/>
      <c r="AB44" s="5"/>
      <c r="AC44" s="5"/>
      <c r="AD44" s="5"/>
      <c r="AE44" s="5"/>
      <c r="AF44" s="5"/>
      <c r="AG44" s="5"/>
      <c r="AH44" s="5"/>
      <c r="AI44" s="5"/>
      <c r="AJ44" s="5"/>
      <c r="AK44" s="5"/>
      <c r="AL44" s="5"/>
      <c r="AM44" s="5"/>
      <c r="AN44" s="5"/>
    </row>
    <row r="45" spans="2:40" x14ac:dyDescent="0.3">
      <c r="B45" s="5"/>
      <c r="C45" s="5"/>
      <c r="D45" s="5"/>
      <c r="E45" s="5"/>
      <c r="F45" s="5"/>
      <c r="G45" s="5"/>
      <c r="H45" s="5"/>
      <c r="I45" s="5"/>
      <c r="J45" s="5"/>
      <c r="K45" s="5"/>
      <c r="L45" s="5"/>
      <c r="M45" s="5"/>
      <c r="N45" s="5"/>
      <c r="O45" s="5"/>
      <c r="P45" s="5"/>
      <c r="Q45" s="5"/>
      <c r="R45" s="5"/>
      <c r="S45" s="5"/>
      <c r="T45" s="5"/>
      <c r="U45" s="5"/>
      <c r="V45" s="5"/>
      <c r="W45" s="5"/>
      <c r="X45" s="5"/>
      <c r="Y45" s="5"/>
      <c r="Z45" s="5"/>
      <c r="AA45" s="5"/>
      <c r="AB45" s="5"/>
      <c r="AC45" s="5"/>
      <c r="AD45" s="5"/>
      <c r="AE45" s="5"/>
      <c r="AF45" s="5"/>
      <c r="AG45" s="5"/>
      <c r="AH45" s="5"/>
      <c r="AI45" s="5"/>
      <c r="AJ45" s="5"/>
      <c r="AK45" s="5"/>
      <c r="AL45" s="5"/>
      <c r="AM45" s="5"/>
      <c r="AN45" s="5"/>
    </row>
    <row r="46" spans="2:40" x14ac:dyDescent="0.3">
      <c r="B46" s="5"/>
      <c r="C46" s="5"/>
      <c r="D46" s="5"/>
      <c r="E46" s="5"/>
      <c r="F46" s="5"/>
      <c r="G46" s="5"/>
      <c r="H46" s="5"/>
      <c r="I46" s="5"/>
      <c r="J46" s="5"/>
      <c r="K46" s="5"/>
      <c r="L46" s="5"/>
      <c r="M46" s="5"/>
      <c r="N46" s="5"/>
      <c r="O46" s="5"/>
      <c r="P46" s="5"/>
      <c r="Q46" s="5"/>
      <c r="R46" s="5"/>
      <c r="S46" s="5"/>
      <c r="T46" s="5"/>
      <c r="U46" s="5"/>
      <c r="V46" s="5"/>
      <c r="W46" s="5"/>
      <c r="X46" s="5"/>
      <c r="Y46" s="5"/>
      <c r="Z46" s="5"/>
      <c r="AA46" s="5"/>
      <c r="AB46" s="5"/>
      <c r="AC46" s="5"/>
      <c r="AD46" s="5"/>
      <c r="AE46" s="5"/>
      <c r="AF46" s="5"/>
      <c r="AG46" s="5"/>
      <c r="AH46" s="5"/>
      <c r="AI46" s="5"/>
      <c r="AJ46" s="5"/>
      <c r="AK46" s="5"/>
      <c r="AL46" s="5"/>
      <c r="AM46" s="5"/>
      <c r="AN46" s="5"/>
    </row>
    <row r="47" spans="2:40" x14ac:dyDescent="0.3">
      <c r="B47" s="5"/>
      <c r="C47" s="5"/>
      <c r="D47" s="5"/>
      <c r="E47" s="5"/>
      <c r="F47" s="5"/>
      <c r="G47" s="5"/>
      <c r="H47" s="5"/>
      <c r="I47" s="5"/>
      <c r="J47" s="5"/>
      <c r="K47" s="5"/>
      <c r="L47" s="5"/>
      <c r="M47" s="5"/>
      <c r="N47" s="5"/>
      <c r="O47" s="5"/>
      <c r="P47" s="5"/>
      <c r="Q47" s="5"/>
      <c r="R47" s="5"/>
      <c r="S47" s="5"/>
      <c r="T47" s="5"/>
      <c r="U47" s="5"/>
      <c r="V47" s="5"/>
      <c r="W47" s="5"/>
      <c r="X47" s="5"/>
      <c r="Y47" s="5"/>
      <c r="Z47" s="5"/>
      <c r="AA47" s="5"/>
      <c r="AB47" s="5"/>
      <c r="AC47" s="5"/>
      <c r="AD47" s="5"/>
      <c r="AE47" s="5"/>
      <c r="AF47" s="5"/>
      <c r="AG47" s="5"/>
      <c r="AH47" s="5"/>
      <c r="AI47" s="5"/>
      <c r="AJ47" s="5"/>
      <c r="AK47" s="5"/>
      <c r="AL47" s="5"/>
      <c r="AM47" s="5"/>
      <c r="AN47" s="5"/>
    </row>
    <row r="48" spans="2:40" x14ac:dyDescent="0.3">
      <c r="B48" s="5"/>
      <c r="C48" s="5"/>
      <c r="D48" s="5"/>
      <c r="E48" s="5"/>
      <c r="F48" s="5"/>
      <c r="G48" s="5"/>
      <c r="H48" s="5"/>
      <c r="I48" s="5"/>
      <c r="J48" s="5"/>
      <c r="K48" s="5"/>
      <c r="L48" s="5"/>
      <c r="M48" s="5"/>
      <c r="N48" s="5"/>
      <c r="O48" s="5"/>
      <c r="P48" s="5"/>
      <c r="Q48" s="5"/>
      <c r="R48" s="5"/>
      <c r="S48" s="5"/>
      <c r="T48" s="5"/>
      <c r="U48" s="5"/>
      <c r="V48" s="5"/>
      <c r="W48" s="5"/>
      <c r="X48" s="5"/>
      <c r="Y48" s="5"/>
      <c r="Z48" s="5"/>
      <c r="AA48" s="5"/>
      <c r="AB48" s="5"/>
      <c r="AC48" s="5"/>
      <c r="AD48" s="5"/>
      <c r="AE48" s="5"/>
      <c r="AF48" s="5"/>
      <c r="AG48" s="5"/>
      <c r="AH48" s="5"/>
      <c r="AI48" s="5"/>
      <c r="AJ48" s="5"/>
      <c r="AK48" s="5"/>
      <c r="AL48" s="5"/>
      <c r="AM48" s="5"/>
      <c r="AN48" s="5"/>
    </row>
    <row r="49" spans="2:40" x14ac:dyDescent="0.3">
      <c r="B49" s="5"/>
      <c r="C49" s="5"/>
      <c r="D49" s="5"/>
      <c r="E49" s="5"/>
      <c r="F49" s="5"/>
      <c r="G49" s="5"/>
      <c r="H49" s="5"/>
      <c r="I49" s="5"/>
      <c r="J49" s="5"/>
      <c r="K49" s="5"/>
      <c r="L49" s="5"/>
      <c r="M49" s="5"/>
      <c r="N49" s="5"/>
      <c r="O49" s="5"/>
      <c r="P49" s="5"/>
      <c r="Q49" s="5"/>
      <c r="R49" s="5"/>
      <c r="S49" s="5"/>
      <c r="T49" s="5"/>
      <c r="U49" s="5"/>
      <c r="V49" s="5"/>
      <c r="W49" s="5"/>
      <c r="X49" s="5"/>
      <c r="Y49" s="5"/>
      <c r="Z49" s="5"/>
      <c r="AA49" s="5"/>
      <c r="AB49" s="5"/>
      <c r="AC49" s="5"/>
      <c r="AD49" s="5"/>
      <c r="AE49" s="5"/>
      <c r="AF49" s="5"/>
      <c r="AG49" s="5"/>
      <c r="AH49" s="5"/>
      <c r="AI49" s="5"/>
      <c r="AJ49" s="5"/>
      <c r="AK49" s="5"/>
      <c r="AL49" s="5"/>
      <c r="AM49" s="5"/>
      <c r="AN49" s="5"/>
    </row>
    <row r="50" spans="2:40" x14ac:dyDescent="0.3">
      <c r="B50" s="5"/>
      <c r="C50" s="5"/>
      <c r="D50" s="5"/>
      <c r="E50" s="5"/>
      <c r="F50" s="5"/>
      <c r="G50" s="5"/>
      <c r="H50" s="5"/>
      <c r="I50" s="5"/>
      <c r="J50" s="5"/>
      <c r="K50" s="5"/>
      <c r="L50" s="5"/>
      <c r="M50" s="5"/>
      <c r="N50" s="5"/>
      <c r="O50" s="5"/>
      <c r="P50" s="5"/>
      <c r="Q50" s="5"/>
      <c r="R50" s="5"/>
      <c r="S50" s="5"/>
      <c r="T50" s="5"/>
      <c r="U50" s="5"/>
      <c r="V50" s="5"/>
      <c r="W50" s="5"/>
      <c r="X50" s="5"/>
      <c r="Y50" s="5"/>
      <c r="Z50" s="5"/>
      <c r="AA50" s="5"/>
      <c r="AB50" s="5"/>
      <c r="AC50" s="5"/>
      <c r="AD50" s="5"/>
      <c r="AE50" s="5"/>
      <c r="AF50" s="5"/>
      <c r="AG50" s="5"/>
      <c r="AH50" s="5"/>
      <c r="AI50" s="5"/>
      <c r="AJ50" s="5"/>
      <c r="AK50" s="5"/>
      <c r="AL50" s="5"/>
      <c r="AM50" s="5"/>
      <c r="AN50" s="5"/>
    </row>
    <row r="51" spans="2:40" x14ac:dyDescent="0.3">
      <c r="B51" s="5"/>
      <c r="C51" s="5"/>
      <c r="D51" s="5"/>
      <c r="E51" s="5"/>
      <c r="F51" s="5"/>
      <c r="G51" s="5"/>
      <c r="H51" s="5"/>
      <c r="I51" s="5"/>
      <c r="J51" s="5"/>
      <c r="K51" s="5"/>
      <c r="L51" s="5"/>
      <c r="M51" s="5"/>
      <c r="N51" s="5"/>
      <c r="O51" s="5"/>
      <c r="P51" s="5"/>
      <c r="Q51" s="5"/>
      <c r="R51" s="5"/>
      <c r="S51" s="5"/>
      <c r="T51" s="5"/>
      <c r="U51" s="5"/>
      <c r="V51" s="5"/>
      <c r="W51" s="5"/>
      <c r="X51" s="5"/>
      <c r="Y51" s="5"/>
      <c r="Z51" s="5"/>
      <c r="AA51" s="5"/>
      <c r="AB51" s="5"/>
      <c r="AC51" s="5"/>
      <c r="AD51" s="5"/>
      <c r="AE51" s="5"/>
      <c r="AF51" s="5"/>
      <c r="AG51" s="5"/>
      <c r="AH51" s="5"/>
      <c r="AI51" s="5"/>
      <c r="AJ51" s="5"/>
      <c r="AK51" s="5"/>
      <c r="AL51" s="5"/>
      <c r="AM51" s="5"/>
      <c r="AN51" s="5"/>
    </row>
    <row r="52" spans="2:40" x14ac:dyDescent="0.3">
      <c r="B52" s="5"/>
      <c r="C52" s="5"/>
      <c r="D52" s="5"/>
      <c r="E52" s="5"/>
      <c r="F52" s="5"/>
      <c r="G52" s="5"/>
      <c r="H52" s="5"/>
      <c r="I52" s="5"/>
      <c r="J52" s="5"/>
      <c r="K52" s="5"/>
      <c r="L52" s="5"/>
      <c r="M52" s="5"/>
      <c r="N52" s="5"/>
      <c r="O52" s="5"/>
      <c r="P52" s="5"/>
      <c r="Q52" s="5"/>
      <c r="R52" s="5"/>
      <c r="S52" s="5"/>
      <c r="T52" s="5"/>
      <c r="U52" s="5"/>
      <c r="V52" s="5"/>
      <c r="W52" s="5"/>
      <c r="X52" s="5"/>
      <c r="Y52" s="5"/>
      <c r="Z52" s="5"/>
      <c r="AA52" s="5"/>
      <c r="AB52" s="5"/>
      <c r="AC52" s="5"/>
      <c r="AD52" s="5"/>
      <c r="AE52" s="5"/>
      <c r="AF52" s="5"/>
      <c r="AG52" s="5"/>
      <c r="AH52" s="5"/>
      <c r="AI52" s="5"/>
      <c r="AJ52" s="5"/>
      <c r="AK52" s="5"/>
      <c r="AL52" s="5"/>
      <c r="AM52" s="5"/>
      <c r="AN52" s="5"/>
    </row>
    <row r="53" spans="2:40" x14ac:dyDescent="0.3">
      <c r="B53" s="5"/>
      <c r="C53" s="5"/>
      <c r="D53" s="5"/>
      <c r="E53" s="5"/>
      <c r="F53" s="5"/>
      <c r="G53" s="5"/>
      <c r="H53" s="5"/>
      <c r="I53" s="5"/>
      <c r="J53" s="5"/>
      <c r="K53" s="5"/>
      <c r="L53" s="5"/>
      <c r="M53" s="5"/>
      <c r="N53" s="5"/>
      <c r="O53" s="5"/>
      <c r="P53" s="5"/>
      <c r="Q53" s="5"/>
      <c r="R53" s="5"/>
      <c r="S53" s="5"/>
      <c r="T53" s="5"/>
      <c r="U53" s="5"/>
      <c r="V53" s="5"/>
      <c r="W53" s="5"/>
      <c r="X53" s="5"/>
      <c r="Y53" s="5"/>
      <c r="Z53" s="5"/>
      <c r="AA53" s="5"/>
      <c r="AB53" s="5"/>
      <c r="AC53" s="5"/>
      <c r="AD53" s="5"/>
      <c r="AE53" s="5"/>
      <c r="AF53" s="5"/>
      <c r="AG53" s="5"/>
      <c r="AH53" s="5"/>
      <c r="AI53" s="5"/>
      <c r="AJ53" s="5"/>
      <c r="AK53" s="5"/>
      <c r="AL53" s="5"/>
      <c r="AM53" s="5"/>
      <c r="AN53" s="5"/>
    </row>
    <row r="54" spans="2:40" x14ac:dyDescent="0.3">
      <c r="B54" s="5"/>
      <c r="C54" s="5"/>
      <c r="D54" s="5"/>
      <c r="E54" s="5"/>
      <c r="F54" s="5"/>
      <c r="G54" s="5"/>
      <c r="H54" s="5"/>
      <c r="I54" s="5"/>
      <c r="J54" s="5"/>
      <c r="K54" s="5"/>
      <c r="L54" s="5"/>
      <c r="M54" s="5"/>
      <c r="N54" s="5"/>
      <c r="O54" s="5"/>
      <c r="P54" s="5"/>
      <c r="Q54" s="5"/>
      <c r="R54" s="5"/>
      <c r="S54" s="5"/>
      <c r="T54" s="5"/>
      <c r="U54" s="5"/>
      <c r="V54" s="5"/>
      <c r="W54" s="5"/>
      <c r="X54" s="5"/>
      <c r="Y54" s="5"/>
      <c r="Z54" s="5"/>
      <c r="AA54" s="5"/>
      <c r="AB54" s="5"/>
      <c r="AC54" s="5"/>
      <c r="AD54" s="5"/>
      <c r="AE54" s="5"/>
      <c r="AF54" s="5"/>
      <c r="AG54" s="5"/>
      <c r="AH54" s="5"/>
      <c r="AI54" s="5"/>
      <c r="AJ54" s="5"/>
      <c r="AK54" s="5"/>
      <c r="AL54" s="5"/>
      <c r="AM54" s="5"/>
      <c r="AN54" s="5"/>
    </row>
    <row r="55" spans="2:40" x14ac:dyDescent="0.3">
      <c r="B55" s="5"/>
      <c r="C55" s="5"/>
      <c r="D55" s="5"/>
      <c r="E55" s="5"/>
      <c r="F55" s="5"/>
      <c r="G55" s="5"/>
      <c r="H55" s="5"/>
      <c r="I55" s="5"/>
      <c r="J55" s="5"/>
      <c r="K55" s="5"/>
      <c r="L55" s="5"/>
      <c r="M55" s="5"/>
      <c r="N55" s="5"/>
      <c r="O55" s="5"/>
      <c r="P55" s="5"/>
      <c r="Q55" s="5"/>
      <c r="R55" s="5"/>
      <c r="S55" s="5"/>
      <c r="T55" s="5"/>
      <c r="U55" s="5"/>
      <c r="V55" s="5"/>
      <c r="W55" s="5"/>
      <c r="X55" s="5"/>
      <c r="Y55" s="5"/>
      <c r="Z55" s="5"/>
      <c r="AA55" s="5"/>
      <c r="AB55" s="5"/>
      <c r="AC55" s="5"/>
      <c r="AD55" s="5"/>
      <c r="AE55" s="5"/>
      <c r="AF55" s="5"/>
      <c r="AG55" s="5"/>
      <c r="AH55" s="5"/>
      <c r="AI55" s="5"/>
      <c r="AJ55" s="5"/>
      <c r="AK55" s="5"/>
      <c r="AL55" s="5"/>
      <c r="AM55" s="5"/>
      <c r="AN55" s="5"/>
    </row>
    <row r="56" spans="2:40" x14ac:dyDescent="0.3">
      <c r="B56" s="5"/>
      <c r="C56" s="5"/>
      <c r="D56" s="5"/>
      <c r="E56" s="5"/>
      <c r="F56" s="5"/>
      <c r="G56" s="5"/>
      <c r="H56" s="5"/>
      <c r="I56" s="5"/>
      <c r="J56" s="5"/>
      <c r="K56" s="5"/>
      <c r="L56" s="5"/>
      <c r="M56" s="5"/>
      <c r="N56" s="5"/>
      <c r="O56" s="5"/>
      <c r="P56" s="5"/>
      <c r="Q56" s="5"/>
      <c r="R56" s="5"/>
      <c r="S56" s="5"/>
      <c r="T56" s="5"/>
      <c r="U56" s="5"/>
      <c r="V56" s="5"/>
      <c r="W56" s="5"/>
      <c r="X56" s="5"/>
      <c r="Y56" s="5"/>
      <c r="Z56" s="5"/>
      <c r="AA56" s="5"/>
      <c r="AB56" s="5"/>
      <c r="AC56" s="5"/>
      <c r="AD56" s="5"/>
      <c r="AE56" s="5"/>
      <c r="AF56" s="5"/>
      <c r="AG56" s="5"/>
      <c r="AH56" s="5"/>
      <c r="AI56" s="5"/>
      <c r="AJ56" s="5"/>
      <c r="AK56" s="5"/>
      <c r="AL56" s="5"/>
      <c r="AM56" s="5"/>
      <c r="AN56" s="5"/>
    </row>
    <row r="57" spans="2:40" x14ac:dyDescent="0.3">
      <c r="B57" s="5"/>
      <c r="C57" s="5"/>
      <c r="D57" s="5"/>
      <c r="E57" s="5"/>
      <c r="F57" s="5"/>
      <c r="G57" s="5"/>
      <c r="H57" s="5"/>
      <c r="I57" s="5"/>
      <c r="J57" s="5"/>
      <c r="K57" s="5"/>
      <c r="L57" s="5"/>
      <c r="M57" s="5"/>
      <c r="N57" s="5"/>
      <c r="O57" s="5"/>
      <c r="P57" s="5"/>
      <c r="Q57" s="5"/>
      <c r="R57" s="5"/>
      <c r="S57" s="5"/>
      <c r="T57" s="5"/>
      <c r="U57" s="5"/>
      <c r="V57" s="5"/>
      <c r="W57" s="5"/>
      <c r="X57" s="5"/>
      <c r="Y57" s="5"/>
      <c r="Z57" s="5"/>
      <c r="AA57" s="5"/>
      <c r="AB57" s="5"/>
      <c r="AC57" s="5"/>
      <c r="AD57" s="5"/>
      <c r="AE57" s="5"/>
      <c r="AF57" s="5"/>
      <c r="AG57" s="5"/>
      <c r="AH57" s="5"/>
      <c r="AI57" s="5"/>
      <c r="AJ57" s="5"/>
      <c r="AK57" s="5"/>
      <c r="AL57" s="5"/>
      <c r="AM57" s="5"/>
      <c r="AN57" s="5"/>
    </row>
    <row r="58" spans="2:40" x14ac:dyDescent="0.3">
      <c r="B58" s="5"/>
      <c r="C58" s="5"/>
      <c r="D58" s="5"/>
      <c r="E58" s="5"/>
      <c r="F58" s="5"/>
      <c r="G58" s="5"/>
      <c r="H58" s="5"/>
      <c r="I58" s="5"/>
      <c r="J58" s="5"/>
      <c r="K58" s="5"/>
      <c r="L58" s="5"/>
      <c r="M58" s="5"/>
      <c r="N58" s="5"/>
      <c r="O58" s="5"/>
      <c r="P58" s="5"/>
      <c r="Q58" s="5"/>
      <c r="R58" s="5"/>
      <c r="S58" s="5"/>
      <c r="T58" s="5"/>
      <c r="U58" s="5"/>
      <c r="V58" s="5"/>
      <c r="W58" s="5"/>
      <c r="X58" s="5"/>
      <c r="Y58" s="5"/>
      <c r="Z58" s="5"/>
      <c r="AA58" s="5"/>
      <c r="AB58" s="5"/>
      <c r="AC58" s="5"/>
      <c r="AD58" s="5"/>
      <c r="AE58" s="5"/>
      <c r="AF58" s="5"/>
      <c r="AG58" s="5"/>
      <c r="AH58" s="5"/>
      <c r="AI58" s="5"/>
      <c r="AJ58" s="5"/>
      <c r="AK58" s="5"/>
      <c r="AL58" s="5"/>
      <c r="AM58" s="5"/>
      <c r="AN58" s="5"/>
    </row>
    <row r="59" spans="2:40" x14ac:dyDescent="0.3">
      <c r="B59" s="5"/>
      <c r="C59" s="5"/>
      <c r="D59" s="5"/>
      <c r="E59" s="5"/>
      <c r="F59" s="5"/>
      <c r="G59" s="5"/>
      <c r="H59" s="5"/>
      <c r="I59" s="5"/>
      <c r="J59" s="5"/>
      <c r="K59" s="5"/>
      <c r="L59" s="5"/>
      <c r="M59" s="5"/>
      <c r="N59" s="5"/>
      <c r="O59" s="5"/>
      <c r="P59" s="5"/>
      <c r="Q59" s="5"/>
      <c r="R59" s="5"/>
      <c r="S59" s="5"/>
      <c r="T59" s="5"/>
      <c r="U59" s="5"/>
      <c r="V59" s="5"/>
      <c r="W59" s="5"/>
      <c r="X59" s="5"/>
      <c r="Y59" s="5"/>
      <c r="Z59" s="5"/>
      <c r="AA59" s="5"/>
      <c r="AB59" s="5"/>
      <c r="AC59" s="5"/>
      <c r="AD59" s="5"/>
      <c r="AE59" s="5"/>
      <c r="AF59" s="5"/>
      <c r="AG59" s="5"/>
      <c r="AH59" s="5"/>
      <c r="AI59" s="5"/>
      <c r="AJ59" s="5"/>
      <c r="AK59" s="5"/>
      <c r="AL59" s="5"/>
      <c r="AM59" s="5"/>
      <c r="AN59" s="5"/>
    </row>
    <row r="60" spans="2:40" x14ac:dyDescent="0.3">
      <c r="B60" s="5"/>
      <c r="C60" s="5"/>
      <c r="D60" s="5"/>
      <c r="E60" s="5"/>
      <c r="F60" s="5"/>
      <c r="G60" s="5"/>
      <c r="H60" s="5"/>
      <c r="I60" s="5"/>
      <c r="J60" s="5"/>
      <c r="K60" s="5"/>
      <c r="L60" s="5"/>
      <c r="M60" s="5"/>
      <c r="N60" s="5"/>
      <c r="O60" s="5"/>
      <c r="P60" s="5"/>
      <c r="Q60" s="5"/>
      <c r="R60" s="5"/>
      <c r="S60" s="5"/>
      <c r="T60" s="5"/>
      <c r="U60" s="5"/>
      <c r="V60" s="5"/>
      <c r="W60" s="5"/>
      <c r="X60" s="5"/>
      <c r="Y60" s="5"/>
      <c r="Z60" s="5"/>
      <c r="AA60" s="5"/>
      <c r="AB60" s="5"/>
      <c r="AC60" s="5"/>
      <c r="AD60" s="5"/>
      <c r="AE60" s="5"/>
      <c r="AF60" s="5"/>
      <c r="AG60" s="5"/>
      <c r="AH60" s="5"/>
      <c r="AI60" s="5"/>
      <c r="AJ60" s="5"/>
      <c r="AK60" s="5"/>
      <c r="AL60" s="5"/>
      <c r="AM60" s="5"/>
      <c r="AN60" s="5"/>
    </row>
    <row r="61" spans="2:40" x14ac:dyDescent="0.3">
      <c r="B61" s="5"/>
      <c r="C61" s="5"/>
      <c r="D61" s="5"/>
      <c r="E61" s="5"/>
      <c r="F61" s="5"/>
      <c r="G61" s="5"/>
      <c r="H61" s="5"/>
      <c r="I61" s="5"/>
      <c r="J61" s="5"/>
      <c r="K61" s="5"/>
      <c r="L61" s="5"/>
      <c r="M61" s="5"/>
      <c r="N61" s="5"/>
      <c r="O61" s="5"/>
      <c r="P61" s="5"/>
      <c r="Q61" s="5"/>
      <c r="R61" s="5"/>
      <c r="S61" s="5"/>
      <c r="T61" s="5"/>
      <c r="U61" s="5"/>
      <c r="V61" s="5"/>
      <c r="W61" s="5"/>
      <c r="X61" s="5"/>
      <c r="Y61" s="5"/>
      <c r="Z61" s="5"/>
      <c r="AA61" s="5"/>
      <c r="AB61" s="5"/>
      <c r="AC61" s="5"/>
      <c r="AD61" s="5"/>
      <c r="AE61" s="5"/>
      <c r="AF61" s="5"/>
      <c r="AG61" s="5"/>
      <c r="AH61" s="5"/>
      <c r="AI61" s="5"/>
      <c r="AJ61" s="5"/>
      <c r="AK61" s="5"/>
      <c r="AL61" s="5"/>
      <c r="AM61" s="5"/>
      <c r="AN61" s="5"/>
    </row>
    <row r="62" spans="2:40" x14ac:dyDescent="0.3">
      <c r="B62" s="5"/>
      <c r="C62" s="5"/>
      <c r="D62" s="5"/>
      <c r="E62" s="5"/>
      <c r="F62" s="5"/>
      <c r="G62" s="5"/>
      <c r="H62" s="5"/>
      <c r="I62" s="5"/>
      <c r="J62" s="5"/>
      <c r="K62" s="5"/>
      <c r="L62" s="5"/>
      <c r="M62" s="5"/>
      <c r="N62" s="5"/>
      <c r="O62" s="5"/>
      <c r="P62" s="5"/>
      <c r="Q62" s="5"/>
      <c r="R62" s="5"/>
      <c r="S62" s="5"/>
      <c r="T62" s="5"/>
      <c r="U62" s="5"/>
      <c r="V62" s="5"/>
      <c r="W62" s="5"/>
      <c r="X62" s="5"/>
      <c r="Y62" s="5"/>
      <c r="Z62" s="5"/>
      <c r="AA62" s="5"/>
      <c r="AB62" s="5"/>
      <c r="AC62" s="5"/>
      <c r="AD62" s="5"/>
      <c r="AE62" s="5"/>
      <c r="AF62" s="5"/>
      <c r="AG62" s="5"/>
      <c r="AH62" s="5"/>
      <c r="AI62" s="5"/>
      <c r="AJ62" s="5"/>
      <c r="AK62" s="5"/>
      <c r="AL62" s="5"/>
      <c r="AM62" s="5"/>
      <c r="AN62" s="5"/>
    </row>
    <row r="63" spans="2:40" x14ac:dyDescent="0.3">
      <c r="B63" s="5"/>
      <c r="C63" s="5"/>
      <c r="D63" s="5"/>
      <c r="E63" s="5"/>
      <c r="F63" s="5"/>
      <c r="G63" s="5"/>
      <c r="H63" s="5"/>
      <c r="I63" s="5"/>
      <c r="J63" s="5"/>
      <c r="K63" s="5"/>
      <c r="L63" s="5"/>
      <c r="M63" s="5"/>
      <c r="N63" s="5"/>
      <c r="O63" s="5"/>
      <c r="P63" s="5"/>
      <c r="Q63" s="5"/>
      <c r="R63" s="5"/>
      <c r="S63" s="5"/>
      <c r="T63" s="5"/>
      <c r="U63" s="5"/>
      <c r="V63" s="5"/>
      <c r="W63" s="5"/>
      <c r="X63" s="5"/>
      <c r="Y63" s="5"/>
      <c r="Z63" s="5"/>
      <c r="AA63" s="5"/>
      <c r="AB63" s="5"/>
      <c r="AC63" s="5"/>
      <c r="AD63" s="5"/>
      <c r="AE63" s="5"/>
      <c r="AF63" s="5"/>
      <c r="AG63" s="5"/>
      <c r="AH63" s="5"/>
      <c r="AI63" s="5"/>
      <c r="AJ63" s="5"/>
      <c r="AK63" s="5"/>
      <c r="AL63" s="5"/>
      <c r="AM63" s="5"/>
      <c r="AN63" s="5"/>
    </row>
    <row r="64" spans="2:40" x14ac:dyDescent="0.3">
      <c r="B64" s="5"/>
      <c r="C64" s="5"/>
      <c r="D64" s="5"/>
      <c r="E64" s="5"/>
      <c r="F64" s="5"/>
      <c r="G64" s="5"/>
      <c r="H64" s="5"/>
      <c r="I64" s="5"/>
      <c r="J64" s="5"/>
      <c r="K64" s="5"/>
      <c r="L64" s="5"/>
      <c r="M64" s="5"/>
      <c r="N64" s="5"/>
      <c r="O64" s="5"/>
      <c r="P64" s="5"/>
      <c r="Q64" s="5"/>
      <c r="R64" s="5"/>
      <c r="S64" s="5"/>
      <c r="T64" s="5"/>
      <c r="U64" s="5"/>
      <c r="V64" s="5"/>
      <c r="W64" s="5"/>
      <c r="X64" s="5"/>
      <c r="Y64" s="5"/>
      <c r="Z64" s="5"/>
      <c r="AA64" s="5"/>
      <c r="AB64" s="5"/>
      <c r="AC64" s="5"/>
      <c r="AD64" s="5"/>
      <c r="AE64" s="5"/>
      <c r="AF64" s="5"/>
      <c r="AG64" s="5"/>
      <c r="AH64" s="5"/>
      <c r="AI64" s="5"/>
      <c r="AJ64" s="5"/>
      <c r="AK64" s="5"/>
      <c r="AL64" s="5"/>
      <c r="AM64" s="5"/>
      <c r="AN64" s="5"/>
    </row>
    <row r="65" spans="2:40" x14ac:dyDescent="0.3">
      <c r="B65" s="5"/>
      <c r="C65" s="5"/>
      <c r="D65" s="5"/>
      <c r="E65" s="5"/>
      <c r="F65" s="5"/>
      <c r="G65" s="5"/>
      <c r="H65" s="5"/>
      <c r="I65" s="5"/>
      <c r="J65" s="5"/>
      <c r="K65" s="5"/>
      <c r="L65" s="5"/>
      <c r="M65" s="5"/>
      <c r="N65" s="5"/>
      <c r="O65" s="5"/>
      <c r="P65" s="5"/>
      <c r="Q65" s="5"/>
      <c r="R65" s="5"/>
      <c r="S65" s="5"/>
      <c r="T65" s="5"/>
      <c r="U65" s="5"/>
      <c r="V65" s="5"/>
      <c r="W65" s="5"/>
      <c r="X65" s="5"/>
      <c r="Y65" s="5"/>
      <c r="Z65" s="5"/>
      <c r="AA65" s="5"/>
      <c r="AB65" s="5"/>
      <c r="AC65" s="5"/>
      <c r="AD65" s="5"/>
      <c r="AE65" s="5"/>
      <c r="AF65" s="5"/>
      <c r="AG65" s="5"/>
      <c r="AH65" s="5"/>
      <c r="AI65" s="5"/>
      <c r="AJ65" s="5"/>
      <c r="AK65" s="5"/>
      <c r="AL65" s="5"/>
      <c r="AM65" s="5"/>
      <c r="AN65" s="5"/>
    </row>
    <row r="66" spans="2:40" x14ac:dyDescent="0.3">
      <c r="B66" s="5"/>
      <c r="C66" s="5"/>
      <c r="D66" s="5"/>
      <c r="E66" s="5"/>
      <c r="F66" s="5"/>
      <c r="G66" s="5"/>
      <c r="H66" s="5"/>
      <c r="I66" s="5"/>
      <c r="J66" s="5"/>
      <c r="K66" s="5"/>
      <c r="L66" s="5"/>
      <c r="M66" s="5"/>
      <c r="N66" s="5"/>
      <c r="O66" s="5"/>
      <c r="P66" s="5"/>
      <c r="Q66" s="5"/>
      <c r="R66" s="5"/>
      <c r="S66" s="5"/>
      <c r="T66" s="5"/>
      <c r="U66" s="5"/>
      <c r="V66" s="5"/>
      <c r="W66" s="5"/>
      <c r="X66" s="5"/>
      <c r="Y66" s="5"/>
      <c r="Z66" s="5"/>
      <c r="AA66" s="5"/>
      <c r="AB66" s="5"/>
      <c r="AC66" s="5"/>
      <c r="AD66" s="5"/>
      <c r="AE66" s="5"/>
      <c r="AF66" s="5"/>
      <c r="AG66" s="5"/>
      <c r="AH66" s="5"/>
      <c r="AI66" s="5"/>
      <c r="AJ66" s="5"/>
      <c r="AK66" s="5"/>
      <c r="AL66" s="5"/>
      <c r="AM66" s="5"/>
      <c r="AN66" s="5"/>
    </row>
    <row r="67" spans="2:40" x14ac:dyDescent="0.3">
      <c r="B67" s="5"/>
      <c r="C67" s="5"/>
      <c r="D67" s="5"/>
      <c r="E67" s="5"/>
      <c r="F67" s="5"/>
      <c r="G67" s="5"/>
      <c r="H67" s="5"/>
      <c r="I67" s="5"/>
      <c r="J67" s="5"/>
      <c r="K67" s="5"/>
      <c r="L67" s="5"/>
      <c r="M67" s="5"/>
      <c r="N67" s="5"/>
      <c r="O67" s="5"/>
      <c r="P67" s="5"/>
      <c r="Q67" s="5"/>
      <c r="R67" s="5"/>
      <c r="S67" s="5"/>
      <c r="T67" s="5"/>
      <c r="U67" s="5"/>
      <c r="V67" s="5"/>
      <c r="W67" s="5"/>
      <c r="X67" s="5"/>
      <c r="Y67" s="5"/>
      <c r="Z67" s="5"/>
      <c r="AA67" s="5"/>
      <c r="AB67" s="5"/>
      <c r="AC67" s="5"/>
      <c r="AD67" s="5"/>
      <c r="AE67" s="5"/>
      <c r="AF67" s="5"/>
      <c r="AG67" s="5"/>
      <c r="AH67" s="5"/>
      <c r="AI67" s="5"/>
      <c r="AJ67" s="5"/>
      <c r="AK67" s="5"/>
      <c r="AL67" s="5"/>
      <c r="AM67" s="5"/>
      <c r="AN67" s="5"/>
    </row>
    <row r="68" spans="2:40" x14ac:dyDescent="0.3">
      <c r="B68" s="5"/>
      <c r="C68" s="5"/>
      <c r="D68" s="5"/>
      <c r="E68" s="5"/>
      <c r="F68" s="5"/>
      <c r="G68" s="5"/>
      <c r="H68" s="5"/>
      <c r="I68" s="5"/>
      <c r="J68" s="5"/>
      <c r="K68" s="5"/>
      <c r="L68" s="5"/>
      <c r="M68" s="5"/>
      <c r="N68" s="5"/>
      <c r="O68" s="5"/>
      <c r="P68" s="5"/>
      <c r="Q68" s="5"/>
      <c r="R68" s="5"/>
      <c r="S68" s="5"/>
      <c r="T68" s="5"/>
      <c r="U68" s="5"/>
      <c r="V68" s="5"/>
      <c r="W68" s="5"/>
      <c r="X68" s="5"/>
      <c r="Y68" s="5"/>
      <c r="Z68" s="5"/>
      <c r="AA68" s="5"/>
      <c r="AB68" s="5"/>
      <c r="AC68" s="5"/>
      <c r="AD68" s="5"/>
      <c r="AE68" s="5"/>
      <c r="AF68" s="5"/>
      <c r="AG68" s="5"/>
      <c r="AH68" s="5"/>
      <c r="AI68" s="5"/>
      <c r="AJ68" s="5"/>
      <c r="AK68" s="5"/>
      <c r="AL68" s="5"/>
      <c r="AM68" s="5"/>
      <c r="AN68" s="5"/>
    </row>
    <row r="69" spans="2:40" x14ac:dyDescent="0.3">
      <c r="B69" s="5"/>
      <c r="C69" s="5"/>
      <c r="D69" s="5"/>
      <c r="E69" s="5"/>
      <c r="F69" s="5"/>
      <c r="G69" s="5"/>
      <c r="H69" s="5"/>
      <c r="I69" s="5"/>
      <c r="J69" s="5"/>
      <c r="K69" s="5"/>
      <c r="L69" s="5"/>
      <c r="M69" s="5"/>
      <c r="N69" s="5"/>
      <c r="O69" s="5"/>
      <c r="P69" s="5"/>
      <c r="Q69" s="5"/>
      <c r="R69" s="5"/>
      <c r="S69" s="5"/>
      <c r="T69" s="5"/>
      <c r="U69" s="5"/>
      <c r="V69" s="5"/>
      <c r="W69" s="5"/>
      <c r="X69" s="5"/>
      <c r="Y69" s="5"/>
      <c r="Z69" s="5"/>
      <c r="AA69" s="5"/>
      <c r="AB69" s="5"/>
      <c r="AC69" s="5"/>
      <c r="AD69" s="5"/>
      <c r="AE69" s="5"/>
      <c r="AF69" s="5"/>
      <c r="AG69" s="5"/>
      <c r="AH69" s="5"/>
      <c r="AI69" s="5"/>
      <c r="AJ69" s="5"/>
      <c r="AK69" s="5"/>
      <c r="AL69" s="5"/>
      <c r="AM69" s="5"/>
      <c r="AN69" s="5"/>
    </row>
    <row r="70" spans="2:40" x14ac:dyDescent="0.3">
      <c r="B70" s="5"/>
      <c r="C70" s="5"/>
      <c r="D70" s="5"/>
      <c r="E70" s="5"/>
      <c r="F70" s="5"/>
      <c r="G70" s="5"/>
      <c r="H70" s="5"/>
      <c r="I70" s="5"/>
      <c r="J70" s="5"/>
      <c r="K70" s="5"/>
      <c r="L70" s="5"/>
      <c r="M70" s="5"/>
      <c r="N70" s="5"/>
      <c r="O70" s="5"/>
      <c r="P70" s="5"/>
      <c r="Q70" s="5"/>
      <c r="R70" s="5"/>
      <c r="S70" s="5"/>
      <c r="T70" s="5"/>
      <c r="U70" s="5"/>
      <c r="V70" s="5"/>
      <c r="W70" s="5"/>
      <c r="X70" s="5"/>
      <c r="Y70" s="5"/>
      <c r="Z70" s="5"/>
      <c r="AA70" s="5"/>
      <c r="AB70" s="5"/>
      <c r="AC70" s="5"/>
      <c r="AD70" s="5"/>
      <c r="AE70" s="5"/>
      <c r="AF70" s="5"/>
      <c r="AG70" s="5"/>
      <c r="AH70" s="5"/>
      <c r="AI70" s="5"/>
      <c r="AJ70" s="5"/>
      <c r="AK70" s="5"/>
      <c r="AL70" s="5"/>
      <c r="AM70" s="5"/>
      <c r="AN70" s="5"/>
    </row>
    <row r="71" spans="2:40" x14ac:dyDescent="0.3">
      <c r="B71" s="5"/>
      <c r="C71" s="5"/>
      <c r="D71" s="5"/>
      <c r="E71" s="5"/>
      <c r="F71" s="5"/>
      <c r="G71" s="5"/>
      <c r="H71" s="5"/>
      <c r="I71" s="5"/>
      <c r="J71" s="5"/>
      <c r="K71" s="5"/>
      <c r="L71" s="5"/>
      <c r="M71" s="5"/>
      <c r="N71" s="5"/>
      <c r="O71" s="5"/>
      <c r="P71" s="5"/>
      <c r="Q71" s="5"/>
      <c r="R71" s="5"/>
      <c r="S71" s="5"/>
      <c r="T71" s="5"/>
      <c r="U71" s="5"/>
      <c r="V71" s="5"/>
      <c r="W71" s="5"/>
      <c r="X71" s="5"/>
      <c r="Y71" s="5"/>
      <c r="Z71" s="5"/>
      <c r="AA71" s="5"/>
      <c r="AB71" s="5"/>
      <c r="AC71" s="5"/>
      <c r="AD71" s="5"/>
      <c r="AE71" s="5"/>
      <c r="AF71" s="5"/>
      <c r="AG71" s="5"/>
      <c r="AH71" s="5"/>
      <c r="AI71" s="5"/>
      <c r="AJ71" s="5"/>
      <c r="AK71" s="5"/>
      <c r="AL71" s="5"/>
      <c r="AM71" s="5"/>
      <c r="AN71" s="5"/>
    </row>
    <row r="72" spans="2:40" x14ac:dyDescent="0.3">
      <c r="B72" s="5"/>
      <c r="C72" s="5"/>
      <c r="D72" s="5"/>
      <c r="E72" s="5"/>
      <c r="F72" s="5"/>
      <c r="G72" s="5"/>
      <c r="H72" s="5"/>
      <c r="I72" s="5"/>
      <c r="J72" s="5"/>
      <c r="K72" s="5"/>
      <c r="L72" s="5"/>
      <c r="M72" s="5"/>
      <c r="N72" s="5"/>
      <c r="O72" s="5"/>
      <c r="P72" s="5"/>
      <c r="Q72" s="5"/>
      <c r="R72" s="5"/>
      <c r="S72" s="5"/>
      <c r="T72" s="5"/>
      <c r="U72" s="5"/>
      <c r="V72" s="5"/>
      <c r="W72" s="5"/>
      <c r="X72" s="5"/>
      <c r="Y72" s="5"/>
      <c r="Z72" s="5"/>
      <c r="AA72" s="5"/>
      <c r="AB72" s="5"/>
      <c r="AC72" s="5"/>
      <c r="AD72" s="5"/>
      <c r="AE72" s="5"/>
      <c r="AF72" s="5"/>
      <c r="AG72" s="5"/>
      <c r="AH72" s="5"/>
      <c r="AI72" s="5"/>
      <c r="AJ72" s="5"/>
      <c r="AK72" s="5"/>
      <c r="AL72" s="5"/>
      <c r="AM72" s="5"/>
      <c r="AN72" s="5"/>
    </row>
    <row r="73" spans="2:40" x14ac:dyDescent="0.3">
      <c r="B73" s="5"/>
      <c r="C73" s="5"/>
      <c r="D73" s="5"/>
      <c r="E73" s="5"/>
      <c r="F73" s="5"/>
      <c r="G73" s="5"/>
      <c r="H73" s="5"/>
      <c r="I73" s="5"/>
      <c r="J73" s="5"/>
      <c r="K73" s="5"/>
      <c r="L73" s="5"/>
      <c r="M73" s="5"/>
      <c r="N73" s="5"/>
      <c r="O73" s="5"/>
      <c r="P73" s="5"/>
      <c r="Q73" s="5"/>
      <c r="R73" s="5"/>
      <c r="S73" s="5"/>
      <c r="T73" s="5"/>
      <c r="U73" s="5"/>
      <c r="V73" s="5"/>
      <c r="W73" s="5"/>
      <c r="X73" s="5"/>
      <c r="Y73" s="5"/>
      <c r="Z73" s="5"/>
      <c r="AA73" s="5"/>
      <c r="AB73" s="5"/>
      <c r="AC73" s="5"/>
      <c r="AD73" s="5"/>
      <c r="AE73" s="5"/>
      <c r="AF73" s="5"/>
      <c r="AG73" s="5"/>
      <c r="AH73" s="5"/>
      <c r="AI73" s="5"/>
      <c r="AJ73" s="5"/>
      <c r="AK73" s="5"/>
      <c r="AL73" s="5"/>
      <c r="AM73" s="5"/>
      <c r="AN73" s="5"/>
    </row>
    <row r="74" spans="2:40" x14ac:dyDescent="0.3">
      <c r="B74" s="5"/>
      <c r="C74" s="5"/>
      <c r="D74" s="5"/>
      <c r="E74" s="5"/>
      <c r="F74" s="5"/>
      <c r="G74" s="5"/>
      <c r="H74" s="5"/>
      <c r="I74" s="5"/>
      <c r="J74" s="5"/>
      <c r="K74" s="5"/>
      <c r="L74" s="5"/>
      <c r="M74" s="5"/>
      <c r="N74" s="5"/>
      <c r="O74" s="5"/>
      <c r="P74" s="5"/>
      <c r="Q74" s="5"/>
      <c r="R74" s="5"/>
      <c r="S74" s="5"/>
      <c r="T74" s="5"/>
      <c r="U74" s="5"/>
      <c r="V74" s="5"/>
      <c r="W74" s="5"/>
      <c r="X74" s="5"/>
      <c r="Y74" s="5"/>
      <c r="Z74" s="5"/>
      <c r="AA74" s="5"/>
      <c r="AB74" s="5"/>
      <c r="AC74" s="5"/>
      <c r="AD74" s="5"/>
      <c r="AE74" s="5"/>
      <c r="AF74" s="5"/>
      <c r="AG74" s="5"/>
      <c r="AH74" s="5"/>
      <c r="AI74" s="5"/>
      <c r="AJ74" s="5"/>
      <c r="AK74" s="5"/>
      <c r="AL74" s="5"/>
      <c r="AM74" s="5"/>
      <c r="AN74" s="5"/>
    </row>
    <row r="75" spans="2:40" x14ac:dyDescent="0.3">
      <c r="B75" s="5"/>
      <c r="C75" s="5"/>
      <c r="D75" s="5"/>
      <c r="E75" s="5"/>
      <c r="F75" s="5"/>
      <c r="G75" s="5"/>
      <c r="H75" s="5"/>
      <c r="I75" s="5"/>
      <c r="J75" s="5"/>
      <c r="K75" s="5"/>
      <c r="L75" s="5"/>
      <c r="M75" s="5"/>
      <c r="N75" s="5"/>
      <c r="O75" s="5"/>
      <c r="P75" s="5"/>
      <c r="Q75" s="5"/>
      <c r="R75" s="5"/>
      <c r="S75" s="5"/>
      <c r="T75" s="5"/>
      <c r="U75" s="5"/>
      <c r="V75" s="5"/>
      <c r="W75" s="5"/>
      <c r="X75" s="5"/>
      <c r="Y75" s="5"/>
      <c r="Z75" s="5"/>
      <c r="AA75" s="5"/>
      <c r="AB75" s="5"/>
      <c r="AC75" s="5"/>
      <c r="AD75" s="5"/>
      <c r="AE75" s="5"/>
      <c r="AF75" s="5"/>
      <c r="AG75" s="5"/>
      <c r="AH75" s="5"/>
      <c r="AI75" s="5"/>
      <c r="AJ75" s="5"/>
      <c r="AK75" s="5"/>
      <c r="AL75" s="5"/>
      <c r="AM75" s="5"/>
      <c r="AN75" s="5"/>
    </row>
    <row r="76" spans="2:40" x14ac:dyDescent="0.3">
      <c r="B76" s="5"/>
      <c r="C76" s="5"/>
      <c r="D76" s="5"/>
      <c r="E76" s="5"/>
      <c r="F76" s="5"/>
      <c r="G76" s="5"/>
      <c r="H76" s="5"/>
      <c r="I76" s="5"/>
      <c r="J76" s="5"/>
      <c r="K76" s="5"/>
      <c r="L76" s="5"/>
      <c r="M76" s="5"/>
      <c r="N76" s="5"/>
      <c r="O76" s="5"/>
      <c r="P76" s="5"/>
      <c r="Q76" s="5"/>
      <c r="R76" s="5"/>
      <c r="S76" s="5"/>
      <c r="T76" s="5"/>
      <c r="U76" s="5"/>
      <c r="V76" s="5"/>
      <c r="W76" s="5"/>
      <c r="X76" s="5"/>
      <c r="Y76" s="5"/>
      <c r="Z76" s="5"/>
      <c r="AA76" s="5"/>
      <c r="AB76" s="5"/>
      <c r="AC76" s="5"/>
      <c r="AD76" s="5"/>
      <c r="AE76" s="5"/>
      <c r="AF76" s="5"/>
      <c r="AG76" s="5"/>
      <c r="AH76" s="5"/>
      <c r="AI76" s="5"/>
      <c r="AJ76" s="5"/>
      <c r="AK76" s="5"/>
      <c r="AL76" s="5"/>
      <c r="AM76" s="5"/>
      <c r="AN76" s="5"/>
    </row>
    <row r="77" spans="2:40" x14ac:dyDescent="0.3">
      <c r="B77" s="5"/>
      <c r="C77" s="5"/>
      <c r="D77" s="5"/>
      <c r="E77" s="5"/>
      <c r="F77" s="5"/>
      <c r="G77" s="5"/>
      <c r="H77" s="5"/>
      <c r="I77" s="5"/>
      <c r="J77" s="5"/>
      <c r="K77" s="5"/>
      <c r="L77" s="5"/>
      <c r="M77" s="5"/>
      <c r="N77" s="5"/>
      <c r="O77" s="5"/>
      <c r="P77" s="5"/>
      <c r="Q77" s="5"/>
      <c r="R77" s="5"/>
      <c r="S77" s="5"/>
      <c r="T77" s="5"/>
      <c r="U77" s="5"/>
      <c r="V77" s="5"/>
      <c r="W77" s="5"/>
      <c r="X77" s="5"/>
      <c r="Y77" s="5"/>
      <c r="Z77" s="5"/>
      <c r="AA77" s="5"/>
      <c r="AB77" s="5"/>
      <c r="AC77" s="5"/>
      <c r="AD77" s="5"/>
      <c r="AE77" s="5"/>
      <c r="AF77" s="5"/>
      <c r="AG77" s="5"/>
      <c r="AH77" s="5"/>
      <c r="AI77" s="5"/>
      <c r="AJ77" s="5"/>
      <c r="AK77" s="5"/>
      <c r="AL77" s="5"/>
      <c r="AM77" s="5"/>
      <c r="AN77" s="5"/>
    </row>
    <row r="78" spans="2:40" x14ac:dyDescent="0.3">
      <c r="B78" s="5"/>
      <c r="C78" s="5"/>
      <c r="D78" s="5"/>
      <c r="E78" s="5"/>
      <c r="F78" s="5"/>
      <c r="G78" s="5"/>
      <c r="H78" s="5"/>
      <c r="I78" s="5"/>
      <c r="J78" s="5"/>
      <c r="K78" s="5"/>
      <c r="L78" s="5"/>
      <c r="M78" s="5"/>
      <c r="N78" s="5"/>
      <c r="O78" s="5"/>
      <c r="P78" s="5"/>
      <c r="Q78" s="5"/>
      <c r="R78" s="5"/>
      <c r="S78" s="5"/>
      <c r="T78" s="5"/>
      <c r="U78" s="5"/>
      <c r="V78" s="5"/>
      <c r="W78" s="5"/>
      <c r="X78" s="5"/>
      <c r="Y78" s="5"/>
      <c r="Z78" s="5"/>
      <c r="AA78" s="5"/>
      <c r="AB78" s="5"/>
      <c r="AC78" s="5"/>
      <c r="AD78" s="5"/>
      <c r="AE78" s="5"/>
      <c r="AF78" s="5"/>
      <c r="AG78" s="5"/>
      <c r="AH78" s="5"/>
      <c r="AI78" s="5"/>
      <c r="AJ78" s="5"/>
      <c r="AK78" s="5"/>
      <c r="AL78" s="5"/>
      <c r="AM78" s="5"/>
      <c r="AN78" s="5"/>
    </row>
    <row r="79" spans="2:40" x14ac:dyDescent="0.3">
      <c r="B79" s="5"/>
      <c r="C79" s="5"/>
      <c r="D79" s="5"/>
      <c r="E79" s="5"/>
      <c r="F79" s="5"/>
      <c r="G79" s="5"/>
      <c r="H79" s="5"/>
      <c r="I79" s="5"/>
      <c r="J79" s="5"/>
      <c r="K79" s="5"/>
      <c r="L79" s="5"/>
      <c r="M79" s="5"/>
      <c r="N79" s="5"/>
      <c r="O79" s="5"/>
      <c r="P79" s="5"/>
      <c r="Q79" s="5"/>
      <c r="R79" s="5"/>
      <c r="S79" s="5"/>
      <c r="T79" s="5"/>
      <c r="U79" s="5"/>
      <c r="V79" s="5"/>
      <c r="W79" s="5"/>
      <c r="X79" s="5"/>
      <c r="Y79" s="5"/>
      <c r="Z79" s="5"/>
      <c r="AA79" s="5"/>
      <c r="AB79" s="5"/>
      <c r="AC79" s="5"/>
      <c r="AD79" s="5"/>
      <c r="AE79" s="5"/>
      <c r="AF79" s="5"/>
      <c r="AG79" s="5"/>
      <c r="AH79" s="5"/>
      <c r="AI79" s="5"/>
      <c r="AJ79" s="5"/>
      <c r="AK79" s="5"/>
      <c r="AL79" s="5"/>
      <c r="AM79" s="5"/>
      <c r="AN79" s="5"/>
    </row>
    <row r="80" spans="2:40" x14ac:dyDescent="0.3">
      <c r="B80" s="5"/>
      <c r="C80" s="5"/>
      <c r="D80" s="5"/>
      <c r="E80" s="5"/>
      <c r="F80" s="5"/>
      <c r="G80" s="5"/>
      <c r="H80" s="5"/>
      <c r="I80" s="5"/>
      <c r="J80" s="5"/>
      <c r="K80" s="5"/>
      <c r="L80" s="5"/>
      <c r="M80" s="5"/>
      <c r="N80" s="5"/>
      <c r="O80" s="5"/>
      <c r="P80" s="5"/>
      <c r="Q80" s="5"/>
      <c r="R80" s="5"/>
      <c r="S80" s="5"/>
      <c r="T80" s="5"/>
      <c r="U80" s="5"/>
      <c r="V80" s="5"/>
      <c r="W80" s="5"/>
      <c r="X80" s="5"/>
      <c r="Y80" s="5"/>
      <c r="Z80" s="5"/>
      <c r="AA80" s="5"/>
      <c r="AB80" s="5"/>
      <c r="AC80" s="5"/>
      <c r="AD80" s="5"/>
      <c r="AE80" s="5"/>
      <c r="AF80" s="5"/>
      <c r="AG80" s="5"/>
      <c r="AH80" s="5"/>
      <c r="AI80" s="5"/>
      <c r="AJ80" s="5"/>
      <c r="AK80" s="5"/>
      <c r="AL80" s="5"/>
      <c r="AM80" s="5"/>
      <c r="AN80" s="5"/>
    </row>
    <row r="81" spans="2:40" x14ac:dyDescent="0.3">
      <c r="B81" s="5"/>
      <c r="C81" s="5"/>
      <c r="D81" s="5"/>
      <c r="E81" s="5"/>
      <c r="F81" s="5"/>
      <c r="G81" s="5"/>
      <c r="H81" s="5"/>
      <c r="I81" s="5"/>
      <c r="J81" s="5"/>
      <c r="K81" s="5"/>
      <c r="L81" s="5"/>
      <c r="M81" s="5"/>
      <c r="N81" s="5"/>
      <c r="O81" s="5"/>
      <c r="P81" s="5"/>
      <c r="Q81" s="5"/>
      <c r="R81" s="5"/>
      <c r="S81" s="5"/>
      <c r="T81" s="5"/>
      <c r="U81" s="5"/>
      <c r="V81" s="5"/>
      <c r="W81" s="5"/>
      <c r="X81" s="5"/>
      <c r="Y81" s="5"/>
      <c r="Z81" s="5"/>
      <c r="AA81" s="5"/>
      <c r="AB81" s="5"/>
      <c r="AC81" s="5"/>
      <c r="AD81" s="5"/>
      <c r="AE81" s="5"/>
      <c r="AF81" s="5"/>
      <c r="AG81" s="5"/>
      <c r="AH81" s="5"/>
      <c r="AI81" s="5"/>
      <c r="AJ81" s="5"/>
      <c r="AK81" s="5"/>
      <c r="AL81" s="5"/>
      <c r="AM81" s="5"/>
      <c r="AN81" s="5"/>
    </row>
    <row r="82" spans="2:40" x14ac:dyDescent="0.3">
      <c r="B82" s="5"/>
      <c r="C82" s="5"/>
      <c r="D82" s="5"/>
      <c r="E82" s="5"/>
      <c r="F82" s="5"/>
      <c r="G82" s="5"/>
      <c r="H82" s="5"/>
      <c r="I82" s="5"/>
      <c r="J82" s="5"/>
      <c r="K82" s="5"/>
      <c r="L82" s="5"/>
      <c r="M82" s="5"/>
      <c r="N82" s="5"/>
      <c r="O82" s="5"/>
      <c r="P82" s="5"/>
      <c r="Q82" s="5"/>
      <c r="R82" s="5"/>
      <c r="S82" s="5"/>
      <c r="T82" s="5"/>
      <c r="U82" s="5"/>
      <c r="V82" s="5"/>
      <c r="W82" s="5"/>
      <c r="X82" s="5"/>
      <c r="Y82" s="5"/>
      <c r="Z82" s="5"/>
      <c r="AA82" s="5"/>
      <c r="AB82" s="5"/>
      <c r="AC82" s="5"/>
      <c r="AD82" s="5"/>
      <c r="AE82" s="5"/>
      <c r="AF82" s="5"/>
      <c r="AG82" s="5"/>
      <c r="AH82" s="5"/>
      <c r="AI82" s="5"/>
      <c r="AJ82" s="5"/>
      <c r="AK82" s="5"/>
      <c r="AL82" s="5"/>
      <c r="AM82" s="5"/>
      <c r="AN82" s="5"/>
    </row>
    <row r="83" spans="2:40" x14ac:dyDescent="0.3">
      <c r="B83" s="5"/>
      <c r="C83" s="5"/>
      <c r="D83" s="5"/>
      <c r="E83" s="5"/>
      <c r="F83" s="5"/>
      <c r="G83" s="5"/>
      <c r="H83" s="5"/>
      <c r="I83" s="5"/>
      <c r="J83" s="5"/>
      <c r="K83" s="5"/>
      <c r="L83" s="5"/>
      <c r="M83" s="5"/>
      <c r="N83" s="5"/>
      <c r="O83" s="5"/>
      <c r="P83" s="5"/>
      <c r="Q83" s="5"/>
      <c r="R83" s="5"/>
      <c r="S83" s="5"/>
      <c r="T83" s="5"/>
      <c r="U83" s="5"/>
      <c r="V83" s="5"/>
      <c r="W83" s="5"/>
      <c r="X83" s="5"/>
      <c r="Y83" s="5"/>
      <c r="Z83" s="5"/>
      <c r="AA83" s="5"/>
      <c r="AB83" s="5"/>
      <c r="AC83" s="5"/>
      <c r="AD83" s="5"/>
      <c r="AE83" s="5"/>
      <c r="AF83" s="5"/>
      <c r="AG83" s="5"/>
      <c r="AH83" s="5"/>
      <c r="AI83" s="5"/>
      <c r="AJ83" s="5"/>
      <c r="AK83" s="5"/>
      <c r="AL83" s="5"/>
      <c r="AM83" s="5"/>
      <c r="AN83" s="5"/>
    </row>
    <row r="84" spans="2:40" x14ac:dyDescent="0.3">
      <c r="B84" s="5"/>
      <c r="C84" s="5"/>
      <c r="D84" s="5"/>
      <c r="E84" s="5"/>
      <c r="F84" s="5"/>
      <c r="G84" s="5"/>
      <c r="H84" s="5"/>
      <c r="I84" s="5"/>
      <c r="J84" s="5"/>
      <c r="K84" s="5"/>
      <c r="L84" s="5"/>
      <c r="M84" s="5"/>
      <c r="N84" s="5"/>
      <c r="O84" s="5"/>
      <c r="P84" s="5"/>
      <c r="Q84" s="5"/>
      <c r="R84" s="5"/>
      <c r="S84" s="5"/>
      <c r="T84" s="5"/>
      <c r="U84" s="5"/>
      <c r="V84" s="5"/>
      <c r="W84" s="5"/>
      <c r="X84" s="5"/>
      <c r="Y84" s="5"/>
      <c r="Z84" s="5"/>
      <c r="AA84" s="5"/>
      <c r="AB84" s="5"/>
      <c r="AC84" s="5"/>
      <c r="AD84" s="5"/>
      <c r="AE84" s="5"/>
      <c r="AF84" s="5"/>
      <c r="AG84" s="5"/>
      <c r="AH84" s="5"/>
      <c r="AI84" s="5"/>
      <c r="AJ84" s="5"/>
      <c r="AK84" s="5"/>
      <c r="AL84" s="5"/>
      <c r="AM84" s="5"/>
      <c r="AN84" s="5"/>
    </row>
    <row r="85" spans="2:40" x14ac:dyDescent="0.3">
      <c r="B85" s="5"/>
      <c r="C85" s="5"/>
      <c r="D85" s="5"/>
      <c r="E85" s="5"/>
      <c r="F85" s="5"/>
      <c r="G85" s="5"/>
      <c r="H85" s="5"/>
      <c r="I85" s="5"/>
      <c r="J85" s="5"/>
      <c r="K85" s="5"/>
      <c r="L85" s="5"/>
      <c r="M85" s="5"/>
      <c r="N85" s="5"/>
      <c r="O85" s="5"/>
      <c r="P85" s="5"/>
      <c r="Q85" s="5"/>
      <c r="R85" s="5"/>
      <c r="S85" s="5"/>
      <c r="T85" s="5"/>
      <c r="U85" s="5"/>
      <c r="V85" s="5"/>
      <c r="W85" s="5"/>
      <c r="X85" s="5"/>
      <c r="Y85" s="5"/>
      <c r="Z85" s="5"/>
      <c r="AA85" s="5"/>
      <c r="AB85" s="5"/>
      <c r="AC85" s="5"/>
      <c r="AD85" s="5"/>
      <c r="AE85" s="5"/>
      <c r="AF85" s="5"/>
      <c r="AG85" s="5"/>
      <c r="AH85" s="5"/>
      <c r="AI85" s="5"/>
      <c r="AJ85" s="5"/>
      <c r="AK85" s="5"/>
      <c r="AL85" s="5"/>
      <c r="AM85" s="5"/>
      <c r="AN85" s="5"/>
    </row>
    <row r="86" spans="2:40" x14ac:dyDescent="0.3">
      <c r="B86" s="5"/>
      <c r="C86" s="5"/>
      <c r="D86" s="5"/>
      <c r="E86" s="5"/>
      <c r="F86" s="5"/>
      <c r="G86" s="5"/>
      <c r="H86" s="5"/>
      <c r="I86" s="5"/>
      <c r="J86" s="5"/>
      <c r="K86" s="5"/>
      <c r="L86" s="5"/>
      <c r="M86" s="5"/>
      <c r="N86" s="5"/>
      <c r="O86" s="5"/>
      <c r="P86" s="5"/>
      <c r="Q86" s="5"/>
      <c r="R86" s="5"/>
      <c r="S86" s="5"/>
      <c r="T86" s="5"/>
      <c r="U86" s="5"/>
      <c r="V86" s="5"/>
      <c r="W86" s="5"/>
      <c r="X86" s="5"/>
      <c r="Y86" s="5"/>
      <c r="Z86" s="5"/>
      <c r="AA86" s="5"/>
      <c r="AB86" s="5"/>
      <c r="AC86" s="5"/>
      <c r="AD86" s="5"/>
      <c r="AE86" s="5"/>
      <c r="AF86" s="5"/>
      <c r="AG86" s="5"/>
      <c r="AH86" s="5"/>
      <c r="AI86" s="5"/>
      <c r="AJ86" s="5"/>
      <c r="AK86" s="5"/>
      <c r="AL86" s="5"/>
      <c r="AM86" s="5"/>
      <c r="AN86" s="5"/>
    </row>
    <row r="87" spans="2:40" x14ac:dyDescent="0.3">
      <c r="B87" s="5"/>
      <c r="C87" s="5"/>
      <c r="D87" s="5"/>
      <c r="E87" s="5"/>
      <c r="F87" s="5"/>
      <c r="G87" s="5"/>
      <c r="H87" s="5"/>
      <c r="I87" s="5"/>
      <c r="J87" s="5"/>
      <c r="K87" s="5"/>
      <c r="L87" s="5"/>
      <c r="M87" s="5"/>
      <c r="N87" s="5"/>
      <c r="O87" s="5"/>
      <c r="P87" s="5"/>
      <c r="Q87" s="5"/>
      <c r="R87" s="5"/>
      <c r="S87" s="5"/>
      <c r="T87" s="5"/>
      <c r="U87" s="5"/>
      <c r="V87" s="5"/>
      <c r="W87" s="5"/>
      <c r="X87" s="5"/>
      <c r="Y87" s="5"/>
      <c r="Z87" s="5"/>
      <c r="AA87" s="5"/>
      <c r="AB87" s="5"/>
      <c r="AC87" s="5"/>
      <c r="AD87" s="5"/>
      <c r="AE87" s="5"/>
      <c r="AF87" s="5"/>
      <c r="AG87" s="5"/>
      <c r="AH87" s="5"/>
      <c r="AI87" s="5"/>
      <c r="AJ87" s="5"/>
      <c r="AK87" s="5"/>
      <c r="AL87" s="5"/>
      <c r="AM87" s="5"/>
      <c r="AN87" s="5"/>
    </row>
    <row r="88" spans="2:40" x14ac:dyDescent="0.3">
      <c r="B88" s="5"/>
      <c r="C88" s="5"/>
      <c r="D88" s="5"/>
      <c r="E88" s="5"/>
      <c r="F88" s="5"/>
      <c r="G88" s="5"/>
      <c r="H88" s="5"/>
      <c r="I88" s="5"/>
      <c r="J88" s="5"/>
      <c r="K88" s="5"/>
      <c r="L88" s="5"/>
      <c r="M88" s="5"/>
      <c r="N88" s="5"/>
      <c r="O88" s="5"/>
      <c r="P88" s="5"/>
      <c r="Q88" s="5"/>
      <c r="R88" s="5"/>
      <c r="S88" s="5"/>
      <c r="T88" s="5"/>
      <c r="U88" s="5"/>
      <c r="V88" s="5"/>
      <c r="W88" s="5"/>
      <c r="X88" s="5"/>
      <c r="Y88" s="5"/>
      <c r="Z88" s="5"/>
      <c r="AA88" s="5"/>
      <c r="AB88" s="5"/>
      <c r="AC88" s="5"/>
      <c r="AD88" s="5"/>
      <c r="AE88" s="5"/>
      <c r="AF88" s="5"/>
      <c r="AG88" s="5"/>
      <c r="AH88" s="5"/>
      <c r="AI88" s="5"/>
      <c r="AJ88" s="5"/>
      <c r="AK88" s="5"/>
      <c r="AL88" s="5"/>
      <c r="AM88" s="5"/>
      <c r="AN88" s="5"/>
    </row>
    <row r="89" spans="2:40" x14ac:dyDescent="0.3">
      <c r="B89" s="5"/>
      <c r="C89" s="5"/>
      <c r="D89" s="5"/>
      <c r="E89" s="5"/>
      <c r="F89" s="5"/>
      <c r="G89" s="5"/>
      <c r="H89" s="5"/>
      <c r="I89" s="5"/>
      <c r="J89" s="5"/>
      <c r="K89" s="5"/>
      <c r="L89" s="5"/>
      <c r="M89" s="5"/>
      <c r="N89" s="5"/>
      <c r="O89" s="5"/>
      <c r="P89" s="5"/>
      <c r="Q89" s="5"/>
      <c r="R89" s="5"/>
      <c r="S89" s="5"/>
      <c r="T89" s="5"/>
      <c r="U89" s="5"/>
      <c r="V89" s="5"/>
      <c r="W89" s="5"/>
      <c r="X89" s="5"/>
      <c r="Y89" s="5"/>
      <c r="Z89" s="5"/>
      <c r="AA89" s="5"/>
      <c r="AB89" s="5"/>
      <c r="AC89" s="5"/>
      <c r="AD89" s="5"/>
      <c r="AE89" s="5"/>
      <c r="AF89" s="5"/>
      <c r="AG89" s="5"/>
      <c r="AH89" s="5"/>
      <c r="AI89" s="5"/>
      <c r="AJ89" s="5"/>
      <c r="AK89" s="5"/>
      <c r="AL89" s="5"/>
      <c r="AM89" s="5"/>
      <c r="AN89" s="5"/>
    </row>
    <row r="90" spans="2:40" x14ac:dyDescent="0.3">
      <c r="B90" s="5"/>
      <c r="C90" s="5"/>
      <c r="D90" s="5"/>
      <c r="E90" s="5"/>
      <c r="F90" s="5"/>
      <c r="G90" s="5"/>
      <c r="H90" s="5"/>
      <c r="I90" s="5"/>
      <c r="J90" s="5"/>
      <c r="K90" s="5"/>
      <c r="L90" s="5"/>
      <c r="M90" s="5"/>
      <c r="N90" s="5"/>
      <c r="O90" s="5"/>
      <c r="P90" s="5"/>
      <c r="Q90" s="5"/>
      <c r="R90" s="5"/>
      <c r="S90" s="5"/>
      <c r="T90" s="5"/>
      <c r="U90" s="5"/>
      <c r="V90" s="5"/>
      <c r="W90" s="5"/>
      <c r="X90" s="5"/>
      <c r="Y90" s="5"/>
      <c r="Z90" s="5"/>
      <c r="AA90" s="5"/>
      <c r="AB90" s="5"/>
      <c r="AC90" s="5"/>
      <c r="AD90" s="5"/>
      <c r="AE90" s="5"/>
      <c r="AF90" s="5"/>
      <c r="AG90" s="5"/>
      <c r="AH90" s="5"/>
      <c r="AI90" s="5"/>
      <c r="AJ90" s="5"/>
      <c r="AK90" s="5"/>
      <c r="AL90" s="5"/>
      <c r="AM90" s="5"/>
      <c r="AN90" s="5"/>
    </row>
    <row r="91" spans="2:40" x14ac:dyDescent="0.3">
      <c r="B91" s="5"/>
      <c r="C91" s="5"/>
      <c r="D91" s="5"/>
      <c r="E91" s="5"/>
      <c r="F91" s="5"/>
      <c r="G91" s="5"/>
      <c r="H91" s="5"/>
      <c r="I91" s="5"/>
      <c r="J91" s="5"/>
      <c r="K91" s="5"/>
      <c r="L91" s="5"/>
      <c r="M91" s="5"/>
      <c r="N91" s="5"/>
      <c r="O91" s="5"/>
      <c r="P91" s="5"/>
      <c r="Q91" s="5"/>
      <c r="R91" s="5"/>
      <c r="S91" s="5"/>
      <c r="T91" s="5"/>
      <c r="U91" s="5"/>
      <c r="V91" s="5"/>
      <c r="W91" s="5"/>
      <c r="X91" s="5"/>
      <c r="Y91" s="5"/>
      <c r="Z91" s="5"/>
      <c r="AA91" s="5"/>
      <c r="AB91" s="5"/>
      <c r="AC91" s="5"/>
      <c r="AD91" s="5"/>
      <c r="AE91" s="5"/>
      <c r="AF91" s="5"/>
      <c r="AG91" s="5"/>
      <c r="AH91" s="5"/>
      <c r="AI91" s="5"/>
      <c r="AJ91" s="5"/>
      <c r="AK91" s="5"/>
      <c r="AL91" s="5"/>
      <c r="AM91" s="5"/>
      <c r="AN91" s="5"/>
    </row>
    <row r="92" spans="2:40" x14ac:dyDescent="0.3">
      <c r="B92" s="5"/>
      <c r="C92" s="5"/>
      <c r="D92" s="5"/>
      <c r="E92" s="5"/>
      <c r="F92" s="5"/>
      <c r="G92" s="5"/>
      <c r="H92" s="5"/>
      <c r="I92" s="5"/>
      <c r="J92" s="5"/>
      <c r="K92" s="5"/>
      <c r="L92" s="5"/>
      <c r="M92" s="5"/>
      <c r="N92" s="5"/>
      <c r="O92" s="5"/>
      <c r="P92" s="5"/>
      <c r="Q92" s="5"/>
      <c r="R92" s="5"/>
      <c r="S92" s="5"/>
      <c r="T92" s="5"/>
      <c r="U92" s="5"/>
      <c r="V92" s="5"/>
      <c r="W92" s="5"/>
      <c r="X92" s="5"/>
      <c r="Y92" s="5"/>
      <c r="Z92" s="5"/>
      <c r="AA92" s="5"/>
      <c r="AB92" s="5"/>
      <c r="AC92" s="5"/>
      <c r="AD92" s="5"/>
      <c r="AE92" s="5"/>
      <c r="AF92" s="5"/>
      <c r="AG92" s="5"/>
      <c r="AH92" s="5"/>
      <c r="AI92" s="5"/>
      <c r="AJ92" s="5"/>
      <c r="AK92" s="5"/>
      <c r="AL92" s="5"/>
      <c r="AM92" s="5"/>
      <c r="AN92" s="5"/>
    </row>
    <row r="93" spans="2:40" x14ac:dyDescent="0.3">
      <c r="B93" s="5"/>
      <c r="C93" s="5"/>
      <c r="D93" s="5"/>
      <c r="E93" s="5"/>
      <c r="F93" s="5"/>
      <c r="G93" s="5"/>
      <c r="H93" s="5"/>
      <c r="I93" s="5"/>
      <c r="J93" s="5"/>
      <c r="K93" s="5"/>
      <c r="L93" s="5"/>
      <c r="M93" s="5"/>
      <c r="N93" s="5"/>
      <c r="O93" s="5"/>
      <c r="P93" s="5"/>
      <c r="Q93" s="5"/>
      <c r="R93" s="5"/>
      <c r="S93" s="5"/>
      <c r="T93" s="5"/>
      <c r="U93" s="5"/>
      <c r="V93" s="5"/>
      <c r="W93" s="5"/>
      <c r="X93" s="5"/>
      <c r="Y93" s="5"/>
      <c r="Z93" s="5"/>
      <c r="AA93" s="5"/>
      <c r="AB93" s="5"/>
      <c r="AC93" s="5"/>
      <c r="AD93" s="5"/>
      <c r="AE93" s="5"/>
      <c r="AF93" s="5"/>
      <c r="AG93" s="5"/>
      <c r="AH93" s="5"/>
      <c r="AI93" s="5"/>
      <c r="AJ93" s="5"/>
      <c r="AK93" s="5"/>
      <c r="AL93" s="5"/>
      <c r="AM93" s="5"/>
      <c r="AN93" s="5"/>
    </row>
    <row r="94" spans="2:40" x14ac:dyDescent="0.3">
      <c r="B94" s="5"/>
      <c r="C94" s="5"/>
      <c r="D94" s="5"/>
      <c r="E94" s="5"/>
      <c r="F94" s="5"/>
      <c r="G94" s="5"/>
      <c r="H94" s="5"/>
      <c r="I94" s="5"/>
      <c r="J94" s="5"/>
      <c r="K94" s="5"/>
      <c r="L94" s="5"/>
      <c r="M94" s="5"/>
      <c r="N94" s="5"/>
      <c r="O94" s="5"/>
      <c r="P94" s="5"/>
      <c r="Q94" s="5"/>
      <c r="R94" s="5"/>
      <c r="S94" s="5"/>
      <c r="T94" s="5"/>
      <c r="U94" s="5"/>
      <c r="V94" s="5"/>
      <c r="W94" s="5"/>
      <c r="X94" s="5"/>
      <c r="Y94" s="5"/>
      <c r="Z94" s="5"/>
      <c r="AA94" s="5"/>
      <c r="AB94" s="5"/>
      <c r="AC94" s="5"/>
      <c r="AD94" s="5"/>
      <c r="AE94" s="5"/>
      <c r="AF94" s="5"/>
      <c r="AG94" s="5"/>
      <c r="AH94" s="5"/>
      <c r="AI94" s="5"/>
      <c r="AJ94" s="5"/>
      <c r="AK94" s="5"/>
      <c r="AL94" s="5"/>
      <c r="AM94" s="5"/>
      <c r="AN94" s="5"/>
    </row>
    <row r="95" spans="2:40" x14ac:dyDescent="0.3">
      <c r="B95" s="5"/>
      <c r="C95" s="5"/>
      <c r="D95" s="5"/>
      <c r="E95" s="5"/>
      <c r="F95" s="5"/>
      <c r="G95" s="5"/>
      <c r="H95" s="5"/>
      <c r="I95" s="5"/>
      <c r="J95" s="5"/>
      <c r="K95" s="5"/>
      <c r="L95" s="5"/>
      <c r="M95" s="5"/>
      <c r="N95" s="5"/>
      <c r="O95" s="5"/>
      <c r="P95" s="5"/>
      <c r="Q95" s="5"/>
      <c r="R95" s="5"/>
      <c r="S95" s="5"/>
      <c r="T95" s="5"/>
      <c r="U95" s="5"/>
      <c r="V95" s="5"/>
      <c r="W95" s="5"/>
      <c r="X95" s="5"/>
      <c r="Y95" s="5"/>
      <c r="Z95" s="5"/>
      <c r="AA95" s="5"/>
      <c r="AB95" s="5"/>
      <c r="AC95" s="5"/>
      <c r="AD95" s="5"/>
      <c r="AE95" s="5"/>
      <c r="AF95" s="5"/>
      <c r="AG95" s="5"/>
      <c r="AH95" s="5"/>
      <c r="AI95" s="5"/>
      <c r="AJ95" s="5"/>
      <c r="AK95" s="5"/>
      <c r="AL95" s="5"/>
      <c r="AM95" s="5"/>
      <c r="AN95" s="5"/>
    </row>
    <row r="96" spans="2:40" x14ac:dyDescent="0.3">
      <c r="B96" s="5"/>
      <c r="C96" s="5"/>
      <c r="D96" s="5"/>
      <c r="E96" s="5"/>
      <c r="F96" s="5"/>
      <c r="G96" s="5"/>
      <c r="H96" s="5"/>
      <c r="I96" s="5"/>
      <c r="J96" s="5"/>
      <c r="K96" s="5"/>
      <c r="L96" s="5"/>
      <c r="M96" s="5"/>
      <c r="N96" s="5"/>
      <c r="O96" s="5"/>
      <c r="P96" s="5"/>
      <c r="Q96" s="5"/>
      <c r="R96" s="5"/>
      <c r="S96" s="5"/>
      <c r="T96" s="5"/>
      <c r="U96" s="5"/>
      <c r="V96" s="5"/>
      <c r="W96" s="5"/>
      <c r="X96" s="5"/>
      <c r="Y96" s="5"/>
      <c r="Z96" s="5"/>
      <c r="AA96" s="5"/>
      <c r="AB96" s="5"/>
      <c r="AC96" s="5"/>
      <c r="AD96" s="5"/>
      <c r="AE96" s="5"/>
      <c r="AF96" s="5"/>
      <c r="AG96" s="5"/>
      <c r="AH96" s="5"/>
      <c r="AI96" s="5"/>
      <c r="AJ96" s="5"/>
      <c r="AK96" s="5"/>
      <c r="AL96" s="5"/>
      <c r="AM96" s="5"/>
      <c r="AN96" s="5"/>
    </row>
    <row r="97" spans="2:40" x14ac:dyDescent="0.3">
      <c r="B97" s="5"/>
      <c r="C97" s="5"/>
      <c r="D97" s="5"/>
      <c r="E97" s="5"/>
      <c r="F97" s="5"/>
      <c r="G97" s="5"/>
      <c r="H97" s="5"/>
      <c r="I97" s="5"/>
      <c r="J97" s="5"/>
      <c r="K97" s="5"/>
      <c r="L97" s="5"/>
      <c r="M97" s="5"/>
      <c r="N97" s="5"/>
      <c r="O97" s="5"/>
      <c r="P97" s="5"/>
      <c r="Q97" s="5"/>
      <c r="R97" s="5"/>
      <c r="S97" s="5"/>
      <c r="T97" s="5"/>
      <c r="U97" s="5"/>
      <c r="V97" s="5"/>
      <c r="W97" s="5"/>
      <c r="X97" s="5"/>
      <c r="Y97" s="5"/>
      <c r="Z97" s="5"/>
      <c r="AA97" s="5"/>
      <c r="AB97" s="5"/>
      <c r="AC97" s="5"/>
      <c r="AD97" s="5"/>
      <c r="AE97" s="5"/>
      <c r="AF97" s="5"/>
      <c r="AG97" s="5"/>
      <c r="AH97" s="5"/>
      <c r="AI97" s="5"/>
      <c r="AJ97" s="5"/>
      <c r="AK97" s="5"/>
      <c r="AL97" s="5"/>
      <c r="AM97" s="5"/>
      <c r="AN97" s="5"/>
    </row>
    <row r="98" spans="2:40" x14ac:dyDescent="0.3">
      <c r="B98" s="5"/>
      <c r="C98" s="5"/>
      <c r="D98" s="5"/>
      <c r="E98" s="5"/>
      <c r="F98" s="5"/>
      <c r="G98" s="5"/>
      <c r="H98" s="5"/>
      <c r="I98" s="5"/>
      <c r="J98" s="5"/>
      <c r="K98" s="5"/>
      <c r="L98" s="5"/>
      <c r="M98" s="5"/>
      <c r="N98" s="5"/>
      <c r="O98" s="5"/>
      <c r="P98" s="5"/>
      <c r="Q98" s="5"/>
      <c r="R98" s="5"/>
      <c r="S98" s="5"/>
      <c r="T98" s="5"/>
      <c r="U98" s="5"/>
      <c r="V98" s="5"/>
      <c r="W98" s="5"/>
      <c r="X98" s="5"/>
      <c r="Y98" s="5"/>
      <c r="Z98" s="5"/>
      <c r="AA98" s="5"/>
      <c r="AB98" s="5"/>
      <c r="AC98" s="5"/>
      <c r="AD98" s="5"/>
      <c r="AE98" s="5"/>
      <c r="AF98" s="5"/>
      <c r="AG98" s="5"/>
      <c r="AH98" s="5"/>
      <c r="AI98" s="5"/>
      <c r="AJ98" s="5"/>
      <c r="AK98" s="5"/>
      <c r="AL98" s="5"/>
      <c r="AM98" s="5"/>
      <c r="AN98" s="5"/>
    </row>
    <row r="99" spans="2:40" x14ac:dyDescent="0.3">
      <c r="B99" s="5"/>
      <c r="C99" s="5"/>
      <c r="D99" s="5"/>
      <c r="E99" s="5"/>
      <c r="F99" s="5"/>
      <c r="G99" s="5"/>
      <c r="H99" s="5"/>
      <c r="I99" s="5"/>
      <c r="J99" s="5"/>
      <c r="K99" s="5"/>
      <c r="L99" s="5"/>
      <c r="M99" s="5"/>
      <c r="N99" s="5"/>
      <c r="O99" s="5"/>
      <c r="P99" s="5"/>
      <c r="Q99" s="5"/>
      <c r="R99" s="5"/>
      <c r="S99" s="5"/>
      <c r="T99" s="5"/>
      <c r="U99" s="5"/>
      <c r="V99" s="5"/>
      <c r="W99" s="5"/>
      <c r="X99" s="5"/>
      <c r="Y99" s="5"/>
      <c r="Z99" s="5"/>
      <c r="AA99" s="5"/>
      <c r="AB99" s="5"/>
      <c r="AC99" s="5"/>
      <c r="AD99" s="5"/>
      <c r="AE99" s="5"/>
      <c r="AF99" s="5"/>
      <c r="AG99" s="5"/>
      <c r="AH99" s="5"/>
      <c r="AI99" s="5"/>
      <c r="AJ99" s="5"/>
      <c r="AK99" s="5"/>
      <c r="AL99" s="5"/>
      <c r="AM99" s="5"/>
      <c r="AN99" s="5"/>
    </row>
    <row r="100" spans="2:40" x14ac:dyDescent="0.3">
      <c r="B100" s="5"/>
      <c r="C100" s="5"/>
      <c r="D100" s="5"/>
      <c r="E100" s="5"/>
      <c r="F100" s="5"/>
      <c r="G100" s="5"/>
      <c r="H100" s="5"/>
      <c r="I100" s="5"/>
      <c r="J100" s="5"/>
      <c r="K100" s="5"/>
      <c r="L100" s="5"/>
      <c r="M100" s="5"/>
      <c r="N100" s="5"/>
      <c r="O100" s="5"/>
      <c r="P100" s="5"/>
      <c r="Q100" s="5"/>
      <c r="R100" s="5"/>
      <c r="S100" s="5"/>
      <c r="T100" s="5"/>
      <c r="U100" s="5"/>
      <c r="V100" s="5"/>
      <c r="W100" s="5"/>
      <c r="X100" s="5"/>
      <c r="Y100" s="5"/>
      <c r="Z100" s="5"/>
      <c r="AA100" s="5"/>
      <c r="AB100" s="5"/>
      <c r="AC100" s="5"/>
      <c r="AD100" s="5"/>
      <c r="AE100" s="5"/>
      <c r="AF100" s="5"/>
      <c r="AG100" s="5"/>
      <c r="AH100" s="5"/>
      <c r="AI100" s="5"/>
      <c r="AJ100" s="5"/>
      <c r="AK100" s="5"/>
      <c r="AL100" s="5"/>
      <c r="AM100" s="5"/>
      <c r="AN100" s="5"/>
    </row>
  </sheetData>
  <pageMargins left="0.7" right="0.7" top="0.75" bottom="0.75" header="0.3" footer="0.3"/>
  <ignoredErrors>
    <ignoredError sqref="AL5:AN5" formula="1"/>
  </ignoredErrors>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65915C-C23D-4DCB-A037-0B240D8B7E90}">
  <sheetPr>
    <tabColor rgb="FF2E8B8B"/>
  </sheetPr>
  <dimension ref="A1:AN100"/>
  <sheetViews>
    <sheetView workbookViewId="0">
      <pane xSplit="1" ySplit="2" topLeftCell="AL3" activePane="bottomRight" state="frozen"/>
      <selection pane="topRight" activeCell="B1" sqref="B1"/>
      <selection pane="bottomLeft" activeCell="A3" sqref="A3"/>
      <selection pane="bottomRight" activeCell="AO10" sqref="AO10"/>
    </sheetView>
  </sheetViews>
  <sheetFormatPr defaultRowHeight="14.4" x14ac:dyDescent="0.3"/>
  <cols>
    <col min="1" max="1" width="16.88671875" bestFit="1" customWidth="1"/>
    <col min="2" max="2" width="7.5546875" bestFit="1" customWidth="1"/>
    <col min="3" max="18" width="8.5546875" bestFit="1" customWidth="1"/>
    <col min="19" max="37" width="10" bestFit="1" customWidth="1"/>
    <col min="38" max="38" width="8.5546875" bestFit="1" customWidth="1"/>
    <col min="39" max="40" width="10" bestFit="1" customWidth="1"/>
  </cols>
  <sheetData>
    <row r="1" spans="1:40" ht="24" customHeight="1" thickBot="1" x14ac:dyDescent="0.35">
      <c r="A1" s="180" t="str" cm="1">
        <f t="array" ref="A1:AK2">'23_Time'!A1:AK2</f>
        <v>Month Index</v>
      </c>
      <c r="B1" s="181">
        <v>1</v>
      </c>
      <c r="C1" s="181">
        <v>2</v>
      </c>
      <c r="D1" s="181">
        <v>3</v>
      </c>
      <c r="E1" s="181">
        <v>4</v>
      </c>
      <c r="F1" s="181">
        <v>5</v>
      </c>
      <c r="G1" s="181">
        <v>6</v>
      </c>
      <c r="H1" s="181">
        <v>7</v>
      </c>
      <c r="I1" s="181">
        <v>8</v>
      </c>
      <c r="J1" s="181">
        <v>9</v>
      </c>
      <c r="K1" s="181">
        <v>10</v>
      </c>
      <c r="L1" s="181">
        <v>11</v>
      </c>
      <c r="M1" s="181">
        <v>12</v>
      </c>
      <c r="N1" s="181">
        <v>13</v>
      </c>
      <c r="O1" s="181">
        <v>14</v>
      </c>
      <c r="P1" s="181">
        <v>15</v>
      </c>
      <c r="Q1" s="181">
        <v>16</v>
      </c>
      <c r="R1" s="181">
        <v>17</v>
      </c>
      <c r="S1" s="181">
        <v>18</v>
      </c>
      <c r="T1" s="181">
        <v>19</v>
      </c>
      <c r="U1" s="181">
        <v>20</v>
      </c>
      <c r="V1" s="181">
        <v>21</v>
      </c>
      <c r="W1" s="181">
        <v>22</v>
      </c>
      <c r="X1" s="181">
        <v>23</v>
      </c>
      <c r="Y1" s="181">
        <v>24</v>
      </c>
      <c r="Z1" s="181">
        <v>25</v>
      </c>
      <c r="AA1" s="181">
        <v>26</v>
      </c>
      <c r="AB1" s="181">
        <v>27</v>
      </c>
      <c r="AC1" s="181">
        <v>28</v>
      </c>
      <c r="AD1" s="181">
        <v>29</v>
      </c>
      <c r="AE1" s="181">
        <v>30</v>
      </c>
      <c r="AF1" s="181">
        <v>31</v>
      </c>
      <c r="AG1" s="181">
        <v>32</v>
      </c>
      <c r="AH1" s="181">
        <v>33</v>
      </c>
      <c r="AI1" s="181">
        <v>34</v>
      </c>
      <c r="AJ1" s="181">
        <v>35</v>
      </c>
      <c r="AK1" s="182">
        <v>36</v>
      </c>
      <c r="AL1" s="126"/>
      <c r="AM1" s="126"/>
      <c r="AN1" s="126"/>
    </row>
    <row r="2" spans="1:40" ht="15" thickBot="1" x14ac:dyDescent="0.35">
      <c r="A2" s="166" t="str">
        <v>Month Label</v>
      </c>
      <c r="B2" s="442" t="str">
        <v>M1</v>
      </c>
      <c r="C2" s="442" t="str">
        <v>M2</v>
      </c>
      <c r="D2" s="442" t="str">
        <v>M3</v>
      </c>
      <c r="E2" s="442" t="str">
        <v>M4</v>
      </c>
      <c r="F2" s="442" t="str">
        <v>M5</v>
      </c>
      <c r="G2" s="442" t="str">
        <v>M6</v>
      </c>
      <c r="H2" s="442" t="str">
        <v>M7</v>
      </c>
      <c r="I2" s="442" t="str">
        <v>M8</v>
      </c>
      <c r="J2" s="442" t="str">
        <v>M9</v>
      </c>
      <c r="K2" s="442" t="str">
        <v>M10</v>
      </c>
      <c r="L2" s="442" t="str">
        <v>M11</v>
      </c>
      <c r="M2" s="442" t="str">
        <v>M12</v>
      </c>
      <c r="N2" s="442" t="str">
        <v>M13</v>
      </c>
      <c r="O2" s="442" t="str">
        <v>M14</v>
      </c>
      <c r="P2" s="442" t="str">
        <v>M15</v>
      </c>
      <c r="Q2" s="442" t="str">
        <v>M16</v>
      </c>
      <c r="R2" s="442" t="str">
        <v>M17</v>
      </c>
      <c r="S2" s="442" t="str">
        <v>M18</v>
      </c>
      <c r="T2" s="442" t="str">
        <v>M19</v>
      </c>
      <c r="U2" s="442" t="str">
        <v>M20</v>
      </c>
      <c r="V2" s="442" t="str">
        <v>M21</v>
      </c>
      <c r="W2" s="442" t="str">
        <v>M22</v>
      </c>
      <c r="X2" s="442" t="str">
        <v>M23</v>
      </c>
      <c r="Y2" s="442" t="str">
        <v>M24</v>
      </c>
      <c r="Z2" s="442" t="str">
        <v>M25</v>
      </c>
      <c r="AA2" s="442" t="str">
        <v>M26</v>
      </c>
      <c r="AB2" s="442" t="str">
        <v>M27</v>
      </c>
      <c r="AC2" s="442" t="str">
        <v>M28</v>
      </c>
      <c r="AD2" s="442" t="str">
        <v>M29</v>
      </c>
      <c r="AE2" s="442" t="str">
        <v>M30</v>
      </c>
      <c r="AF2" s="442" t="str">
        <v>M31</v>
      </c>
      <c r="AG2" s="442" t="str">
        <v>M32</v>
      </c>
      <c r="AH2" s="442" t="str">
        <v>M33</v>
      </c>
      <c r="AI2" s="442" t="str">
        <v>M34</v>
      </c>
      <c r="AJ2" s="442" t="str">
        <v>M35</v>
      </c>
      <c r="AK2" s="442" t="str">
        <v>M36</v>
      </c>
      <c r="AL2" s="210" t="s">
        <v>72</v>
      </c>
      <c r="AM2" s="211" t="s">
        <v>73</v>
      </c>
      <c r="AN2" s="212" t="s">
        <v>74</v>
      </c>
    </row>
    <row r="3" spans="1:40" x14ac:dyDescent="0.3">
      <c r="A3" s="129" t="s">
        <v>168</v>
      </c>
      <c r="B3" s="186">
        <f>'42_OPEX'!B6*'35_Inputs_Capex_WC'!$B$2*'33_Inputs_Opex_Headcount'!B33</f>
        <v>34776</v>
      </c>
      <c r="C3" s="186">
        <f>'42_OPEX'!C6*'35_Inputs_Capex_WC'!$B$2*'33_Inputs_Opex_Headcount'!C33</f>
        <v>34776</v>
      </c>
      <c r="D3" s="186">
        <f>'42_OPEX'!D6*'35_Inputs_Capex_WC'!$B$2*'33_Inputs_Opex_Headcount'!D33</f>
        <v>34776</v>
      </c>
      <c r="E3" s="186">
        <f>'42_OPEX'!E6*'35_Inputs_Capex_WC'!$B$2*'33_Inputs_Opex_Headcount'!E33</f>
        <v>34776</v>
      </c>
      <c r="F3" s="186">
        <f>'42_OPEX'!F6*'35_Inputs_Capex_WC'!$B$2*'33_Inputs_Opex_Headcount'!F33</f>
        <v>34776</v>
      </c>
      <c r="G3" s="186">
        <f>'42_OPEX'!G6*'35_Inputs_Capex_WC'!$B$2*'33_Inputs_Opex_Headcount'!G33</f>
        <v>34776</v>
      </c>
      <c r="H3" s="186">
        <f>'42_OPEX'!H6*'35_Inputs_Capex_WC'!$B$2*'33_Inputs_Opex_Headcount'!H33</f>
        <v>39192</v>
      </c>
      <c r="I3" s="186">
        <f>'42_OPEX'!I6*'35_Inputs_Capex_WC'!$B$2*'33_Inputs_Opex_Headcount'!I33</f>
        <v>41583.999999999993</v>
      </c>
      <c r="J3" s="186">
        <f>'42_OPEX'!J6*'35_Inputs_Capex_WC'!$B$2*'33_Inputs_Opex_Headcount'!J33</f>
        <v>45999.999999999985</v>
      </c>
      <c r="K3" s="186">
        <f>'42_OPEX'!K6*'35_Inputs_Capex_WC'!$B$2*'33_Inputs_Opex_Headcount'!K33</f>
        <v>48391.999999999993</v>
      </c>
      <c r="L3" s="186">
        <f>'42_OPEX'!L6*'35_Inputs_Capex_WC'!$B$2*'33_Inputs_Opex_Headcount'!L33</f>
        <v>52807.999999999985</v>
      </c>
      <c r="M3" s="186">
        <f>'42_OPEX'!M6*'35_Inputs_Capex_WC'!$B$2*'33_Inputs_Opex_Headcount'!M33</f>
        <v>55200.000000000007</v>
      </c>
      <c r="N3" s="186">
        <f>'42_OPEX'!N6*'35_Inputs_Capex_WC'!$B$2*'33_Inputs_Opex_Headcount'!N33</f>
        <v>55200.000000000007</v>
      </c>
      <c r="O3" s="186">
        <f>'42_OPEX'!O6*'35_Inputs_Capex_WC'!$B$2*'33_Inputs_Opex_Headcount'!O33</f>
        <v>55200</v>
      </c>
      <c r="P3" s="186">
        <f>'42_OPEX'!P6*'35_Inputs_Capex_WC'!$B$2*'33_Inputs_Opex_Headcount'!P33</f>
        <v>55200</v>
      </c>
      <c r="Q3" s="186">
        <f>'42_OPEX'!Q6*'35_Inputs_Capex_WC'!$B$2*'33_Inputs_Opex_Headcount'!Q33</f>
        <v>55200</v>
      </c>
      <c r="R3" s="186">
        <f>'42_OPEX'!R6*'35_Inputs_Capex_WC'!$B$2*'33_Inputs_Opex_Headcount'!R33</f>
        <v>55200</v>
      </c>
      <c r="S3" s="186">
        <f>'42_OPEX'!S6*'35_Inputs_Capex_WC'!$B$2*'33_Inputs_Opex_Headcount'!S33</f>
        <v>55200</v>
      </c>
      <c r="T3" s="186">
        <f>'42_OPEX'!T6*'35_Inputs_Capex_WC'!$B$2*'33_Inputs_Opex_Headcount'!T33</f>
        <v>55200</v>
      </c>
      <c r="U3" s="186">
        <f>'42_OPEX'!U6*'35_Inputs_Capex_WC'!$B$2*'33_Inputs_Opex_Headcount'!U33</f>
        <v>59616.000000000007</v>
      </c>
      <c r="V3" s="186">
        <f>'42_OPEX'!V6*'35_Inputs_Capex_WC'!$B$2*'33_Inputs_Opex_Headcount'!V33</f>
        <v>62008</v>
      </c>
      <c r="W3" s="186">
        <f>'42_OPEX'!W6*'35_Inputs_Capex_WC'!$B$2*'33_Inputs_Opex_Headcount'!W33</f>
        <v>66424</v>
      </c>
      <c r="X3" s="186">
        <f>'42_OPEX'!X6*'35_Inputs_Capex_WC'!$B$2*'33_Inputs_Opex_Headcount'!X33</f>
        <v>68816</v>
      </c>
      <c r="Y3" s="186">
        <f>'42_OPEX'!Y6*'35_Inputs_Capex_WC'!$B$2*'33_Inputs_Opex_Headcount'!Y33</f>
        <v>71208</v>
      </c>
      <c r="Z3" s="186">
        <f>'42_OPEX'!Z6*'35_Inputs_Capex_WC'!$B$2*'33_Inputs_Opex_Headcount'!Z33</f>
        <v>71208</v>
      </c>
      <c r="AA3" s="186">
        <f>'42_OPEX'!AA6*'35_Inputs_Capex_WC'!$B$2*'33_Inputs_Opex_Headcount'!AA33</f>
        <v>71207.999999999985</v>
      </c>
      <c r="AB3" s="186">
        <f>'42_OPEX'!AB6*'35_Inputs_Capex_WC'!$B$2*'33_Inputs_Opex_Headcount'!AB33</f>
        <v>73599.999999999985</v>
      </c>
      <c r="AC3" s="186">
        <f>'42_OPEX'!AC6*'35_Inputs_Capex_WC'!$B$2*'33_Inputs_Opex_Headcount'!AC33</f>
        <v>75624</v>
      </c>
      <c r="AD3" s="186">
        <f>'42_OPEX'!AD6*'35_Inputs_Capex_WC'!$B$2*'33_Inputs_Opex_Headcount'!AD33</f>
        <v>75623.999999999971</v>
      </c>
      <c r="AE3" s="186">
        <f>'42_OPEX'!AE6*'35_Inputs_Capex_WC'!$B$2*'33_Inputs_Opex_Headcount'!AE33</f>
        <v>78015.999999999985</v>
      </c>
      <c r="AF3" s="186">
        <f>'42_OPEX'!AF6*'35_Inputs_Capex_WC'!$B$2*'33_Inputs_Opex_Headcount'!AF33</f>
        <v>78015.999999999985</v>
      </c>
      <c r="AG3" s="186">
        <f>'42_OPEX'!AG6*'35_Inputs_Capex_WC'!$B$2*'33_Inputs_Opex_Headcount'!AG33</f>
        <v>80039.999999999985</v>
      </c>
      <c r="AH3" s="186">
        <f>'42_OPEX'!AH6*'35_Inputs_Capex_WC'!$B$2*'33_Inputs_Opex_Headcount'!AH33</f>
        <v>82431.999999999985</v>
      </c>
      <c r="AI3" s="186">
        <f>'42_OPEX'!AI6*'35_Inputs_Capex_WC'!$B$2*'33_Inputs_Opex_Headcount'!AI33</f>
        <v>82431.999999999985</v>
      </c>
      <c r="AJ3" s="186">
        <f>'42_OPEX'!AJ6*'35_Inputs_Capex_WC'!$B$2*'33_Inputs_Opex_Headcount'!AJ33</f>
        <v>82431.999999999985</v>
      </c>
      <c r="AK3" s="186">
        <f>'42_OPEX'!AK6*'35_Inputs_Capex_WC'!$B$2*'33_Inputs_Opex_Headcount'!AK33</f>
        <v>82431.999999999985</v>
      </c>
      <c r="AL3" s="185">
        <f>SUMIF('23_Time'!$B$3:$AK$3, 1,B3:AK3)</f>
        <v>491832</v>
      </c>
      <c r="AM3" s="186">
        <f>SUMIF('23_Time'!$B$3:$AK$3, 2,B3:AK3)</f>
        <v>714472</v>
      </c>
      <c r="AN3" s="187">
        <f>SUMIF('23_Time'!$B$3:$AK$3, 3,B3:AK3)</f>
        <v>933064</v>
      </c>
    </row>
    <row r="4" spans="1:40" x14ac:dyDescent="0.3">
      <c r="A4" s="127" t="s">
        <v>169</v>
      </c>
      <c r="B4" s="189">
        <f>'35_Inputs_Capex_WC'!$B$3</f>
        <v>25000</v>
      </c>
      <c r="C4" s="189">
        <f>'35_Inputs_Capex_WC'!$B$3</f>
        <v>25000</v>
      </c>
      <c r="D4" s="189">
        <f>'35_Inputs_Capex_WC'!$B$3</f>
        <v>25000</v>
      </c>
      <c r="E4" s="189">
        <f>'35_Inputs_Capex_WC'!$B$3</f>
        <v>25000</v>
      </c>
      <c r="F4" s="189">
        <f>'35_Inputs_Capex_WC'!$B$3</f>
        <v>25000</v>
      </c>
      <c r="G4" s="189">
        <f>'35_Inputs_Capex_WC'!$B$3</f>
        <v>25000</v>
      </c>
      <c r="H4" s="189">
        <f>'35_Inputs_Capex_WC'!$B$3</f>
        <v>25000</v>
      </c>
      <c r="I4" s="189">
        <f>'35_Inputs_Capex_WC'!$B$3</f>
        <v>25000</v>
      </c>
      <c r="J4" s="189">
        <f>'35_Inputs_Capex_WC'!$B$3</f>
        <v>25000</v>
      </c>
      <c r="K4" s="189">
        <f>'35_Inputs_Capex_WC'!$B$3</f>
        <v>25000</v>
      </c>
      <c r="L4" s="189">
        <f>'35_Inputs_Capex_WC'!$B$3</f>
        <v>25000</v>
      </c>
      <c r="M4" s="189">
        <f>'35_Inputs_Capex_WC'!$B$3</f>
        <v>25000</v>
      </c>
      <c r="N4" s="189">
        <f>'35_Inputs_Capex_WC'!$B$3</f>
        <v>25000</v>
      </c>
      <c r="O4" s="189">
        <f>'35_Inputs_Capex_WC'!$B$3</f>
        <v>25000</v>
      </c>
      <c r="P4" s="189">
        <f>'35_Inputs_Capex_WC'!$B$3</f>
        <v>25000</v>
      </c>
      <c r="Q4" s="189">
        <f>'35_Inputs_Capex_WC'!$B$3</f>
        <v>25000</v>
      </c>
      <c r="R4" s="189">
        <f>'35_Inputs_Capex_WC'!$B$3</f>
        <v>25000</v>
      </c>
      <c r="S4" s="189">
        <f>'35_Inputs_Capex_WC'!$B$3</f>
        <v>25000</v>
      </c>
      <c r="T4" s="189">
        <f>'35_Inputs_Capex_WC'!$B$3</f>
        <v>25000</v>
      </c>
      <c r="U4" s="189">
        <f>'35_Inputs_Capex_WC'!$B$3</f>
        <v>25000</v>
      </c>
      <c r="V4" s="189">
        <f>'35_Inputs_Capex_WC'!$B$3</f>
        <v>25000</v>
      </c>
      <c r="W4" s="189">
        <f>'35_Inputs_Capex_WC'!$B$3</f>
        <v>25000</v>
      </c>
      <c r="X4" s="189">
        <f>'35_Inputs_Capex_WC'!$B$3</f>
        <v>25000</v>
      </c>
      <c r="Y4" s="189">
        <f>'35_Inputs_Capex_WC'!$B$3</f>
        <v>25000</v>
      </c>
      <c r="Z4" s="189">
        <f>'35_Inputs_Capex_WC'!$B$3</f>
        <v>25000</v>
      </c>
      <c r="AA4" s="189">
        <f>'35_Inputs_Capex_WC'!$B$3</f>
        <v>25000</v>
      </c>
      <c r="AB4" s="189">
        <f>'35_Inputs_Capex_WC'!$B$3</f>
        <v>25000</v>
      </c>
      <c r="AC4" s="189">
        <f>'35_Inputs_Capex_WC'!$B$3</f>
        <v>25000</v>
      </c>
      <c r="AD4" s="189">
        <f>'35_Inputs_Capex_WC'!$B$3</f>
        <v>25000</v>
      </c>
      <c r="AE4" s="189">
        <f>'35_Inputs_Capex_WC'!$B$3</f>
        <v>25000</v>
      </c>
      <c r="AF4" s="189">
        <f>'35_Inputs_Capex_WC'!$B$3</f>
        <v>25000</v>
      </c>
      <c r="AG4" s="189">
        <f>'35_Inputs_Capex_WC'!$B$3</f>
        <v>25000</v>
      </c>
      <c r="AH4" s="189">
        <f>'35_Inputs_Capex_WC'!$B$3</f>
        <v>25000</v>
      </c>
      <c r="AI4" s="189">
        <f>'35_Inputs_Capex_WC'!$B$3</f>
        <v>25000</v>
      </c>
      <c r="AJ4" s="189">
        <f>'35_Inputs_Capex_WC'!$B$3</f>
        <v>25000</v>
      </c>
      <c r="AK4" s="189">
        <f>'35_Inputs_Capex_WC'!$B$3</f>
        <v>25000</v>
      </c>
      <c r="AL4" s="188">
        <f>SUMIF('23_Time'!$B$3:$AK$3, 1,B4:AK4)</f>
        <v>300000</v>
      </c>
      <c r="AM4" s="189">
        <f>SUMIF('23_Time'!$B$3:$AK$3, 2,B4:AK4)</f>
        <v>300000</v>
      </c>
      <c r="AN4" s="190">
        <f>SUMIF('23_Time'!$B$3:$AK$3, 3,B4:AK4)</f>
        <v>300000</v>
      </c>
    </row>
    <row r="5" spans="1:40" ht="15" thickBot="1" x14ac:dyDescent="0.35">
      <c r="A5" s="24" t="s">
        <v>170</v>
      </c>
      <c r="B5" s="25">
        <f>SUM(B3:B4)</f>
        <v>59776</v>
      </c>
      <c r="C5" s="25">
        <f t="shared" ref="C5:AK5" si="0">SUM(C3:C4)</f>
        <v>59776</v>
      </c>
      <c r="D5" s="25">
        <f t="shared" si="0"/>
        <v>59776</v>
      </c>
      <c r="E5" s="25">
        <f t="shared" si="0"/>
        <v>59776</v>
      </c>
      <c r="F5" s="25">
        <f t="shared" si="0"/>
        <v>59776</v>
      </c>
      <c r="G5" s="25">
        <f t="shared" si="0"/>
        <v>59776</v>
      </c>
      <c r="H5" s="25">
        <f t="shared" si="0"/>
        <v>64192</v>
      </c>
      <c r="I5" s="25">
        <f t="shared" si="0"/>
        <v>66584</v>
      </c>
      <c r="J5" s="25">
        <f t="shared" si="0"/>
        <v>70999.999999999985</v>
      </c>
      <c r="K5" s="25">
        <f t="shared" si="0"/>
        <v>73392</v>
      </c>
      <c r="L5" s="25">
        <f t="shared" si="0"/>
        <v>77807.999999999985</v>
      </c>
      <c r="M5" s="25">
        <f t="shared" si="0"/>
        <v>80200</v>
      </c>
      <c r="N5" s="25">
        <f t="shared" si="0"/>
        <v>80200</v>
      </c>
      <c r="O5" s="25">
        <f t="shared" si="0"/>
        <v>80200</v>
      </c>
      <c r="P5" s="25">
        <f t="shared" si="0"/>
        <v>80200</v>
      </c>
      <c r="Q5" s="25">
        <f t="shared" si="0"/>
        <v>80200</v>
      </c>
      <c r="R5" s="25">
        <f t="shared" si="0"/>
        <v>80200</v>
      </c>
      <c r="S5" s="25">
        <f t="shared" si="0"/>
        <v>80200</v>
      </c>
      <c r="T5" s="25">
        <f t="shared" si="0"/>
        <v>80200</v>
      </c>
      <c r="U5" s="25">
        <f t="shared" si="0"/>
        <v>84616</v>
      </c>
      <c r="V5" s="25">
        <f t="shared" si="0"/>
        <v>87008</v>
      </c>
      <c r="W5" s="25">
        <f t="shared" si="0"/>
        <v>91424</v>
      </c>
      <c r="X5" s="25">
        <f t="shared" si="0"/>
        <v>93816</v>
      </c>
      <c r="Y5" s="25">
        <f t="shared" si="0"/>
        <v>96208</v>
      </c>
      <c r="Z5" s="25">
        <f t="shared" si="0"/>
        <v>96208</v>
      </c>
      <c r="AA5" s="25">
        <f t="shared" si="0"/>
        <v>96207.999999999985</v>
      </c>
      <c r="AB5" s="25">
        <f t="shared" si="0"/>
        <v>98599.999999999985</v>
      </c>
      <c r="AC5" s="25">
        <f t="shared" si="0"/>
        <v>100624</v>
      </c>
      <c r="AD5" s="25">
        <f t="shared" si="0"/>
        <v>100623.99999999997</v>
      </c>
      <c r="AE5" s="25">
        <f t="shared" si="0"/>
        <v>103015.99999999999</v>
      </c>
      <c r="AF5" s="25">
        <f t="shared" si="0"/>
        <v>103015.99999999999</v>
      </c>
      <c r="AG5" s="25">
        <f t="shared" si="0"/>
        <v>105039.99999999999</v>
      </c>
      <c r="AH5" s="25">
        <f t="shared" si="0"/>
        <v>107431.99999999999</v>
      </c>
      <c r="AI5" s="25">
        <f t="shared" si="0"/>
        <v>107431.99999999999</v>
      </c>
      <c r="AJ5" s="25">
        <f t="shared" si="0"/>
        <v>107431.99999999999</v>
      </c>
      <c r="AK5" s="25">
        <f t="shared" si="0"/>
        <v>107431.99999999999</v>
      </c>
      <c r="AL5" s="26">
        <f>SUMIF('23_Time'!$B$3:$AK$3, 1,B5:AK5)</f>
        <v>791832</v>
      </c>
      <c r="AM5" s="25">
        <f>SUMIF('23_Time'!$B$3:$AK$3, 2,B5:AK5)</f>
        <v>1014472</v>
      </c>
      <c r="AN5" s="27">
        <f>SUMIF('23_Time'!$B$3:$AK$3, 3,B5:AK5)</f>
        <v>1233064</v>
      </c>
    </row>
    <row r="6" spans="1:40" x14ac:dyDescent="0.3">
      <c r="A6" s="129" t="s">
        <v>171</v>
      </c>
      <c r="B6" s="148">
        <f>0</f>
        <v>0</v>
      </c>
      <c r="C6" s="186">
        <f>B8</f>
        <v>59776</v>
      </c>
      <c r="D6" s="186">
        <f t="shared" ref="D6:AK6" si="1">C8</f>
        <v>117891.55555555556</v>
      </c>
      <c r="E6" s="186">
        <f t="shared" si="1"/>
        <v>174392.7901234568</v>
      </c>
      <c r="F6" s="186">
        <f t="shared" si="1"/>
        <v>229324.54595336076</v>
      </c>
      <c r="G6" s="186">
        <f t="shared" si="1"/>
        <v>282730.41967687849</v>
      </c>
      <c r="H6" s="186">
        <f t="shared" si="1"/>
        <v>334652.79690807633</v>
      </c>
      <c r="I6" s="186">
        <f t="shared" si="1"/>
        <v>389548.88588285196</v>
      </c>
      <c r="J6" s="186">
        <f t="shared" si="1"/>
        <v>445312.08349721716</v>
      </c>
      <c r="K6" s="186">
        <f t="shared" si="1"/>
        <v>503942.30340007221</v>
      </c>
      <c r="L6" s="186">
        <f t="shared" si="1"/>
        <v>563335.90608340362</v>
      </c>
      <c r="M6" s="186">
        <f t="shared" si="1"/>
        <v>625495.68646997574</v>
      </c>
      <c r="N6" s="186">
        <f t="shared" si="1"/>
        <v>688320.80629025423</v>
      </c>
      <c r="O6" s="186">
        <f t="shared" si="1"/>
        <v>749400.78389330278</v>
      </c>
      <c r="P6" s="186">
        <f t="shared" si="1"/>
        <v>808784.09545182216</v>
      </c>
      <c r="Q6" s="186">
        <f t="shared" si="1"/>
        <v>866517.87057816039</v>
      </c>
      <c r="R6" s="186">
        <f t="shared" si="1"/>
        <v>922647.92972876702</v>
      </c>
      <c r="S6" s="186">
        <f t="shared" si="1"/>
        <v>977218.82056963455</v>
      </c>
      <c r="T6" s="186">
        <f t="shared" si="1"/>
        <v>1030273.853331589</v>
      </c>
      <c r="U6" s="186">
        <f t="shared" si="1"/>
        <v>1081855.1351834894</v>
      </c>
      <c r="V6" s="186">
        <f t="shared" si="1"/>
        <v>1136419.6036506146</v>
      </c>
      <c r="W6" s="186">
        <f t="shared" si="1"/>
        <v>1191860.3924380976</v>
      </c>
      <c r="X6" s="186">
        <f t="shared" si="1"/>
        <v>1250177.1593148171</v>
      </c>
      <c r="Y6" s="186">
        <f t="shared" si="1"/>
        <v>1309266.0160005165</v>
      </c>
      <c r="Z6" s="186">
        <f t="shared" si="1"/>
        <v>1369105.5155560577</v>
      </c>
      <c r="AA6" s="186">
        <f t="shared" si="1"/>
        <v>1427282.8067906117</v>
      </c>
      <c r="AB6" s="186">
        <f t="shared" si="1"/>
        <v>1483844.0621575392</v>
      </c>
      <c r="AC6" s="186">
        <f t="shared" si="1"/>
        <v>1541226.1715420519</v>
      </c>
      <c r="AD6" s="186">
        <f t="shared" si="1"/>
        <v>1599038.3334436617</v>
      </c>
      <c r="AE6" s="186">
        <f t="shared" si="1"/>
        <v>1655244.6019591156</v>
      </c>
      <c r="AF6" s="186">
        <f t="shared" si="1"/>
        <v>1712281.585238029</v>
      </c>
      <c r="AG6" s="186">
        <f t="shared" si="1"/>
        <v>1767734.207870306</v>
      </c>
      <c r="AH6" s="186">
        <f t="shared" si="1"/>
        <v>1823670.4798739087</v>
      </c>
      <c r="AI6" s="186">
        <f t="shared" si="1"/>
        <v>1880444.966544078</v>
      </c>
      <c r="AJ6" s="186">
        <f t="shared" si="1"/>
        <v>1935642.3841400759</v>
      </c>
      <c r="AK6" s="186">
        <f t="shared" si="1"/>
        <v>1989306.540136185</v>
      </c>
      <c r="AL6" s="185">
        <f>B6</f>
        <v>0</v>
      </c>
      <c r="AM6" s="186">
        <f>N6</f>
        <v>688320.80629025423</v>
      </c>
      <c r="AN6" s="187">
        <f>Z6</f>
        <v>1369105.5155560577</v>
      </c>
    </row>
    <row r="7" spans="1:40" x14ac:dyDescent="0.3">
      <c r="A7" s="127" t="s">
        <v>172</v>
      </c>
      <c r="B7" s="184">
        <f>B6*'35_Inputs_Capex_WC'!$B$5</f>
        <v>0</v>
      </c>
      <c r="C7" s="189">
        <f>C6*'35_Inputs_Capex_WC'!$B$5</f>
        <v>1660.4444444444443</v>
      </c>
      <c r="D7" s="189">
        <f>D6*'35_Inputs_Capex_WC'!$B$5</f>
        <v>3274.7654320987654</v>
      </c>
      <c r="E7" s="189">
        <f>E6*'35_Inputs_Capex_WC'!$B$5</f>
        <v>4844.2441700960217</v>
      </c>
      <c r="F7" s="189">
        <f>F6*'35_Inputs_Capex_WC'!$B$5</f>
        <v>6370.1262764822432</v>
      </c>
      <c r="G7" s="189">
        <f>G6*'35_Inputs_Capex_WC'!$B$5</f>
        <v>7853.62276880218</v>
      </c>
      <c r="H7" s="189">
        <f>H6*'35_Inputs_Capex_WC'!$B$5</f>
        <v>9295.9110252243427</v>
      </c>
      <c r="I7" s="189">
        <f>I6*'35_Inputs_Capex_WC'!$B$5</f>
        <v>10820.802385634775</v>
      </c>
      <c r="J7" s="189">
        <f>J6*'35_Inputs_Capex_WC'!$B$5</f>
        <v>12369.78009714492</v>
      </c>
      <c r="K7" s="189">
        <f>K6*'35_Inputs_Capex_WC'!$B$5</f>
        <v>13998.397316668672</v>
      </c>
      <c r="L7" s="189">
        <f>L6*'35_Inputs_Capex_WC'!$B$5</f>
        <v>15648.219613427878</v>
      </c>
      <c r="M7" s="189">
        <f>M6*'35_Inputs_Capex_WC'!$B$5</f>
        <v>17374.880179721549</v>
      </c>
      <c r="N7" s="189">
        <f>N6*'35_Inputs_Capex_WC'!$B$5</f>
        <v>19120.022396951506</v>
      </c>
      <c r="O7" s="189">
        <f>O6*'35_Inputs_Capex_WC'!$B$5</f>
        <v>20816.68844148063</v>
      </c>
      <c r="P7" s="189">
        <f>P6*'35_Inputs_Capex_WC'!$B$5</f>
        <v>22466.224873661726</v>
      </c>
      <c r="Q7" s="189">
        <f>Q6*'35_Inputs_Capex_WC'!$B$5</f>
        <v>24069.940849393344</v>
      </c>
      <c r="R7" s="189">
        <f>R6*'35_Inputs_Capex_WC'!$B$5</f>
        <v>25629.109159132415</v>
      </c>
      <c r="S7" s="189">
        <f>S6*'35_Inputs_Capex_WC'!$B$5</f>
        <v>27144.967238045403</v>
      </c>
      <c r="T7" s="189">
        <f>T6*'35_Inputs_Capex_WC'!$B$5</f>
        <v>28618.718148099695</v>
      </c>
      <c r="U7" s="189">
        <f>U6*'35_Inputs_Capex_WC'!$B$5</f>
        <v>30051.531532874706</v>
      </c>
      <c r="V7" s="189">
        <f>V6*'35_Inputs_Capex_WC'!$B$5</f>
        <v>31567.211212517072</v>
      </c>
      <c r="W7" s="189">
        <f>W6*'35_Inputs_Capex_WC'!$B$5</f>
        <v>33107.233123280486</v>
      </c>
      <c r="X7" s="189">
        <f>X6*'35_Inputs_Capex_WC'!$B$5</f>
        <v>34727.143314300469</v>
      </c>
      <c r="Y7" s="189">
        <f>Y6*'35_Inputs_Capex_WC'!$B$5</f>
        <v>36368.50044445879</v>
      </c>
      <c r="Z7" s="189">
        <f>Z6*'35_Inputs_Capex_WC'!$B$5</f>
        <v>38030.708765446041</v>
      </c>
      <c r="AA7" s="189">
        <f>AA6*'35_Inputs_Capex_WC'!$B$5</f>
        <v>39646.744633072543</v>
      </c>
      <c r="AB7" s="189">
        <f>AB6*'35_Inputs_Capex_WC'!$B$5</f>
        <v>41217.890615487195</v>
      </c>
      <c r="AC7" s="189">
        <f>AC6*'35_Inputs_Capex_WC'!$B$5</f>
        <v>42811.838098390326</v>
      </c>
      <c r="AD7" s="189">
        <f>AD6*'35_Inputs_Capex_WC'!$B$5</f>
        <v>44417.731484546159</v>
      </c>
      <c r="AE7" s="189">
        <f>AE6*'35_Inputs_Capex_WC'!$B$5</f>
        <v>45979.01672108654</v>
      </c>
      <c r="AF7" s="189">
        <f>AF6*'35_Inputs_Capex_WC'!$B$5</f>
        <v>47563.377367723027</v>
      </c>
      <c r="AG7" s="189">
        <f>AG6*'35_Inputs_Capex_WC'!$B$5</f>
        <v>49103.727996397385</v>
      </c>
      <c r="AH7" s="189">
        <f>AH6*'35_Inputs_Capex_WC'!$B$5</f>
        <v>50657.513329830792</v>
      </c>
      <c r="AI7" s="189">
        <f>AI6*'35_Inputs_Capex_WC'!$B$5</f>
        <v>52234.582404002162</v>
      </c>
      <c r="AJ7" s="189">
        <f>AJ6*'35_Inputs_Capex_WC'!$B$5</f>
        <v>53767.84400389099</v>
      </c>
      <c r="AK7" s="189">
        <f>AK6*'35_Inputs_Capex_WC'!$B$5</f>
        <v>55258.515003782915</v>
      </c>
      <c r="AL7" s="188">
        <f>SUMIF('23_Time'!$B$3:$AK$3, 1,B7:AK7)</f>
        <v>103511.1937097458</v>
      </c>
      <c r="AM7" s="189">
        <f>SUMIF('23_Time'!$B$3:$AK$3, 2,B7:AK7)</f>
        <v>333687.29073419626</v>
      </c>
      <c r="AN7" s="190">
        <f>SUMIF('23_Time'!$B$3:$AK$3, 3,B7:AK7)</f>
        <v>560689.49042365607</v>
      </c>
    </row>
    <row r="8" spans="1:40" ht="15" thickBot="1" x14ac:dyDescent="0.35">
      <c r="A8" s="24" t="s">
        <v>173</v>
      </c>
      <c r="B8" s="12">
        <f>B6+B5-B7</f>
        <v>59776</v>
      </c>
      <c r="C8" s="25">
        <f>C6+C5-C7</f>
        <v>117891.55555555556</v>
      </c>
      <c r="D8" s="25">
        <f t="shared" ref="D8:AK8" si="2">D6+D5-D7</f>
        <v>174392.7901234568</v>
      </c>
      <c r="E8" s="25">
        <f t="shared" si="2"/>
        <v>229324.54595336076</v>
      </c>
      <c r="F8" s="25">
        <f t="shared" si="2"/>
        <v>282730.41967687849</v>
      </c>
      <c r="G8" s="25">
        <f t="shared" si="2"/>
        <v>334652.79690807633</v>
      </c>
      <c r="H8" s="25">
        <f t="shared" si="2"/>
        <v>389548.88588285196</v>
      </c>
      <c r="I8" s="25">
        <f t="shared" si="2"/>
        <v>445312.08349721716</v>
      </c>
      <c r="J8" s="25">
        <f t="shared" si="2"/>
        <v>503942.30340007221</v>
      </c>
      <c r="K8" s="25">
        <f t="shared" si="2"/>
        <v>563335.90608340362</v>
      </c>
      <c r="L8" s="25">
        <f t="shared" si="2"/>
        <v>625495.68646997574</v>
      </c>
      <c r="M8" s="25">
        <f t="shared" si="2"/>
        <v>688320.80629025423</v>
      </c>
      <c r="N8" s="25">
        <f t="shared" si="2"/>
        <v>749400.78389330278</v>
      </c>
      <c r="O8" s="25">
        <f t="shared" si="2"/>
        <v>808784.09545182216</v>
      </c>
      <c r="P8" s="25">
        <f t="shared" si="2"/>
        <v>866517.87057816039</v>
      </c>
      <c r="Q8" s="25">
        <f t="shared" si="2"/>
        <v>922647.92972876702</v>
      </c>
      <c r="R8" s="25">
        <f t="shared" si="2"/>
        <v>977218.82056963455</v>
      </c>
      <c r="S8" s="25">
        <f t="shared" si="2"/>
        <v>1030273.853331589</v>
      </c>
      <c r="T8" s="25">
        <f t="shared" si="2"/>
        <v>1081855.1351834894</v>
      </c>
      <c r="U8" s="25">
        <f t="shared" si="2"/>
        <v>1136419.6036506146</v>
      </c>
      <c r="V8" s="25">
        <f t="shared" si="2"/>
        <v>1191860.3924380976</v>
      </c>
      <c r="W8" s="25">
        <f t="shared" si="2"/>
        <v>1250177.1593148171</v>
      </c>
      <c r="X8" s="25">
        <f t="shared" si="2"/>
        <v>1309266.0160005165</v>
      </c>
      <c r="Y8" s="25">
        <f t="shared" si="2"/>
        <v>1369105.5155560577</v>
      </c>
      <c r="Z8" s="25">
        <f t="shared" si="2"/>
        <v>1427282.8067906117</v>
      </c>
      <c r="AA8" s="25">
        <f t="shared" si="2"/>
        <v>1483844.0621575392</v>
      </c>
      <c r="AB8" s="25">
        <f t="shared" si="2"/>
        <v>1541226.1715420519</v>
      </c>
      <c r="AC8" s="25">
        <f t="shared" si="2"/>
        <v>1599038.3334436617</v>
      </c>
      <c r="AD8" s="25">
        <f t="shared" si="2"/>
        <v>1655244.6019591156</v>
      </c>
      <c r="AE8" s="25">
        <f t="shared" si="2"/>
        <v>1712281.585238029</v>
      </c>
      <c r="AF8" s="25">
        <f t="shared" si="2"/>
        <v>1767734.207870306</v>
      </c>
      <c r="AG8" s="25">
        <f t="shared" si="2"/>
        <v>1823670.4798739087</v>
      </c>
      <c r="AH8" s="25">
        <f t="shared" si="2"/>
        <v>1880444.966544078</v>
      </c>
      <c r="AI8" s="25">
        <f t="shared" si="2"/>
        <v>1935642.3841400759</v>
      </c>
      <c r="AJ8" s="25">
        <f t="shared" si="2"/>
        <v>1989306.540136185</v>
      </c>
      <c r="AK8" s="25">
        <f t="shared" si="2"/>
        <v>2041480.0251324021</v>
      </c>
      <c r="AL8" s="26">
        <f>M8</f>
        <v>688320.80629025423</v>
      </c>
      <c r="AM8" s="25">
        <f>Y8</f>
        <v>1369105.5155560577</v>
      </c>
      <c r="AN8" s="27">
        <f>AK8</f>
        <v>2041480.0251324021</v>
      </c>
    </row>
    <row r="9" spans="1:40" x14ac:dyDescent="0.3">
      <c r="B9" s="5"/>
      <c r="C9" s="5"/>
      <c r="D9" s="5"/>
      <c r="E9" s="5"/>
      <c r="F9" s="5"/>
      <c r="G9" s="5"/>
      <c r="H9" s="5"/>
      <c r="I9" s="5"/>
      <c r="J9" s="5"/>
      <c r="K9" s="5"/>
      <c r="L9" s="5"/>
      <c r="M9" s="5"/>
      <c r="N9" s="5"/>
      <c r="O9" s="5"/>
      <c r="P9" s="5"/>
      <c r="Q9" s="5"/>
      <c r="R9" s="5"/>
      <c r="S9" s="5"/>
      <c r="T9" s="5"/>
      <c r="U9" s="5"/>
      <c r="V9" s="5"/>
      <c r="W9" s="5"/>
      <c r="X9" s="5"/>
      <c r="Y9" s="5"/>
      <c r="Z9" s="5"/>
      <c r="AA9" s="5"/>
      <c r="AB9" s="5"/>
      <c r="AC9" s="5"/>
      <c r="AD9" s="5"/>
      <c r="AE9" s="5"/>
      <c r="AF9" s="5"/>
      <c r="AG9" s="5"/>
      <c r="AH9" s="5"/>
      <c r="AI9" s="5"/>
      <c r="AJ9" s="5"/>
      <c r="AK9" s="5"/>
      <c r="AL9" s="5"/>
      <c r="AM9" s="5"/>
      <c r="AN9" s="5"/>
    </row>
    <row r="10" spans="1:40" x14ac:dyDescent="0.3">
      <c r="B10" s="5"/>
      <c r="C10" s="5"/>
      <c r="D10" s="5"/>
      <c r="E10" s="5"/>
      <c r="F10" s="5"/>
      <c r="G10" s="5"/>
      <c r="H10" s="5"/>
      <c r="I10" s="5"/>
      <c r="J10" s="5"/>
      <c r="K10" s="5"/>
      <c r="L10" s="5"/>
      <c r="M10" s="5"/>
      <c r="N10" s="5"/>
      <c r="O10" s="5"/>
      <c r="P10" s="5"/>
      <c r="Q10" s="5"/>
      <c r="R10" s="5"/>
      <c r="S10" s="5"/>
      <c r="T10" s="5"/>
      <c r="U10" s="5"/>
      <c r="V10" s="5"/>
      <c r="W10" s="5"/>
      <c r="X10" s="5"/>
      <c r="Y10" s="5"/>
      <c r="Z10" s="5"/>
      <c r="AA10" s="5"/>
      <c r="AB10" s="5"/>
      <c r="AC10" s="5"/>
      <c r="AD10" s="5"/>
      <c r="AE10" s="5"/>
      <c r="AF10" s="5"/>
      <c r="AG10" s="5"/>
      <c r="AH10" s="5"/>
      <c r="AI10" s="5"/>
      <c r="AJ10" s="5"/>
      <c r="AK10" s="5"/>
      <c r="AL10" s="5"/>
      <c r="AM10" s="5"/>
      <c r="AN10" s="5"/>
    </row>
    <row r="11" spans="1:40" x14ac:dyDescent="0.3">
      <c r="B11" s="5"/>
      <c r="C11" s="5"/>
      <c r="D11" s="5"/>
      <c r="E11" s="5"/>
      <c r="F11" s="5"/>
      <c r="G11" s="5"/>
      <c r="H11" s="5"/>
      <c r="I11" s="5"/>
      <c r="J11" s="5"/>
      <c r="K11" s="5"/>
      <c r="L11" s="5"/>
      <c r="M11" s="5"/>
      <c r="N11" s="5"/>
      <c r="O11" s="5"/>
      <c r="P11" s="5"/>
      <c r="Q11" s="5"/>
      <c r="R11" s="5"/>
      <c r="S11" s="5"/>
      <c r="T11" s="5"/>
      <c r="U11" s="5"/>
      <c r="V11" s="5"/>
      <c r="W11" s="5"/>
      <c r="X11" s="5"/>
      <c r="Y11" s="5"/>
      <c r="Z11" s="5"/>
      <c r="AA11" s="5"/>
      <c r="AB11" s="5"/>
      <c r="AC11" s="5"/>
      <c r="AD11" s="5"/>
      <c r="AE11" s="5"/>
      <c r="AF11" s="5"/>
      <c r="AG11" s="5"/>
      <c r="AH11" s="5"/>
      <c r="AI11" s="5"/>
      <c r="AJ11" s="5"/>
      <c r="AK11" s="5"/>
      <c r="AL11" s="5"/>
      <c r="AM11" s="5"/>
      <c r="AN11" s="5"/>
    </row>
    <row r="12" spans="1:40" x14ac:dyDescent="0.3">
      <c r="B12" s="5"/>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c r="AL12" s="5"/>
      <c r="AM12" s="5"/>
      <c r="AN12" s="5"/>
    </row>
    <row r="13" spans="1:40" x14ac:dyDescent="0.3">
      <c r="B13" s="5"/>
      <c r="C13" s="5"/>
      <c r="D13" s="5"/>
      <c r="E13" s="5"/>
      <c r="F13" s="5"/>
      <c r="G13" s="5"/>
      <c r="H13" s="5"/>
      <c r="I13" s="5"/>
      <c r="J13" s="5"/>
      <c r="K13" s="5"/>
      <c r="L13" s="5"/>
      <c r="M13" s="5"/>
      <c r="N13" s="5"/>
      <c r="O13" s="5"/>
      <c r="P13" s="5"/>
      <c r="Q13" s="5"/>
      <c r="R13" s="5"/>
      <c r="S13" s="5"/>
      <c r="T13" s="5"/>
      <c r="U13" s="5"/>
      <c r="V13" s="5"/>
      <c r="W13" s="5"/>
      <c r="X13" s="5"/>
      <c r="Y13" s="5"/>
      <c r="Z13" s="5"/>
      <c r="AA13" s="5"/>
      <c r="AB13" s="5"/>
      <c r="AC13" s="5"/>
      <c r="AD13" s="5"/>
      <c r="AE13" s="5"/>
      <c r="AF13" s="5"/>
      <c r="AG13" s="5"/>
      <c r="AH13" s="5"/>
      <c r="AI13" s="5"/>
      <c r="AJ13" s="5"/>
      <c r="AK13" s="5"/>
      <c r="AL13" s="5"/>
      <c r="AM13" s="5"/>
      <c r="AN13" s="5"/>
    </row>
    <row r="14" spans="1:40" x14ac:dyDescent="0.3">
      <c r="B14" s="5"/>
      <c r="C14" s="5"/>
      <c r="D14" s="5"/>
      <c r="E14" s="5"/>
      <c r="F14" s="5"/>
      <c r="G14" s="5"/>
      <c r="H14" s="5"/>
      <c r="I14" s="5"/>
      <c r="J14" s="5"/>
      <c r="K14" s="5"/>
      <c r="L14" s="5"/>
      <c r="M14" s="5"/>
      <c r="N14" s="5"/>
      <c r="O14" s="5"/>
      <c r="P14" s="5"/>
      <c r="Q14" s="5"/>
      <c r="R14" s="5"/>
      <c r="S14" s="5"/>
      <c r="T14" s="5"/>
      <c r="U14" s="5"/>
      <c r="V14" s="5"/>
      <c r="W14" s="5"/>
      <c r="X14" s="5"/>
      <c r="Y14" s="5"/>
      <c r="Z14" s="5"/>
      <c r="AA14" s="5"/>
      <c r="AB14" s="5"/>
      <c r="AC14" s="5"/>
      <c r="AD14" s="5"/>
      <c r="AE14" s="5"/>
      <c r="AF14" s="5"/>
      <c r="AG14" s="5"/>
      <c r="AH14" s="5"/>
      <c r="AI14" s="5"/>
      <c r="AJ14" s="5"/>
      <c r="AK14" s="5"/>
      <c r="AL14" s="5"/>
      <c r="AM14" s="5"/>
      <c r="AN14" s="5"/>
    </row>
    <row r="15" spans="1:40" x14ac:dyDescent="0.3">
      <c r="B15" s="5"/>
      <c r="C15" s="5"/>
      <c r="D15" s="5"/>
      <c r="E15" s="5"/>
      <c r="F15" s="5"/>
      <c r="G15" s="5"/>
      <c r="H15" s="5"/>
      <c r="I15" s="5"/>
      <c r="J15" s="5"/>
      <c r="K15" s="5"/>
      <c r="L15" s="5"/>
      <c r="M15" s="5"/>
      <c r="N15" s="5"/>
      <c r="O15" s="5"/>
      <c r="P15" s="5"/>
      <c r="Q15" s="5"/>
      <c r="R15" s="5"/>
      <c r="S15" s="5"/>
      <c r="T15" s="5"/>
      <c r="U15" s="5"/>
      <c r="V15" s="5"/>
      <c r="W15" s="5"/>
      <c r="X15" s="5"/>
      <c r="Y15" s="5"/>
      <c r="Z15" s="5"/>
      <c r="AA15" s="5"/>
      <c r="AB15" s="5"/>
      <c r="AC15" s="5"/>
      <c r="AD15" s="5"/>
      <c r="AE15" s="5"/>
      <c r="AF15" s="5"/>
      <c r="AG15" s="5"/>
      <c r="AH15" s="5"/>
      <c r="AI15" s="5"/>
      <c r="AJ15" s="5"/>
      <c r="AK15" s="5"/>
      <c r="AL15" s="5"/>
      <c r="AM15" s="5"/>
      <c r="AN15" s="5"/>
    </row>
    <row r="16" spans="1:40" x14ac:dyDescent="0.3">
      <c r="B16" s="5"/>
      <c r="C16" s="5"/>
      <c r="D16" s="5"/>
      <c r="E16" s="5"/>
      <c r="F16" s="5"/>
      <c r="G16" s="5"/>
      <c r="H16" s="5"/>
      <c r="I16" s="5"/>
      <c r="J16" s="5"/>
      <c r="K16" s="5"/>
      <c r="L16" s="5"/>
      <c r="M16" s="5"/>
      <c r="N16" s="5"/>
      <c r="O16" s="5"/>
      <c r="P16" s="5"/>
      <c r="Q16" s="5"/>
      <c r="R16" s="5"/>
      <c r="S16" s="5"/>
      <c r="T16" s="5"/>
      <c r="U16" s="5"/>
      <c r="V16" s="5"/>
      <c r="W16" s="5"/>
      <c r="X16" s="5"/>
      <c r="Y16" s="5"/>
      <c r="Z16" s="5"/>
      <c r="AA16" s="5"/>
      <c r="AB16" s="5"/>
      <c r="AC16" s="5"/>
      <c r="AD16" s="5"/>
      <c r="AE16" s="5"/>
      <c r="AF16" s="5"/>
      <c r="AG16" s="5"/>
      <c r="AH16" s="5"/>
      <c r="AI16" s="5"/>
      <c r="AJ16" s="5"/>
      <c r="AK16" s="5"/>
      <c r="AL16" s="5"/>
      <c r="AM16" s="5"/>
      <c r="AN16" s="5"/>
    </row>
    <row r="17" spans="2:40" x14ac:dyDescent="0.3">
      <c r="B17" s="5"/>
      <c r="C17" s="5"/>
      <c r="D17" s="5"/>
      <c r="E17" s="5"/>
      <c r="F17" s="5"/>
      <c r="G17" s="5"/>
      <c r="H17" s="5"/>
      <c r="I17" s="5"/>
      <c r="J17" s="5"/>
      <c r="K17" s="5"/>
      <c r="L17" s="5"/>
      <c r="M17" s="5"/>
      <c r="N17" s="5"/>
      <c r="O17" s="5"/>
      <c r="P17" s="5"/>
      <c r="Q17" s="5"/>
      <c r="R17" s="5"/>
      <c r="S17" s="5"/>
      <c r="T17" s="5"/>
      <c r="U17" s="5"/>
      <c r="V17" s="5"/>
      <c r="W17" s="5"/>
      <c r="X17" s="5"/>
      <c r="Y17" s="5"/>
      <c r="Z17" s="5"/>
      <c r="AA17" s="5"/>
      <c r="AB17" s="5"/>
      <c r="AC17" s="5"/>
      <c r="AD17" s="5"/>
      <c r="AE17" s="5"/>
      <c r="AF17" s="5"/>
      <c r="AG17" s="5"/>
      <c r="AH17" s="5"/>
      <c r="AI17" s="5"/>
      <c r="AJ17" s="5"/>
      <c r="AK17" s="5"/>
      <c r="AL17" s="5"/>
      <c r="AM17" s="5"/>
      <c r="AN17" s="5"/>
    </row>
    <row r="18" spans="2:40" x14ac:dyDescent="0.3">
      <c r="B18" s="5"/>
      <c r="C18" s="5"/>
      <c r="D18" s="5"/>
      <c r="E18" s="5"/>
      <c r="F18" s="5"/>
      <c r="G18" s="5"/>
      <c r="H18" s="5"/>
      <c r="I18" s="5"/>
      <c r="J18" s="5"/>
      <c r="K18" s="5"/>
      <c r="L18" s="5"/>
      <c r="M18" s="5"/>
      <c r="N18" s="5"/>
      <c r="O18" s="5"/>
      <c r="P18" s="5"/>
      <c r="Q18" s="5"/>
      <c r="R18" s="5"/>
      <c r="S18" s="5"/>
      <c r="T18" s="5"/>
      <c r="U18" s="5"/>
      <c r="V18" s="5"/>
      <c r="W18" s="5"/>
      <c r="X18" s="5"/>
      <c r="Y18" s="5"/>
      <c r="Z18" s="5"/>
      <c r="AA18" s="5"/>
      <c r="AB18" s="5"/>
      <c r="AC18" s="5"/>
      <c r="AD18" s="5"/>
      <c r="AE18" s="5"/>
      <c r="AF18" s="5"/>
      <c r="AG18" s="5"/>
      <c r="AH18" s="5"/>
      <c r="AI18" s="5"/>
      <c r="AJ18" s="5"/>
      <c r="AK18" s="5"/>
      <c r="AL18" s="5"/>
      <c r="AM18" s="5"/>
      <c r="AN18" s="5"/>
    </row>
    <row r="19" spans="2:40" x14ac:dyDescent="0.3">
      <c r="B19" s="5"/>
      <c r="C19" s="5"/>
      <c r="D19" s="5"/>
      <c r="E19" s="5"/>
      <c r="F19" s="5"/>
      <c r="G19" s="5"/>
      <c r="H19" s="5"/>
      <c r="I19" s="5"/>
      <c r="J19" s="5"/>
      <c r="K19" s="5"/>
      <c r="L19" s="5"/>
      <c r="M19" s="5"/>
      <c r="N19" s="5"/>
      <c r="O19" s="5"/>
      <c r="P19" s="5"/>
      <c r="Q19" s="5"/>
      <c r="R19" s="5"/>
      <c r="S19" s="5"/>
      <c r="T19" s="5"/>
      <c r="U19" s="5"/>
      <c r="V19" s="5"/>
      <c r="W19" s="5"/>
      <c r="X19" s="5"/>
      <c r="Y19" s="5"/>
      <c r="Z19" s="5"/>
      <c r="AA19" s="5"/>
      <c r="AB19" s="5"/>
      <c r="AC19" s="5"/>
      <c r="AD19" s="5"/>
      <c r="AE19" s="5"/>
      <c r="AF19" s="5"/>
      <c r="AG19" s="5"/>
      <c r="AH19" s="5"/>
      <c r="AI19" s="5"/>
      <c r="AJ19" s="5"/>
      <c r="AK19" s="5"/>
      <c r="AL19" s="5"/>
      <c r="AM19" s="5"/>
      <c r="AN19" s="5"/>
    </row>
    <row r="20" spans="2:40" x14ac:dyDescent="0.3">
      <c r="B20" s="5"/>
      <c r="C20" s="5"/>
      <c r="D20" s="5"/>
      <c r="E20" s="5"/>
      <c r="F20" s="5"/>
      <c r="G20" s="5"/>
      <c r="H20" s="5"/>
      <c r="I20" s="5"/>
      <c r="J20" s="5"/>
      <c r="K20" s="5"/>
      <c r="L20" s="5"/>
      <c r="M20" s="5"/>
      <c r="N20" s="5"/>
      <c r="O20" s="5"/>
      <c r="P20" s="5"/>
      <c r="Q20" s="5"/>
      <c r="R20" s="5"/>
      <c r="S20" s="5"/>
      <c r="T20" s="5"/>
      <c r="U20" s="5"/>
      <c r="V20" s="5"/>
      <c r="W20" s="5"/>
      <c r="X20" s="5"/>
      <c r="Y20" s="5"/>
      <c r="Z20" s="5"/>
      <c r="AA20" s="5"/>
      <c r="AB20" s="5"/>
      <c r="AC20" s="5"/>
      <c r="AD20" s="5"/>
      <c r="AE20" s="5"/>
      <c r="AF20" s="5"/>
      <c r="AG20" s="5"/>
      <c r="AH20" s="5"/>
      <c r="AI20" s="5"/>
      <c r="AJ20" s="5"/>
      <c r="AK20" s="5"/>
      <c r="AL20" s="5"/>
      <c r="AM20" s="5"/>
      <c r="AN20" s="5"/>
    </row>
    <row r="21" spans="2:40" x14ac:dyDescent="0.3">
      <c r="B21" s="5"/>
      <c r="C21" s="5"/>
      <c r="D21" s="5"/>
      <c r="E21" s="5"/>
      <c r="F21" s="5"/>
      <c r="G21" s="5"/>
      <c r="H21" s="5"/>
      <c r="I21" s="5"/>
      <c r="J21" s="5"/>
      <c r="K21" s="5"/>
      <c r="L21" s="5"/>
      <c r="M21" s="5"/>
      <c r="N21" s="5"/>
      <c r="O21" s="5"/>
      <c r="P21" s="5"/>
      <c r="Q21" s="5"/>
      <c r="R21" s="5"/>
      <c r="S21" s="5"/>
      <c r="T21" s="5"/>
      <c r="U21" s="5"/>
      <c r="V21" s="5"/>
      <c r="W21" s="5"/>
      <c r="X21" s="5"/>
      <c r="Y21" s="5"/>
      <c r="Z21" s="5"/>
      <c r="AA21" s="5"/>
      <c r="AB21" s="5"/>
      <c r="AC21" s="5"/>
      <c r="AD21" s="5"/>
      <c r="AE21" s="5"/>
      <c r="AF21" s="5"/>
      <c r="AG21" s="5"/>
      <c r="AH21" s="5"/>
      <c r="AI21" s="5"/>
      <c r="AJ21" s="5"/>
      <c r="AK21" s="5"/>
      <c r="AL21" s="5"/>
      <c r="AM21" s="5"/>
      <c r="AN21" s="5"/>
    </row>
    <row r="22" spans="2:40" x14ac:dyDescent="0.3">
      <c r="B22" s="5"/>
      <c r="C22" s="5"/>
      <c r="D22" s="5"/>
      <c r="E22" s="5"/>
      <c r="F22" s="5"/>
      <c r="G22" s="5"/>
      <c r="H22" s="5"/>
      <c r="I22" s="5"/>
      <c r="J22" s="5"/>
      <c r="K22" s="5"/>
      <c r="L22" s="5"/>
      <c r="M22" s="5"/>
      <c r="N22" s="5"/>
      <c r="O22" s="5"/>
      <c r="P22" s="5"/>
      <c r="Q22" s="5"/>
      <c r="R22" s="5"/>
      <c r="S22" s="5"/>
      <c r="T22" s="5"/>
      <c r="U22" s="5"/>
      <c r="V22" s="5"/>
      <c r="W22" s="5"/>
      <c r="X22" s="5"/>
      <c r="Y22" s="5"/>
      <c r="Z22" s="5"/>
      <c r="AA22" s="5"/>
      <c r="AB22" s="5"/>
      <c r="AC22" s="5"/>
      <c r="AD22" s="5"/>
      <c r="AE22" s="5"/>
      <c r="AF22" s="5"/>
      <c r="AG22" s="5"/>
      <c r="AH22" s="5"/>
      <c r="AI22" s="5"/>
      <c r="AJ22" s="5"/>
      <c r="AK22" s="5"/>
      <c r="AL22" s="5"/>
      <c r="AM22" s="5"/>
      <c r="AN22" s="5"/>
    </row>
    <row r="23" spans="2:40" x14ac:dyDescent="0.3">
      <c r="B23" s="5"/>
      <c r="C23" s="5"/>
      <c r="D23" s="5"/>
      <c r="E23" s="5"/>
      <c r="F23" s="5"/>
      <c r="G23" s="5"/>
      <c r="H23" s="5"/>
      <c r="I23" s="5"/>
      <c r="J23" s="5"/>
      <c r="K23" s="5"/>
      <c r="L23" s="5"/>
      <c r="M23" s="5"/>
      <c r="N23" s="5"/>
      <c r="O23" s="5"/>
      <c r="P23" s="5"/>
      <c r="Q23" s="5"/>
      <c r="R23" s="5"/>
      <c r="S23" s="5"/>
      <c r="T23" s="5"/>
      <c r="U23" s="5"/>
      <c r="V23" s="5"/>
      <c r="W23" s="5"/>
      <c r="X23" s="5"/>
      <c r="Y23" s="5"/>
      <c r="Z23" s="5"/>
      <c r="AA23" s="5"/>
      <c r="AB23" s="5"/>
      <c r="AC23" s="5"/>
      <c r="AD23" s="5"/>
      <c r="AE23" s="5"/>
      <c r="AF23" s="5"/>
      <c r="AG23" s="5"/>
      <c r="AH23" s="5"/>
      <c r="AI23" s="5"/>
      <c r="AJ23" s="5"/>
      <c r="AK23" s="5"/>
      <c r="AL23" s="5"/>
      <c r="AM23" s="5"/>
      <c r="AN23" s="5"/>
    </row>
    <row r="24" spans="2:40" x14ac:dyDescent="0.3">
      <c r="B24" s="5"/>
      <c r="C24" s="5"/>
      <c r="D24" s="5"/>
      <c r="E24" s="5"/>
      <c r="F24" s="5"/>
      <c r="G24" s="5"/>
      <c r="H24" s="5"/>
      <c r="I24" s="5"/>
      <c r="J24" s="5"/>
      <c r="K24" s="5"/>
      <c r="L24" s="5"/>
      <c r="M24" s="5"/>
      <c r="N24" s="5"/>
      <c r="O24" s="5"/>
      <c r="P24" s="5"/>
      <c r="Q24" s="5"/>
      <c r="R24" s="5"/>
      <c r="S24" s="5"/>
      <c r="T24" s="5"/>
      <c r="U24" s="5"/>
      <c r="V24" s="5"/>
      <c r="W24" s="5"/>
      <c r="X24" s="5"/>
      <c r="Y24" s="5"/>
      <c r="Z24" s="5"/>
      <c r="AA24" s="5"/>
      <c r="AB24" s="5"/>
      <c r="AC24" s="5"/>
      <c r="AD24" s="5"/>
      <c r="AE24" s="5"/>
      <c r="AF24" s="5"/>
      <c r="AG24" s="5"/>
      <c r="AH24" s="5"/>
      <c r="AI24" s="5"/>
      <c r="AJ24" s="5"/>
      <c r="AK24" s="5"/>
      <c r="AL24" s="5"/>
      <c r="AM24" s="5"/>
      <c r="AN24" s="5"/>
    </row>
    <row r="25" spans="2:40" x14ac:dyDescent="0.3">
      <c r="B25" s="5"/>
      <c r="C25" s="5"/>
      <c r="D25" s="5"/>
      <c r="E25" s="5"/>
      <c r="F25" s="5"/>
      <c r="G25" s="5"/>
      <c r="H25" s="5"/>
      <c r="I25" s="5"/>
      <c r="J25" s="5"/>
      <c r="K25" s="5"/>
      <c r="L25" s="5"/>
      <c r="M25" s="5"/>
      <c r="N25" s="5"/>
      <c r="O25" s="5"/>
      <c r="P25" s="5"/>
      <c r="Q25" s="5"/>
      <c r="R25" s="5"/>
      <c r="S25" s="5"/>
      <c r="T25" s="5"/>
      <c r="U25" s="5"/>
      <c r="V25" s="5"/>
      <c r="W25" s="5"/>
      <c r="X25" s="5"/>
      <c r="Y25" s="5"/>
      <c r="Z25" s="5"/>
      <c r="AA25" s="5"/>
      <c r="AB25" s="5"/>
      <c r="AC25" s="5"/>
      <c r="AD25" s="5"/>
      <c r="AE25" s="5"/>
      <c r="AF25" s="5"/>
      <c r="AG25" s="5"/>
      <c r="AH25" s="5"/>
      <c r="AI25" s="5"/>
      <c r="AJ25" s="5"/>
      <c r="AK25" s="5"/>
      <c r="AL25" s="5"/>
      <c r="AM25" s="5"/>
      <c r="AN25" s="5"/>
    </row>
    <row r="26" spans="2:40" x14ac:dyDescent="0.3">
      <c r="B26" s="5"/>
      <c r="C26" s="5"/>
      <c r="D26" s="5"/>
      <c r="E26" s="5"/>
      <c r="F26" s="5"/>
      <c r="G26" s="5"/>
      <c r="H26" s="5"/>
      <c r="I26" s="5"/>
      <c r="J26" s="5"/>
      <c r="K26" s="5"/>
      <c r="L26" s="5"/>
      <c r="M26" s="5"/>
      <c r="N26" s="5"/>
      <c r="O26" s="5"/>
      <c r="P26" s="5"/>
      <c r="Q26" s="5"/>
      <c r="R26" s="5"/>
      <c r="S26" s="5"/>
      <c r="T26" s="5"/>
      <c r="U26" s="5"/>
      <c r="V26" s="5"/>
      <c r="W26" s="5"/>
      <c r="X26" s="5"/>
      <c r="Y26" s="5"/>
      <c r="Z26" s="5"/>
      <c r="AA26" s="5"/>
      <c r="AB26" s="5"/>
      <c r="AC26" s="5"/>
      <c r="AD26" s="5"/>
      <c r="AE26" s="5"/>
      <c r="AF26" s="5"/>
      <c r="AG26" s="5"/>
      <c r="AH26" s="5"/>
      <c r="AI26" s="5"/>
      <c r="AJ26" s="5"/>
      <c r="AK26" s="5"/>
      <c r="AL26" s="5"/>
      <c r="AM26" s="5"/>
      <c r="AN26" s="5"/>
    </row>
    <row r="27" spans="2:40" x14ac:dyDescent="0.3">
      <c r="B27" s="5"/>
      <c r="C27" s="5"/>
      <c r="D27" s="5"/>
      <c r="E27" s="5"/>
      <c r="F27" s="5"/>
      <c r="G27" s="5"/>
      <c r="H27" s="5"/>
      <c r="I27" s="5"/>
      <c r="J27" s="5"/>
      <c r="K27" s="5"/>
      <c r="L27" s="5"/>
      <c r="M27" s="5"/>
      <c r="N27" s="5"/>
      <c r="O27" s="5"/>
      <c r="P27" s="5"/>
      <c r="Q27" s="5"/>
      <c r="R27" s="5"/>
      <c r="S27" s="5"/>
      <c r="T27" s="5"/>
      <c r="U27" s="5"/>
      <c r="V27" s="5"/>
      <c r="W27" s="5"/>
      <c r="X27" s="5"/>
      <c r="Y27" s="5"/>
      <c r="Z27" s="5"/>
      <c r="AA27" s="5"/>
      <c r="AB27" s="5"/>
      <c r="AC27" s="5"/>
      <c r="AD27" s="5"/>
      <c r="AE27" s="5"/>
      <c r="AF27" s="5"/>
      <c r="AG27" s="5"/>
      <c r="AH27" s="5"/>
      <c r="AI27" s="5"/>
      <c r="AJ27" s="5"/>
      <c r="AK27" s="5"/>
      <c r="AL27" s="5"/>
      <c r="AM27" s="5"/>
      <c r="AN27" s="5"/>
    </row>
    <row r="28" spans="2:40" x14ac:dyDescent="0.3">
      <c r="B28" s="5"/>
      <c r="C28" s="5"/>
      <c r="D28" s="5"/>
      <c r="E28" s="5"/>
      <c r="F28" s="5"/>
      <c r="G28" s="5"/>
      <c r="H28" s="5"/>
      <c r="I28" s="5"/>
      <c r="J28" s="5"/>
      <c r="K28" s="5"/>
      <c r="L28" s="5"/>
      <c r="M28" s="5"/>
      <c r="N28" s="5"/>
      <c r="O28" s="5"/>
      <c r="P28" s="5"/>
      <c r="Q28" s="5"/>
      <c r="R28" s="5"/>
      <c r="S28" s="5"/>
      <c r="T28" s="5"/>
      <c r="U28" s="5"/>
      <c r="V28" s="5"/>
      <c r="W28" s="5"/>
      <c r="X28" s="5"/>
      <c r="Y28" s="5"/>
      <c r="Z28" s="5"/>
      <c r="AA28" s="5"/>
      <c r="AB28" s="5"/>
      <c r="AC28" s="5"/>
      <c r="AD28" s="5"/>
      <c r="AE28" s="5"/>
      <c r="AF28" s="5"/>
      <c r="AG28" s="5"/>
      <c r="AH28" s="5"/>
      <c r="AI28" s="5"/>
      <c r="AJ28" s="5"/>
      <c r="AK28" s="5"/>
      <c r="AL28" s="5"/>
      <c r="AM28" s="5"/>
      <c r="AN28" s="5"/>
    </row>
    <row r="29" spans="2:40" x14ac:dyDescent="0.3">
      <c r="B29" s="5"/>
      <c r="C29" s="5"/>
      <c r="D29" s="5"/>
      <c r="E29" s="5"/>
      <c r="F29" s="5"/>
      <c r="G29" s="5"/>
      <c r="H29" s="5"/>
      <c r="I29" s="5"/>
      <c r="J29" s="5"/>
      <c r="K29" s="5"/>
      <c r="L29" s="5"/>
      <c r="M29" s="5"/>
      <c r="N29" s="5"/>
      <c r="O29" s="5"/>
      <c r="P29" s="5"/>
      <c r="Q29" s="5"/>
      <c r="R29" s="5"/>
      <c r="S29" s="5"/>
      <c r="T29" s="5"/>
      <c r="U29" s="5"/>
      <c r="V29" s="5"/>
      <c r="W29" s="5"/>
      <c r="X29" s="5"/>
      <c r="Y29" s="5"/>
      <c r="Z29" s="5"/>
      <c r="AA29" s="5"/>
      <c r="AB29" s="5"/>
      <c r="AC29" s="5"/>
      <c r="AD29" s="5"/>
      <c r="AE29" s="5"/>
      <c r="AF29" s="5"/>
      <c r="AG29" s="5"/>
      <c r="AH29" s="5"/>
      <c r="AI29" s="5"/>
      <c r="AJ29" s="5"/>
      <c r="AK29" s="5"/>
      <c r="AL29" s="5"/>
      <c r="AM29" s="5"/>
      <c r="AN29" s="5"/>
    </row>
    <row r="30" spans="2:40" x14ac:dyDescent="0.3">
      <c r="B30" s="5"/>
      <c r="C30" s="5"/>
      <c r="D30" s="5"/>
      <c r="E30" s="5"/>
      <c r="F30" s="5"/>
      <c r="G30" s="5"/>
      <c r="H30" s="5"/>
      <c r="I30" s="5"/>
      <c r="J30" s="5"/>
      <c r="K30" s="5"/>
      <c r="L30" s="5"/>
      <c r="M30" s="5"/>
      <c r="N30" s="5"/>
      <c r="O30" s="5"/>
      <c r="P30" s="5"/>
      <c r="Q30" s="5"/>
      <c r="R30" s="5"/>
      <c r="S30" s="5"/>
      <c r="T30" s="5"/>
      <c r="U30" s="5"/>
      <c r="V30" s="5"/>
      <c r="W30" s="5"/>
      <c r="X30" s="5"/>
      <c r="Y30" s="5"/>
      <c r="Z30" s="5"/>
      <c r="AA30" s="5"/>
      <c r="AB30" s="5"/>
      <c r="AC30" s="5"/>
      <c r="AD30" s="5"/>
      <c r="AE30" s="5"/>
      <c r="AF30" s="5"/>
      <c r="AG30" s="5"/>
      <c r="AH30" s="5"/>
      <c r="AI30" s="5"/>
      <c r="AJ30" s="5"/>
      <c r="AK30" s="5"/>
      <c r="AL30" s="5"/>
      <c r="AM30" s="5"/>
      <c r="AN30" s="5"/>
    </row>
    <row r="31" spans="2:40" x14ac:dyDescent="0.3">
      <c r="B31" s="5"/>
      <c r="C31" s="5"/>
      <c r="D31" s="5"/>
      <c r="E31" s="5"/>
      <c r="F31" s="5"/>
      <c r="G31" s="5"/>
      <c r="H31" s="5"/>
      <c r="I31" s="5"/>
      <c r="J31" s="5"/>
      <c r="K31" s="5"/>
      <c r="L31" s="5"/>
      <c r="M31" s="5"/>
      <c r="N31" s="5"/>
      <c r="O31" s="5"/>
      <c r="P31" s="5"/>
      <c r="Q31" s="5"/>
      <c r="R31" s="5"/>
      <c r="S31" s="5"/>
      <c r="T31" s="5"/>
      <c r="U31" s="5"/>
      <c r="V31" s="5"/>
      <c r="W31" s="5"/>
      <c r="X31" s="5"/>
      <c r="Y31" s="5"/>
      <c r="Z31" s="5"/>
      <c r="AA31" s="5"/>
      <c r="AB31" s="5"/>
      <c r="AC31" s="5"/>
      <c r="AD31" s="5"/>
      <c r="AE31" s="5"/>
      <c r="AF31" s="5"/>
      <c r="AG31" s="5"/>
      <c r="AH31" s="5"/>
      <c r="AI31" s="5"/>
      <c r="AJ31" s="5"/>
      <c r="AK31" s="5"/>
      <c r="AL31" s="5"/>
      <c r="AM31" s="5"/>
      <c r="AN31" s="5"/>
    </row>
    <row r="32" spans="2:40" x14ac:dyDescent="0.3">
      <c r="B32" s="5"/>
      <c r="C32" s="5"/>
      <c r="D32" s="5"/>
      <c r="E32" s="5"/>
      <c r="F32" s="5"/>
      <c r="G32" s="5"/>
      <c r="H32" s="5"/>
      <c r="I32" s="5"/>
      <c r="J32" s="5"/>
      <c r="K32" s="5"/>
      <c r="L32" s="5"/>
      <c r="M32" s="5"/>
      <c r="N32" s="5"/>
      <c r="O32" s="5"/>
      <c r="P32" s="5"/>
      <c r="Q32" s="5"/>
      <c r="R32" s="5"/>
      <c r="S32" s="5"/>
      <c r="T32" s="5"/>
      <c r="U32" s="5"/>
      <c r="V32" s="5"/>
      <c r="W32" s="5"/>
      <c r="X32" s="5"/>
      <c r="Y32" s="5"/>
      <c r="Z32" s="5"/>
      <c r="AA32" s="5"/>
      <c r="AB32" s="5"/>
      <c r="AC32" s="5"/>
      <c r="AD32" s="5"/>
      <c r="AE32" s="5"/>
      <c r="AF32" s="5"/>
      <c r="AG32" s="5"/>
      <c r="AH32" s="5"/>
      <c r="AI32" s="5"/>
      <c r="AJ32" s="5"/>
      <c r="AK32" s="5"/>
      <c r="AL32" s="5"/>
      <c r="AM32" s="5"/>
      <c r="AN32" s="5"/>
    </row>
    <row r="33" spans="2:40" x14ac:dyDescent="0.3">
      <c r="B33" s="5"/>
      <c r="C33" s="5"/>
      <c r="D33" s="5"/>
      <c r="E33" s="5"/>
      <c r="F33" s="5"/>
      <c r="G33" s="5"/>
      <c r="H33" s="5"/>
      <c r="I33" s="5"/>
      <c r="J33" s="5"/>
      <c r="K33" s="5"/>
      <c r="L33" s="5"/>
      <c r="M33" s="5"/>
      <c r="N33" s="5"/>
      <c r="O33" s="5"/>
      <c r="P33" s="5"/>
      <c r="Q33" s="5"/>
      <c r="R33" s="5"/>
      <c r="S33" s="5"/>
      <c r="T33" s="5"/>
      <c r="U33" s="5"/>
      <c r="V33" s="5"/>
      <c r="W33" s="5"/>
      <c r="X33" s="5"/>
      <c r="Y33" s="5"/>
      <c r="Z33" s="5"/>
      <c r="AA33" s="5"/>
      <c r="AB33" s="5"/>
      <c r="AC33" s="5"/>
      <c r="AD33" s="5"/>
      <c r="AE33" s="5"/>
      <c r="AF33" s="5"/>
      <c r="AG33" s="5"/>
      <c r="AH33" s="5"/>
      <c r="AI33" s="5"/>
      <c r="AJ33" s="5"/>
      <c r="AK33" s="5"/>
      <c r="AL33" s="5"/>
      <c r="AM33" s="5"/>
      <c r="AN33" s="5"/>
    </row>
    <row r="34" spans="2:40" x14ac:dyDescent="0.3">
      <c r="B34" s="5"/>
      <c r="C34" s="5"/>
      <c r="D34" s="5"/>
      <c r="E34" s="5"/>
      <c r="F34" s="5"/>
      <c r="G34" s="5"/>
      <c r="H34" s="5"/>
      <c r="I34" s="5"/>
      <c r="J34" s="5"/>
      <c r="K34" s="5"/>
      <c r="L34" s="5"/>
      <c r="M34" s="5"/>
      <c r="N34" s="5"/>
      <c r="O34" s="5"/>
      <c r="P34" s="5"/>
      <c r="Q34" s="5"/>
      <c r="R34" s="5"/>
      <c r="S34" s="5"/>
      <c r="T34" s="5"/>
      <c r="U34" s="5"/>
      <c r="V34" s="5"/>
      <c r="W34" s="5"/>
      <c r="X34" s="5"/>
      <c r="Y34" s="5"/>
      <c r="Z34" s="5"/>
      <c r="AA34" s="5"/>
      <c r="AB34" s="5"/>
      <c r="AC34" s="5"/>
      <c r="AD34" s="5"/>
      <c r="AE34" s="5"/>
      <c r="AF34" s="5"/>
      <c r="AG34" s="5"/>
      <c r="AH34" s="5"/>
      <c r="AI34" s="5"/>
      <c r="AJ34" s="5"/>
      <c r="AK34" s="5"/>
      <c r="AL34" s="5"/>
      <c r="AM34" s="5"/>
      <c r="AN34" s="5"/>
    </row>
    <row r="35" spans="2:40" x14ac:dyDescent="0.3">
      <c r="B35" s="5"/>
      <c r="C35" s="5"/>
      <c r="D35" s="5"/>
      <c r="E35" s="5"/>
      <c r="F35" s="5"/>
      <c r="G35" s="5"/>
      <c r="H35" s="5"/>
      <c r="I35" s="5"/>
      <c r="J35" s="5"/>
      <c r="K35" s="5"/>
      <c r="L35" s="5"/>
      <c r="M35" s="5"/>
      <c r="N35" s="5"/>
      <c r="O35" s="5"/>
      <c r="P35" s="5"/>
      <c r="Q35" s="5"/>
      <c r="R35" s="5"/>
      <c r="S35" s="5"/>
      <c r="T35" s="5"/>
      <c r="U35" s="5"/>
      <c r="V35" s="5"/>
      <c r="W35" s="5"/>
      <c r="X35" s="5"/>
      <c r="Y35" s="5"/>
      <c r="Z35" s="5"/>
      <c r="AA35" s="5"/>
      <c r="AB35" s="5"/>
      <c r="AC35" s="5"/>
      <c r="AD35" s="5"/>
      <c r="AE35" s="5"/>
      <c r="AF35" s="5"/>
      <c r="AG35" s="5"/>
      <c r="AH35" s="5"/>
      <c r="AI35" s="5"/>
      <c r="AJ35" s="5"/>
      <c r="AK35" s="5"/>
      <c r="AL35" s="5"/>
      <c r="AM35" s="5"/>
      <c r="AN35" s="5"/>
    </row>
    <row r="36" spans="2:40" x14ac:dyDescent="0.3">
      <c r="B36" s="5"/>
      <c r="C36" s="5"/>
      <c r="D36" s="5"/>
      <c r="E36" s="5"/>
      <c r="F36" s="5"/>
      <c r="G36" s="5"/>
      <c r="H36" s="5"/>
      <c r="I36" s="5"/>
      <c r="J36" s="5"/>
      <c r="K36" s="5"/>
      <c r="L36" s="5"/>
      <c r="M36" s="5"/>
      <c r="N36" s="5"/>
      <c r="O36" s="5"/>
      <c r="P36" s="5"/>
      <c r="Q36" s="5"/>
      <c r="R36" s="5"/>
      <c r="S36" s="5"/>
      <c r="T36" s="5"/>
      <c r="U36" s="5"/>
      <c r="V36" s="5"/>
      <c r="W36" s="5"/>
      <c r="X36" s="5"/>
      <c r="Y36" s="5"/>
      <c r="Z36" s="5"/>
      <c r="AA36" s="5"/>
      <c r="AB36" s="5"/>
      <c r="AC36" s="5"/>
      <c r="AD36" s="5"/>
      <c r="AE36" s="5"/>
      <c r="AF36" s="5"/>
      <c r="AG36" s="5"/>
      <c r="AH36" s="5"/>
      <c r="AI36" s="5"/>
      <c r="AJ36" s="5"/>
      <c r="AK36" s="5"/>
      <c r="AL36" s="5"/>
      <c r="AM36" s="5"/>
      <c r="AN36" s="5"/>
    </row>
    <row r="37" spans="2:40" x14ac:dyDescent="0.3">
      <c r="B37" s="5"/>
      <c r="C37" s="5"/>
      <c r="D37" s="5"/>
      <c r="E37" s="5"/>
      <c r="F37" s="5"/>
      <c r="G37" s="5"/>
      <c r="H37" s="5"/>
      <c r="I37" s="5"/>
      <c r="J37" s="5"/>
      <c r="K37" s="5"/>
      <c r="L37" s="5"/>
      <c r="M37" s="5"/>
      <c r="N37" s="5"/>
      <c r="O37" s="5"/>
      <c r="P37" s="5"/>
      <c r="Q37" s="5"/>
      <c r="R37" s="5"/>
      <c r="S37" s="5"/>
      <c r="T37" s="5"/>
      <c r="U37" s="5"/>
      <c r="V37" s="5"/>
      <c r="W37" s="5"/>
      <c r="X37" s="5"/>
      <c r="Y37" s="5"/>
      <c r="Z37" s="5"/>
      <c r="AA37" s="5"/>
      <c r="AB37" s="5"/>
      <c r="AC37" s="5"/>
      <c r="AD37" s="5"/>
      <c r="AE37" s="5"/>
      <c r="AF37" s="5"/>
      <c r="AG37" s="5"/>
      <c r="AH37" s="5"/>
      <c r="AI37" s="5"/>
      <c r="AJ37" s="5"/>
      <c r="AK37" s="5"/>
      <c r="AL37" s="5"/>
      <c r="AM37" s="5"/>
      <c r="AN37" s="5"/>
    </row>
    <row r="38" spans="2:40" x14ac:dyDescent="0.3">
      <c r="B38" s="5"/>
      <c r="C38" s="5"/>
      <c r="D38" s="5"/>
      <c r="E38" s="5"/>
      <c r="F38" s="5"/>
      <c r="G38" s="5"/>
      <c r="H38" s="5"/>
      <c r="I38" s="5"/>
      <c r="J38" s="5"/>
      <c r="K38" s="5"/>
      <c r="L38" s="5"/>
      <c r="M38" s="5"/>
      <c r="N38" s="5"/>
      <c r="O38" s="5"/>
      <c r="P38" s="5"/>
      <c r="Q38" s="5"/>
      <c r="R38" s="5"/>
      <c r="S38" s="5"/>
      <c r="T38" s="5"/>
      <c r="U38" s="5"/>
      <c r="V38" s="5"/>
      <c r="W38" s="5"/>
      <c r="X38" s="5"/>
      <c r="Y38" s="5"/>
      <c r="Z38" s="5"/>
      <c r="AA38" s="5"/>
      <c r="AB38" s="5"/>
      <c r="AC38" s="5"/>
      <c r="AD38" s="5"/>
      <c r="AE38" s="5"/>
      <c r="AF38" s="5"/>
      <c r="AG38" s="5"/>
      <c r="AH38" s="5"/>
      <c r="AI38" s="5"/>
      <c r="AJ38" s="5"/>
      <c r="AK38" s="5"/>
      <c r="AL38" s="5"/>
      <c r="AM38" s="5"/>
      <c r="AN38" s="5"/>
    </row>
    <row r="39" spans="2:40" x14ac:dyDescent="0.3">
      <c r="B39" s="5"/>
      <c r="C39" s="5"/>
      <c r="D39" s="5"/>
      <c r="E39" s="5"/>
      <c r="F39" s="5"/>
      <c r="G39" s="5"/>
      <c r="H39" s="5"/>
      <c r="I39" s="5"/>
      <c r="J39" s="5"/>
      <c r="K39" s="5"/>
      <c r="L39" s="5"/>
      <c r="M39" s="5"/>
      <c r="N39" s="5"/>
      <c r="O39" s="5"/>
      <c r="P39" s="5"/>
      <c r="Q39" s="5"/>
      <c r="R39" s="5"/>
      <c r="S39" s="5"/>
      <c r="T39" s="5"/>
      <c r="U39" s="5"/>
      <c r="V39" s="5"/>
      <c r="W39" s="5"/>
      <c r="X39" s="5"/>
      <c r="Y39" s="5"/>
      <c r="Z39" s="5"/>
      <c r="AA39" s="5"/>
      <c r="AB39" s="5"/>
      <c r="AC39" s="5"/>
      <c r="AD39" s="5"/>
      <c r="AE39" s="5"/>
      <c r="AF39" s="5"/>
      <c r="AG39" s="5"/>
      <c r="AH39" s="5"/>
      <c r="AI39" s="5"/>
      <c r="AJ39" s="5"/>
      <c r="AK39" s="5"/>
      <c r="AL39" s="5"/>
      <c r="AM39" s="5"/>
      <c r="AN39" s="5"/>
    </row>
    <row r="40" spans="2:40" x14ac:dyDescent="0.3">
      <c r="B40" s="5"/>
      <c r="C40" s="5"/>
      <c r="D40" s="5"/>
      <c r="E40" s="5"/>
      <c r="F40" s="5"/>
      <c r="G40" s="5"/>
      <c r="H40" s="5"/>
      <c r="I40" s="5"/>
      <c r="J40" s="5"/>
      <c r="K40" s="5"/>
      <c r="L40" s="5"/>
      <c r="M40" s="5"/>
      <c r="N40" s="5"/>
      <c r="O40" s="5"/>
      <c r="P40" s="5"/>
      <c r="Q40" s="5"/>
      <c r="R40" s="5"/>
      <c r="S40" s="5"/>
      <c r="T40" s="5"/>
      <c r="U40" s="5"/>
      <c r="V40" s="5"/>
      <c r="W40" s="5"/>
      <c r="X40" s="5"/>
      <c r="Y40" s="5"/>
      <c r="Z40" s="5"/>
      <c r="AA40" s="5"/>
      <c r="AB40" s="5"/>
      <c r="AC40" s="5"/>
      <c r="AD40" s="5"/>
      <c r="AE40" s="5"/>
      <c r="AF40" s="5"/>
      <c r="AG40" s="5"/>
      <c r="AH40" s="5"/>
      <c r="AI40" s="5"/>
      <c r="AJ40" s="5"/>
      <c r="AK40" s="5"/>
      <c r="AL40" s="5"/>
      <c r="AM40" s="5"/>
      <c r="AN40" s="5"/>
    </row>
    <row r="41" spans="2:40" x14ac:dyDescent="0.3">
      <c r="B41" s="5"/>
      <c r="C41" s="5"/>
      <c r="D41" s="5"/>
      <c r="E41" s="5"/>
      <c r="F41" s="5"/>
      <c r="G41" s="5"/>
      <c r="H41" s="5"/>
      <c r="I41" s="5"/>
      <c r="J41" s="5"/>
      <c r="K41" s="5"/>
      <c r="L41" s="5"/>
      <c r="M41" s="5"/>
      <c r="N41" s="5"/>
      <c r="O41" s="5"/>
      <c r="P41" s="5"/>
      <c r="Q41" s="5"/>
      <c r="R41" s="5"/>
      <c r="S41" s="5"/>
      <c r="T41" s="5"/>
      <c r="U41" s="5"/>
      <c r="V41" s="5"/>
      <c r="W41" s="5"/>
      <c r="X41" s="5"/>
      <c r="Y41" s="5"/>
      <c r="Z41" s="5"/>
      <c r="AA41" s="5"/>
      <c r="AB41" s="5"/>
      <c r="AC41" s="5"/>
      <c r="AD41" s="5"/>
      <c r="AE41" s="5"/>
      <c r="AF41" s="5"/>
      <c r="AG41" s="5"/>
      <c r="AH41" s="5"/>
      <c r="AI41" s="5"/>
      <c r="AJ41" s="5"/>
      <c r="AK41" s="5"/>
      <c r="AL41" s="5"/>
      <c r="AM41" s="5"/>
      <c r="AN41" s="5"/>
    </row>
    <row r="42" spans="2:40" x14ac:dyDescent="0.3">
      <c r="B42" s="5"/>
      <c r="C42" s="5"/>
      <c r="D42" s="5"/>
      <c r="E42" s="5"/>
      <c r="F42" s="5"/>
      <c r="G42" s="5"/>
      <c r="H42" s="5"/>
      <c r="I42" s="5"/>
      <c r="J42" s="5"/>
      <c r="K42" s="5"/>
      <c r="L42" s="5"/>
      <c r="M42" s="5"/>
      <c r="N42" s="5"/>
      <c r="O42" s="5"/>
      <c r="P42" s="5"/>
      <c r="Q42" s="5"/>
      <c r="R42" s="5"/>
      <c r="S42" s="5"/>
      <c r="T42" s="5"/>
      <c r="U42" s="5"/>
      <c r="V42" s="5"/>
      <c r="W42" s="5"/>
      <c r="X42" s="5"/>
      <c r="Y42" s="5"/>
      <c r="Z42" s="5"/>
      <c r="AA42" s="5"/>
      <c r="AB42" s="5"/>
      <c r="AC42" s="5"/>
      <c r="AD42" s="5"/>
      <c r="AE42" s="5"/>
      <c r="AF42" s="5"/>
      <c r="AG42" s="5"/>
      <c r="AH42" s="5"/>
      <c r="AI42" s="5"/>
      <c r="AJ42" s="5"/>
      <c r="AK42" s="5"/>
      <c r="AL42" s="5"/>
      <c r="AM42" s="5"/>
      <c r="AN42" s="5"/>
    </row>
    <row r="43" spans="2:40" x14ac:dyDescent="0.3">
      <c r="B43" s="5"/>
      <c r="C43" s="5"/>
      <c r="D43" s="5"/>
      <c r="E43" s="5"/>
      <c r="F43" s="5"/>
      <c r="G43" s="5"/>
      <c r="H43" s="5"/>
      <c r="I43" s="5"/>
      <c r="J43" s="5"/>
      <c r="K43" s="5"/>
      <c r="L43" s="5"/>
      <c r="M43" s="5"/>
      <c r="N43" s="5"/>
      <c r="O43" s="5"/>
      <c r="P43" s="5"/>
      <c r="Q43" s="5"/>
      <c r="R43" s="5"/>
      <c r="S43" s="5"/>
      <c r="T43" s="5"/>
      <c r="U43" s="5"/>
      <c r="V43" s="5"/>
      <c r="W43" s="5"/>
      <c r="X43" s="5"/>
      <c r="Y43" s="5"/>
      <c r="Z43" s="5"/>
      <c r="AA43" s="5"/>
      <c r="AB43" s="5"/>
      <c r="AC43" s="5"/>
      <c r="AD43" s="5"/>
      <c r="AE43" s="5"/>
      <c r="AF43" s="5"/>
      <c r="AG43" s="5"/>
      <c r="AH43" s="5"/>
      <c r="AI43" s="5"/>
      <c r="AJ43" s="5"/>
      <c r="AK43" s="5"/>
      <c r="AL43" s="5"/>
      <c r="AM43" s="5"/>
      <c r="AN43" s="5"/>
    </row>
    <row r="44" spans="2:40" x14ac:dyDescent="0.3">
      <c r="B44" s="5"/>
      <c r="C44" s="5"/>
      <c r="D44" s="5"/>
      <c r="E44" s="5"/>
      <c r="F44" s="5"/>
      <c r="G44" s="5"/>
      <c r="H44" s="5"/>
      <c r="I44" s="5"/>
      <c r="J44" s="5"/>
      <c r="K44" s="5"/>
      <c r="L44" s="5"/>
      <c r="M44" s="5"/>
      <c r="N44" s="5"/>
      <c r="O44" s="5"/>
      <c r="P44" s="5"/>
      <c r="Q44" s="5"/>
      <c r="R44" s="5"/>
      <c r="S44" s="5"/>
      <c r="T44" s="5"/>
      <c r="U44" s="5"/>
      <c r="V44" s="5"/>
      <c r="W44" s="5"/>
      <c r="X44" s="5"/>
      <c r="Y44" s="5"/>
      <c r="Z44" s="5"/>
      <c r="AA44" s="5"/>
      <c r="AB44" s="5"/>
      <c r="AC44" s="5"/>
      <c r="AD44" s="5"/>
      <c r="AE44" s="5"/>
      <c r="AF44" s="5"/>
      <c r="AG44" s="5"/>
      <c r="AH44" s="5"/>
      <c r="AI44" s="5"/>
      <c r="AJ44" s="5"/>
      <c r="AK44" s="5"/>
      <c r="AL44" s="5"/>
      <c r="AM44" s="5"/>
      <c r="AN44" s="5"/>
    </row>
    <row r="45" spans="2:40" x14ac:dyDescent="0.3">
      <c r="B45" s="5"/>
      <c r="C45" s="5"/>
      <c r="D45" s="5"/>
      <c r="E45" s="5"/>
      <c r="F45" s="5"/>
      <c r="G45" s="5"/>
      <c r="H45" s="5"/>
      <c r="I45" s="5"/>
      <c r="J45" s="5"/>
      <c r="K45" s="5"/>
      <c r="L45" s="5"/>
      <c r="M45" s="5"/>
      <c r="N45" s="5"/>
      <c r="O45" s="5"/>
      <c r="P45" s="5"/>
      <c r="Q45" s="5"/>
      <c r="R45" s="5"/>
      <c r="S45" s="5"/>
      <c r="T45" s="5"/>
      <c r="U45" s="5"/>
      <c r="V45" s="5"/>
      <c r="W45" s="5"/>
      <c r="X45" s="5"/>
      <c r="Y45" s="5"/>
      <c r="Z45" s="5"/>
      <c r="AA45" s="5"/>
      <c r="AB45" s="5"/>
      <c r="AC45" s="5"/>
      <c r="AD45" s="5"/>
      <c r="AE45" s="5"/>
      <c r="AF45" s="5"/>
      <c r="AG45" s="5"/>
      <c r="AH45" s="5"/>
      <c r="AI45" s="5"/>
      <c r="AJ45" s="5"/>
      <c r="AK45" s="5"/>
      <c r="AL45" s="5"/>
      <c r="AM45" s="5"/>
      <c r="AN45" s="5"/>
    </row>
    <row r="46" spans="2:40" x14ac:dyDescent="0.3">
      <c r="B46" s="5"/>
      <c r="C46" s="5"/>
      <c r="D46" s="5"/>
      <c r="E46" s="5"/>
      <c r="F46" s="5"/>
      <c r="G46" s="5"/>
      <c r="H46" s="5"/>
      <c r="I46" s="5"/>
      <c r="J46" s="5"/>
      <c r="K46" s="5"/>
      <c r="L46" s="5"/>
      <c r="M46" s="5"/>
      <c r="N46" s="5"/>
      <c r="O46" s="5"/>
      <c r="P46" s="5"/>
      <c r="Q46" s="5"/>
      <c r="R46" s="5"/>
      <c r="S46" s="5"/>
      <c r="T46" s="5"/>
      <c r="U46" s="5"/>
      <c r="V46" s="5"/>
      <c r="W46" s="5"/>
      <c r="X46" s="5"/>
      <c r="Y46" s="5"/>
      <c r="Z46" s="5"/>
      <c r="AA46" s="5"/>
      <c r="AB46" s="5"/>
      <c r="AC46" s="5"/>
      <c r="AD46" s="5"/>
      <c r="AE46" s="5"/>
      <c r="AF46" s="5"/>
      <c r="AG46" s="5"/>
      <c r="AH46" s="5"/>
      <c r="AI46" s="5"/>
      <c r="AJ46" s="5"/>
      <c r="AK46" s="5"/>
      <c r="AL46" s="5"/>
      <c r="AM46" s="5"/>
      <c r="AN46" s="5"/>
    </row>
    <row r="47" spans="2:40" x14ac:dyDescent="0.3">
      <c r="B47" s="5"/>
      <c r="C47" s="5"/>
      <c r="D47" s="5"/>
      <c r="E47" s="5"/>
      <c r="F47" s="5"/>
      <c r="G47" s="5"/>
      <c r="H47" s="5"/>
      <c r="I47" s="5"/>
      <c r="J47" s="5"/>
      <c r="K47" s="5"/>
      <c r="L47" s="5"/>
      <c r="M47" s="5"/>
      <c r="N47" s="5"/>
      <c r="O47" s="5"/>
      <c r="P47" s="5"/>
      <c r="Q47" s="5"/>
      <c r="R47" s="5"/>
      <c r="S47" s="5"/>
      <c r="T47" s="5"/>
      <c r="U47" s="5"/>
      <c r="V47" s="5"/>
      <c r="W47" s="5"/>
      <c r="X47" s="5"/>
      <c r="Y47" s="5"/>
      <c r="Z47" s="5"/>
      <c r="AA47" s="5"/>
      <c r="AB47" s="5"/>
      <c r="AC47" s="5"/>
      <c r="AD47" s="5"/>
      <c r="AE47" s="5"/>
      <c r="AF47" s="5"/>
      <c r="AG47" s="5"/>
      <c r="AH47" s="5"/>
      <c r="AI47" s="5"/>
      <c r="AJ47" s="5"/>
      <c r="AK47" s="5"/>
      <c r="AL47" s="5"/>
      <c r="AM47" s="5"/>
      <c r="AN47" s="5"/>
    </row>
    <row r="48" spans="2:40" x14ac:dyDescent="0.3">
      <c r="B48" s="5"/>
      <c r="C48" s="5"/>
      <c r="D48" s="5"/>
      <c r="E48" s="5"/>
      <c r="F48" s="5"/>
      <c r="G48" s="5"/>
      <c r="H48" s="5"/>
      <c r="I48" s="5"/>
      <c r="J48" s="5"/>
      <c r="K48" s="5"/>
      <c r="L48" s="5"/>
      <c r="M48" s="5"/>
      <c r="N48" s="5"/>
      <c r="O48" s="5"/>
      <c r="P48" s="5"/>
      <c r="Q48" s="5"/>
      <c r="R48" s="5"/>
      <c r="S48" s="5"/>
      <c r="T48" s="5"/>
      <c r="U48" s="5"/>
      <c r="V48" s="5"/>
      <c r="W48" s="5"/>
      <c r="X48" s="5"/>
      <c r="Y48" s="5"/>
      <c r="Z48" s="5"/>
      <c r="AA48" s="5"/>
      <c r="AB48" s="5"/>
      <c r="AC48" s="5"/>
      <c r="AD48" s="5"/>
      <c r="AE48" s="5"/>
      <c r="AF48" s="5"/>
      <c r="AG48" s="5"/>
      <c r="AH48" s="5"/>
      <c r="AI48" s="5"/>
      <c r="AJ48" s="5"/>
      <c r="AK48" s="5"/>
      <c r="AL48" s="5"/>
      <c r="AM48" s="5"/>
      <c r="AN48" s="5"/>
    </row>
    <row r="49" spans="2:40" x14ac:dyDescent="0.3">
      <c r="B49" s="5"/>
      <c r="C49" s="5"/>
      <c r="D49" s="5"/>
      <c r="E49" s="5"/>
      <c r="F49" s="5"/>
      <c r="G49" s="5"/>
      <c r="H49" s="5"/>
      <c r="I49" s="5"/>
      <c r="J49" s="5"/>
      <c r="K49" s="5"/>
      <c r="L49" s="5"/>
      <c r="M49" s="5"/>
      <c r="N49" s="5"/>
      <c r="O49" s="5"/>
      <c r="P49" s="5"/>
      <c r="Q49" s="5"/>
      <c r="R49" s="5"/>
      <c r="S49" s="5"/>
      <c r="T49" s="5"/>
      <c r="U49" s="5"/>
      <c r="V49" s="5"/>
      <c r="W49" s="5"/>
      <c r="X49" s="5"/>
      <c r="Y49" s="5"/>
      <c r="Z49" s="5"/>
      <c r="AA49" s="5"/>
      <c r="AB49" s="5"/>
      <c r="AC49" s="5"/>
      <c r="AD49" s="5"/>
      <c r="AE49" s="5"/>
      <c r="AF49" s="5"/>
      <c r="AG49" s="5"/>
      <c r="AH49" s="5"/>
      <c r="AI49" s="5"/>
      <c r="AJ49" s="5"/>
      <c r="AK49" s="5"/>
      <c r="AL49" s="5"/>
      <c r="AM49" s="5"/>
      <c r="AN49" s="5"/>
    </row>
    <row r="50" spans="2:40" x14ac:dyDescent="0.3">
      <c r="B50" s="5"/>
      <c r="C50" s="5"/>
      <c r="D50" s="5"/>
      <c r="E50" s="5"/>
      <c r="F50" s="5"/>
      <c r="G50" s="5"/>
      <c r="H50" s="5"/>
      <c r="I50" s="5"/>
      <c r="J50" s="5"/>
      <c r="K50" s="5"/>
      <c r="L50" s="5"/>
      <c r="M50" s="5"/>
      <c r="N50" s="5"/>
      <c r="O50" s="5"/>
      <c r="P50" s="5"/>
      <c r="Q50" s="5"/>
      <c r="R50" s="5"/>
      <c r="S50" s="5"/>
      <c r="T50" s="5"/>
      <c r="U50" s="5"/>
      <c r="V50" s="5"/>
      <c r="W50" s="5"/>
      <c r="X50" s="5"/>
      <c r="Y50" s="5"/>
      <c r="Z50" s="5"/>
      <c r="AA50" s="5"/>
      <c r="AB50" s="5"/>
      <c r="AC50" s="5"/>
      <c r="AD50" s="5"/>
      <c r="AE50" s="5"/>
      <c r="AF50" s="5"/>
      <c r="AG50" s="5"/>
      <c r="AH50" s="5"/>
      <c r="AI50" s="5"/>
      <c r="AJ50" s="5"/>
      <c r="AK50" s="5"/>
      <c r="AL50" s="5"/>
      <c r="AM50" s="5"/>
      <c r="AN50" s="5"/>
    </row>
    <row r="51" spans="2:40" x14ac:dyDescent="0.3">
      <c r="B51" s="5"/>
      <c r="C51" s="5"/>
      <c r="D51" s="5"/>
      <c r="E51" s="5"/>
      <c r="F51" s="5"/>
      <c r="G51" s="5"/>
      <c r="H51" s="5"/>
      <c r="I51" s="5"/>
      <c r="J51" s="5"/>
      <c r="K51" s="5"/>
      <c r="L51" s="5"/>
      <c r="M51" s="5"/>
      <c r="N51" s="5"/>
      <c r="O51" s="5"/>
      <c r="P51" s="5"/>
      <c r="Q51" s="5"/>
      <c r="R51" s="5"/>
      <c r="S51" s="5"/>
      <c r="T51" s="5"/>
      <c r="U51" s="5"/>
      <c r="V51" s="5"/>
      <c r="W51" s="5"/>
      <c r="X51" s="5"/>
      <c r="Y51" s="5"/>
      <c r="Z51" s="5"/>
      <c r="AA51" s="5"/>
      <c r="AB51" s="5"/>
      <c r="AC51" s="5"/>
      <c r="AD51" s="5"/>
      <c r="AE51" s="5"/>
      <c r="AF51" s="5"/>
      <c r="AG51" s="5"/>
      <c r="AH51" s="5"/>
      <c r="AI51" s="5"/>
      <c r="AJ51" s="5"/>
      <c r="AK51" s="5"/>
      <c r="AL51" s="5"/>
      <c r="AM51" s="5"/>
      <c r="AN51" s="5"/>
    </row>
    <row r="52" spans="2:40" x14ac:dyDescent="0.3">
      <c r="B52" s="5"/>
      <c r="C52" s="5"/>
      <c r="D52" s="5"/>
      <c r="E52" s="5"/>
      <c r="F52" s="5"/>
      <c r="G52" s="5"/>
      <c r="H52" s="5"/>
      <c r="I52" s="5"/>
      <c r="J52" s="5"/>
      <c r="K52" s="5"/>
      <c r="L52" s="5"/>
      <c r="M52" s="5"/>
      <c r="N52" s="5"/>
      <c r="O52" s="5"/>
      <c r="P52" s="5"/>
      <c r="Q52" s="5"/>
      <c r="R52" s="5"/>
      <c r="S52" s="5"/>
      <c r="T52" s="5"/>
      <c r="U52" s="5"/>
      <c r="V52" s="5"/>
      <c r="W52" s="5"/>
      <c r="X52" s="5"/>
      <c r="Y52" s="5"/>
      <c r="Z52" s="5"/>
      <c r="AA52" s="5"/>
      <c r="AB52" s="5"/>
      <c r="AC52" s="5"/>
      <c r="AD52" s="5"/>
      <c r="AE52" s="5"/>
      <c r="AF52" s="5"/>
      <c r="AG52" s="5"/>
      <c r="AH52" s="5"/>
      <c r="AI52" s="5"/>
      <c r="AJ52" s="5"/>
      <c r="AK52" s="5"/>
      <c r="AL52" s="5"/>
      <c r="AM52" s="5"/>
      <c r="AN52" s="5"/>
    </row>
    <row r="53" spans="2:40" x14ac:dyDescent="0.3">
      <c r="B53" s="5"/>
      <c r="C53" s="5"/>
      <c r="D53" s="5"/>
      <c r="E53" s="5"/>
      <c r="F53" s="5"/>
      <c r="G53" s="5"/>
      <c r="H53" s="5"/>
      <c r="I53" s="5"/>
      <c r="J53" s="5"/>
      <c r="K53" s="5"/>
      <c r="L53" s="5"/>
      <c r="M53" s="5"/>
      <c r="N53" s="5"/>
      <c r="O53" s="5"/>
      <c r="P53" s="5"/>
      <c r="Q53" s="5"/>
      <c r="R53" s="5"/>
      <c r="S53" s="5"/>
      <c r="T53" s="5"/>
      <c r="U53" s="5"/>
      <c r="V53" s="5"/>
      <c r="W53" s="5"/>
      <c r="X53" s="5"/>
      <c r="Y53" s="5"/>
      <c r="Z53" s="5"/>
      <c r="AA53" s="5"/>
      <c r="AB53" s="5"/>
      <c r="AC53" s="5"/>
      <c r="AD53" s="5"/>
      <c r="AE53" s="5"/>
      <c r="AF53" s="5"/>
      <c r="AG53" s="5"/>
      <c r="AH53" s="5"/>
      <c r="AI53" s="5"/>
      <c r="AJ53" s="5"/>
      <c r="AK53" s="5"/>
      <c r="AL53" s="5"/>
      <c r="AM53" s="5"/>
      <c r="AN53" s="5"/>
    </row>
    <row r="54" spans="2:40" x14ac:dyDescent="0.3">
      <c r="B54" s="5"/>
      <c r="C54" s="5"/>
      <c r="D54" s="5"/>
      <c r="E54" s="5"/>
      <c r="F54" s="5"/>
      <c r="G54" s="5"/>
      <c r="H54" s="5"/>
      <c r="I54" s="5"/>
      <c r="J54" s="5"/>
      <c r="K54" s="5"/>
      <c r="L54" s="5"/>
      <c r="M54" s="5"/>
      <c r="N54" s="5"/>
      <c r="O54" s="5"/>
      <c r="P54" s="5"/>
      <c r="Q54" s="5"/>
      <c r="R54" s="5"/>
      <c r="S54" s="5"/>
      <c r="T54" s="5"/>
      <c r="U54" s="5"/>
      <c r="V54" s="5"/>
      <c r="W54" s="5"/>
      <c r="X54" s="5"/>
      <c r="Y54" s="5"/>
      <c r="Z54" s="5"/>
      <c r="AA54" s="5"/>
      <c r="AB54" s="5"/>
      <c r="AC54" s="5"/>
      <c r="AD54" s="5"/>
      <c r="AE54" s="5"/>
      <c r="AF54" s="5"/>
      <c r="AG54" s="5"/>
      <c r="AH54" s="5"/>
      <c r="AI54" s="5"/>
      <c r="AJ54" s="5"/>
      <c r="AK54" s="5"/>
      <c r="AL54" s="5"/>
      <c r="AM54" s="5"/>
      <c r="AN54" s="5"/>
    </row>
    <row r="55" spans="2:40" x14ac:dyDescent="0.3">
      <c r="B55" s="5"/>
      <c r="C55" s="5"/>
      <c r="D55" s="5"/>
      <c r="E55" s="5"/>
      <c r="F55" s="5"/>
      <c r="G55" s="5"/>
      <c r="H55" s="5"/>
      <c r="I55" s="5"/>
      <c r="J55" s="5"/>
      <c r="K55" s="5"/>
      <c r="L55" s="5"/>
      <c r="M55" s="5"/>
      <c r="N55" s="5"/>
      <c r="O55" s="5"/>
      <c r="P55" s="5"/>
      <c r="Q55" s="5"/>
      <c r="R55" s="5"/>
      <c r="S55" s="5"/>
      <c r="T55" s="5"/>
      <c r="U55" s="5"/>
      <c r="V55" s="5"/>
      <c r="W55" s="5"/>
      <c r="X55" s="5"/>
      <c r="Y55" s="5"/>
      <c r="Z55" s="5"/>
      <c r="AA55" s="5"/>
      <c r="AB55" s="5"/>
      <c r="AC55" s="5"/>
      <c r="AD55" s="5"/>
      <c r="AE55" s="5"/>
      <c r="AF55" s="5"/>
      <c r="AG55" s="5"/>
      <c r="AH55" s="5"/>
      <c r="AI55" s="5"/>
      <c r="AJ55" s="5"/>
      <c r="AK55" s="5"/>
      <c r="AL55" s="5"/>
      <c r="AM55" s="5"/>
      <c r="AN55" s="5"/>
    </row>
    <row r="56" spans="2:40" x14ac:dyDescent="0.3">
      <c r="B56" s="5"/>
      <c r="C56" s="5"/>
      <c r="D56" s="5"/>
      <c r="E56" s="5"/>
      <c r="F56" s="5"/>
      <c r="G56" s="5"/>
      <c r="H56" s="5"/>
      <c r="I56" s="5"/>
      <c r="J56" s="5"/>
      <c r="K56" s="5"/>
      <c r="L56" s="5"/>
      <c r="M56" s="5"/>
      <c r="N56" s="5"/>
      <c r="O56" s="5"/>
      <c r="P56" s="5"/>
      <c r="Q56" s="5"/>
      <c r="R56" s="5"/>
      <c r="S56" s="5"/>
      <c r="T56" s="5"/>
      <c r="U56" s="5"/>
      <c r="V56" s="5"/>
      <c r="W56" s="5"/>
      <c r="X56" s="5"/>
      <c r="Y56" s="5"/>
      <c r="Z56" s="5"/>
      <c r="AA56" s="5"/>
      <c r="AB56" s="5"/>
      <c r="AC56" s="5"/>
      <c r="AD56" s="5"/>
      <c r="AE56" s="5"/>
      <c r="AF56" s="5"/>
      <c r="AG56" s="5"/>
      <c r="AH56" s="5"/>
      <c r="AI56" s="5"/>
      <c r="AJ56" s="5"/>
      <c r="AK56" s="5"/>
      <c r="AL56" s="5"/>
      <c r="AM56" s="5"/>
      <c r="AN56" s="5"/>
    </row>
    <row r="57" spans="2:40" x14ac:dyDescent="0.3">
      <c r="B57" s="5"/>
      <c r="C57" s="5"/>
      <c r="D57" s="5"/>
      <c r="E57" s="5"/>
      <c r="F57" s="5"/>
      <c r="G57" s="5"/>
      <c r="H57" s="5"/>
      <c r="I57" s="5"/>
      <c r="J57" s="5"/>
      <c r="K57" s="5"/>
      <c r="L57" s="5"/>
      <c r="M57" s="5"/>
      <c r="N57" s="5"/>
      <c r="O57" s="5"/>
      <c r="P57" s="5"/>
      <c r="Q57" s="5"/>
      <c r="R57" s="5"/>
      <c r="S57" s="5"/>
      <c r="T57" s="5"/>
      <c r="U57" s="5"/>
      <c r="V57" s="5"/>
      <c r="W57" s="5"/>
      <c r="X57" s="5"/>
      <c r="Y57" s="5"/>
      <c r="Z57" s="5"/>
      <c r="AA57" s="5"/>
      <c r="AB57" s="5"/>
      <c r="AC57" s="5"/>
      <c r="AD57" s="5"/>
      <c r="AE57" s="5"/>
      <c r="AF57" s="5"/>
      <c r="AG57" s="5"/>
      <c r="AH57" s="5"/>
      <c r="AI57" s="5"/>
      <c r="AJ57" s="5"/>
      <c r="AK57" s="5"/>
      <c r="AL57" s="5"/>
      <c r="AM57" s="5"/>
      <c r="AN57" s="5"/>
    </row>
    <row r="58" spans="2:40" x14ac:dyDescent="0.3">
      <c r="B58" s="5"/>
      <c r="C58" s="5"/>
      <c r="D58" s="5"/>
      <c r="E58" s="5"/>
      <c r="F58" s="5"/>
      <c r="G58" s="5"/>
      <c r="H58" s="5"/>
      <c r="I58" s="5"/>
      <c r="J58" s="5"/>
      <c r="K58" s="5"/>
      <c r="L58" s="5"/>
      <c r="M58" s="5"/>
      <c r="N58" s="5"/>
      <c r="O58" s="5"/>
      <c r="P58" s="5"/>
      <c r="Q58" s="5"/>
      <c r="R58" s="5"/>
      <c r="S58" s="5"/>
      <c r="T58" s="5"/>
      <c r="U58" s="5"/>
      <c r="V58" s="5"/>
      <c r="W58" s="5"/>
      <c r="X58" s="5"/>
      <c r="Y58" s="5"/>
      <c r="Z58" s="5"/>
      <c r="AA58" s="5"/>
      <c r="AB58" s="5"/>
      <c r="AC58" s="5"/>
      <c r="AD58" s="5"/>
      <c r="AE58" s="5"/>
      <c r="AF58" s="5"/>
      <c r="AG58" s="5"/>
      <c r="AH58" s="5"/>
      <c r="AI58" s="5"/>
      <c r="AJ58" s="5"/>
      <c r="AK58" s="5"/>
      <c r="AL58" s="5"/>
      <c r="AM58" s="5"/>
      <c r="AN58" s="5"/>
    </row>
    <row r="59" spans="2:40" x14ac:dyDescent="0.3">
      <c r="B59" s="5"/>
      <c r="C59" s="5"/>
      <c r="D59" s="5"/>
      <c r="E59" s="5"/>
      <c r="F59" s="5"/>
      <c r="G59" s="5"/>
      <c r="H59" s="5"/>
      <c r="I59" s="5"/>
      <c r="J59" s="5"/>
      <c r="K59" s="5"/>
      <c r="L59" s="5"/>
      <c r="M59" s="5"/>
      <c r="N59" s="5"/>
      <c r="O59" s="5"/>
      <c r="P59" s="5"/>
      <c r="Q59" s="5"/>
      <c r="R59" s="5"/>
      <c r="S59" s="5"/>
      <c r="T59" s="5"/>
      <c r="U59" s="5"/>
      <c r="V59" s="5"/>
      <c r="W59" s="5"/>
      <c r="X59" s="5"/>
      <c r="Y59" s="5"/>
      <c r="Z59" s="5"/>
      <c r="AA59" s="5"/>
      <c r="AB59" s="5"/>
      <c r="AC59" s="5"/>
      <c r="AD59" s="5"/>
      <c r="AE59" s="5"/>
      <c r="AF59" s="5"/>
      <c r="AG59" s="5"/>
      <c r="AH59" s="5"/>
      <c r="AI59" s="5"/>
      <c r="AJ59" s="5"/>
      <c r="AK59" s="5"/>
      <c r="AL59" s="5"/>
      <c r="AM59" s="5"/>
      <c r="AN59" s="5"/>
    </row>
    <row r="60" spans="2:40" x14ac:dyDescent="0.3">
      <c r="B60" s="5"/>
      <c r="C60" s="5"/>
      <c r="D60" s="5"/>
      <c r="E60" s="5"/>
      <c r="F60" s="5"/>
      <c r="G60" s="5"/>
      <c r="H60" s="5"/>
      <c r="I60" s="5"/>
      <c r="J60" s="5"/>
      <c r="K60" s="5"/>
      <c r="L60" s="5"/>
      <c r="M60" s="5"/>
      <c r="N60" s="5"/>
      <c r="O60" s="5"/>
      <c r="P60" s="5"/>
      <c r="Q60" s="5"/>
      <c r="R60" s="5"/>
      <c r="S60" s="5"/>
      <c r="T60" s="5"/>
      <c r="U60" s="5"/>
      <c r="V60" s="5"/>
      <c r="W60" s="5"/>
      <c r="X60" s="5"/>
      <c r="Y60" s="5"/>
      <c r="Z60" s="5"/>
      <c r="AA60" s="5"/>
      <c r="AB60" s="5"/>
      <c r="AC60" s="5"/>
      <c r="AD60" s="5"/>
      <c r="AE60" s="5"/>
      <c r="AF60" s="5"/>
      <c r="AG60" s="5"/>
      <c r="AH60" s="5"/>
      <c r="AI60" s="5"/>
      <c r="AJ60" s="5"/>
      <c r="AK60" s="5"/>
      <c r="AL60" s="5"/>
      <c r="AM60" s="5"/>
      <c r="AN60" s="5"/>
    </row>
    <row r="61" spans="2:40" x14ac:dyDescent="0.3">
      <c r="B61" s="5"/>
      <c r="C61" s="5"/>
      <c r="D61" s="5"/>
      <c r="E61" s="5"/>
      <c r="F61" s="5"/>
      <c r="G61" s="5"/>
      <c r="H61" s="5"/>
      <c r="I61" s="5"/>
      <c r="J61" s="5"/>
      <c r="K61" s="5"/>
      <c r="L61" s="5"/>
      <c r="M61" s="5"/>
      <c r="N61" s="5"/>
      <c r="O61" s="5"/>
      <c r="P61" s="5"/>
      <c r="Q61" s="5"/>
      <c r="R61" s="5"/>
      <c r="S61" s="5"/>
      <c r="T61" s="5"/>
      <c r="U61" s="5"/>
      <c r="V61" s="5"/>
      <c r="W61" s="5"/>
      <c r="X61" s="5"/>
      <c r="Y61" s="5"/>
      <c r="Z61" s="5"/>
      <c r="AA61" s="5"/>
      <c r="AB61" s="5"/>
      <c r="AC61" s="5"/>
      <c r="AD61" s="5"/>
      <c r="AE61" s="5"/>
      <c r="AF61" s="5"/>
      <c r="AG61" s="5"/>
      <c r="AH61" s="5"/>
      <c r="AI61" s="5"/>
      <c r="AJ61" s="5"/>
      <c r="AK61" s="5"/>
      <c r="AL61" s="5"/>
      <c r="AM61" s="5"/>
      <c r="AN61" s="5"/>
    </row>
    <row r="62" spans="2:40" x14ac:dyDescent="0.3">
      <c r="B62" s="5"/>
      <c r="C62" s="5"/>
      <c r="D62" s="5"/>
      <c r="E62" s="5"/>
      <c r="F62" s="5"/>
      <c r="G62" s="5"/>
      <c r="H62" s="5"/>
      <c r="I62" s="5"/>
      <c r="J62" s="5"/>
      <c r="K62" s="5"/>
      <c r="L62" s="5"/>
      <c r="M62" s="5"/>
      <c r="N62" s="5"/>
      <c r="O62" s="5"/>
      <c r="P62" s="5"/>
      <c r="Q62" s="5"/>
      <c r="R62" s="5"/>
      <c r="S62" s="5"/>
      <c r="T62" s="5"/>
      <c r="U62" s="5"/>
      <c r="V62" s="5"/>
      <c r="W62" s="5"/>
      <c r="X62" s="5"/>
      <c r="Y62" s="5"/>
      <c r="Z62" s="5"/>
      <c r="AA62" s="5"/>
      <c r="AB62" s="5"/>
      <c r="AC62" s="5"/>
      <c r="AD62" s="5"/>
      <c r="AE62" s="5"/>
      <c r="AF62" s="5"/>
      <c r="AG62" s="5"/>
      <c r="AH62" s="5"/>
      <c r="AI62" s="5"/>
      <c r="AJ62" s="5"/>
      <c r="AK62" s="5"/>
      <c r="AL62" s="5"/>
      <c r="AM62" s="5"/>
      <c r="AN62" s="5"/>
    </row>
    <row r="63" spans="2:40" x14ac:dyDescent="0.3">
      <c r="B63" s="5"/>
      <c r="C63" s="5"/>
      <c r="D63" s="5"/>
      <c r="E63" s="5"/>
      <c r="F63" s="5"/>
      <c r="G63" s="5"/>
      <c r="H63" s="5"/>
      <c r="I63" s="5"/>
      <c r="J63" s="5"/>
      <c r="K63" s="5"/>
      <c r="L63" s="5"/>
      <c r="M63" s="5"/>
      <c r="N63" s="5"/>
      <c r="O63" s="5"/>
      <c r="P63" s="5"/>
      <c r="Q63" s="5"/>
      <c r="R63" s="5"/>
      <c r="S63" s="5"/>
      <c r="T63" s="5"/>
      <c r="U63" s="5"/>
      <c r="V63" s="5"/>
      <c r="W63" s="5"/>
      <c r="X63" s="5"/>
      <c r="Y63" s="5"/>
      <c r="Z63" s="5"/>
      <c r="AA63" s="5"/>
      <c r="AB63" s="5"/>
      <c r="AC63" s="5"/>
      <c r="AD63" s="5"/>
      <c r="AE63" s="5"/>
      <c r="AF63" s="5"/>
      <c r="AG63" s="5"/>
      <c r="AH63" s="5"/>
      <c r="AI63" s="5"/>
      <c r="AJ63" s="5"/>
      <c r="AK63" s="5"/>
      <c r="AL63" s="5"/>
      <c r="AM63" s="5"/>
      <c r="AN63" s="5"/>
    </row>
    <row r="64" spans="2:40" x14ac:dyDescent="0.3">
      <c r="B64" s="5"/>
      <c r="C64" s="5"/>
      <c r="D64" s="5"/>
      <c r="E64" s="5"/>
      <c r="F64" s="5"/>
      <c r="G64" s="5"/>
      <c r="H64" s="5"/>
      <c r="I64" s="5"/>
      <c r="J64" s="5"/>
      <c r="K64" s="5"/>
      <c r="L64" s="5"/>
      <c r="M64" s="5"/>
      <c r="N64" s="5"/>
      <c r="O64" s="5"/>
      <c r="P64" s="5"/>
      <c r="Q64" s="5"/>
      <c r="R64" s="5"/>
      <c r="S64" s="5"/>
      <c r="T64" s="5"/>
      <c r="U64" s="5"/>
      <c r="V64" s="5"/>
      <c r="W64" s="5"/>
      <c r="X64" s="5"/>
      <c r="Y64" s="5"/>
      <c r="Z64" s="5"/>
      <c r="AA64" s="5"/>
      <c r="AB64" s="5"/>
      <c r="AC64" s="5"/>
      <c r="AD64" s="5"/>
      <c r="AE64" s="5"/>
      <c r="AF64" s="5"/>
      <c r="AG64" s="5"/>
      <c r="AH64" s="5"/>
      <c r="AI64" s="5"/>
      <c r="AJ64" s="5"/>
      <c r="AK64" s="5"/>
      <c r="AL64" s="5"/>
      <c r="AM64" s="5"/>
      <c r="AN64" s="5"/>
    </row>
    <row r="65" spans="2:40" x14ac:dyDescent="0.3">
      <c r="B65" s="5"/>
      <c r="C65" s="5"/>
      <c r="D65" s="5"/>
      <c r="E65" s="5"/>
      <c r="F65" s="5"/>
      <c r="G65" s="5"/>
      <c r="H65" s="5"/>
      <c r="I65" s="5"/>
      <c r="J65" s="5"/>
      <c r="K65" s="5"/>
      <c r="L65" s="5"/>
      <c r="M65" s="5"/>
      <c r="N65" s="5"/>
      <c r="O65" s="5"/>
      <c r="P65" s="5"/>
      <c r="Q65" s="5"/>
      <c r="R65" s="5"/>
      <c r="S65" s="5"/>
      <c r="T65" s="5"/>
      <c r="U65" s="5"/>
      <c r="V65" s="5"/>
      <c r="W65" s="5"/>
      <c r="X65" s="5"/>
      <c r="Y65" s="5"/>
      <c r="Z65" s="5"/>
      <c r="AA65" s="5"/>
      <c r="AB65" s="5"/>
      <c r="AC65" s="5"/>
      <c r="AD65" s="5"/>
      <c r="AE65" s="5"/>
      <c r="AF65" s="5"/>
      <c r="AG65" s="5"/>
      <c r="AH65" s="5"/>
      <c r="AI65" s="5"/>
      <c r="AJ65" s="5"/>
      <c r="AK65" s="5"/>
      <c r="AL65" s="5"/>
      <c r="AM65" s="5"/>
      <c r="AN65" s="5"/>
    </row>
    <row r="66" spans="2:40" x14ac:dyDescent="0.3">
      <c r="B66" s="5"/>
      <c r="C66" s="5"/>
      <c r="D66" s="5"/>
      <c r="E66" s="5"/>
      <c r="F66" s="5"/>
      <c r="G66" s="5"/>
      <c r="H66" s="5"/>
      <c r="I66" s="5"/>
      <c r="J66" s="5"/>
      <c r="K66" s="5"/>
      <c r="L66" s="5"/>
      <c r="M66" s="5"/>
      <c r="N66" s="5"/>
      <c r="O66" s="5"/>
      <c r="P66" s="5"/>
      <c r="Q66" s="5"/>
      <c r="R66" s="5"/>
      <c r="S66" s="5"/>
      <c r="T66" s="5"/>
      <c r="U66" s="5"/>
      <c r="V66" s="5"/>
      <c r="W66" s="5"/>
      <c r="X66" s="5"/>
      <c r="Y66" s="5"/>
      <c r="Z66" s="5"/>
      <c r="AA66" s="5"/>
      <c r="AB66" s="5"/>
      <c r="AC66" s="5"/>
      <c r="AD66" s="5"/>
      <c r="AE66" s="5"/>
      <c r="AF66" s="5"/>
      <c r="AG66" s="5"/>
      <c r="AH66" s="5"/>
      <c r="AI66" s="5"/>
      <c r="AJ66" s="5"/>
      <c r="AK66" s="5"/>
      <c r="AL66" s="5"/>
      <c r="AM66" s="5"/>
      <c r="AN66" s="5"/>
    </row>
    <row r="67" spans="2:40" x14ac:dyDescent="0.3">
      <c r="B67" s="5"/>
      <c r="C67" s="5"/>
      <c r="D67" s="5"/>
      <c r="E67" s="5"/>
      <c r="F67" s="5"/>
      <c r="G67" s="5"/>
      <c r="H67" s="5"/>
      <c r="I67" s="5"/>
      <c r="J67" s="5"/>
      <c r="K67" s="5"/>
      <c r="L67" s="5"/>
      <c r="M67" s="5"/>
      <c r="N67" s="5"/>
      <c r="O67" s="5"/>
      <c r="P67" s="5"/>
      <c r="Q67" s="5"/>
      <c r="R67" s="5"/>
      <c r="S67" s="5"/>
      <c r="T67" s="5"/>
      <c r="U67" s="5"/>
      <c r="V67" s="5"/>
      <c r="W67" s="5"/>
      <c r="X67" s="5"/>
      <c r="Y67" s="5"/>
      <c r="Z67" s="5"/>
      <c r="AA67" s="5"/>
      <c r="AB67" s="5"/>
      <c r="AC67" s="5"/>
      <c r="AD67" s="5"/>
      <c r="AE67" s="5"/>
      <c r="AF67" s="5"/>
      <c r="AG67" s="5"/>
      <c r="AH67" s="5"/>
      <c r="AI67" s="5"/>
      <c r="AJ67" s="5"/>
      <c r="AK67" s="5"/>
      <c r="AL67" s="5"/>
      <c r="AM67" s="5"/>
      <c r="AN67" s="5"/>
    </row>
    <row r="68" spans="2:40" x14ac:dyDescent="0.3">
      <c r="B68" s="5"/>
      <c r="C68" s="5"/>
      <c r="D68" s="5"/>
      <c r="E68" s="5"/>
      <c r="F68" s="5"/>
      <c r="G68" s="5"/>
      <c r="H68" s="5"/>
      <c r="I68" s="5"/>
      <c r="J68" s="5"/>
      <c r="K68" s="5"/>
      <c r="L68" s="5"/>
      <c r="M68" s="5"/>
      <c r="N68" s="5"/>
      <c r="O68" s="5"/>
      <c r="P68" s="5"/>
      <c r="Q68" s="5"/>
      <c r="R68" s="5"/>
      <c r="S68" s="5"/>
      <c r="T68" s="5"/>
      <c r="U68" s="5"/>
      <c r="V68" s="5"/>
      <c r="W68" s="5"/>
      <c r="X68" s="5"/>
      <c r="Y68" s="5"/>
      <c r="Z68" s="5"/>
      <c r="AA68" s="5"/>
      <c r="AB68" s="5"/>
      <c r="AC68" s="5"/>
      <c r="AD68" s="5"/>
      <c r="AE68" s="5"/>
      <c r="AF68" s="5"/>
      <c r="AG68" s="5"/>
      <c r="AH68" s="5"/>
      <c r="AI68" s="5"/>
      <c r="AJ68" s="5"/>
      <c r="AK68" s="5"/>
      <c r="AL68" s="5"/>
      <c r="AM68" s="5"/>
      <c r="AN68" s="5"/>
    </row>
    <row r="69" spans="2:40" x14ac:dyDescent="0.3">
      <c r="B69" s="5"/>
      <c r="C69" s="5"/>
      <c r="D69" s="5"/>
      <c r="E69" s="5"/>
      <c r="F69" s="5"/>
      <c r="G69" s="5"/>
      <c r="H69" s="5"/>
      <c r="I69" s="5"/>
      <c r="J69" s="5"/>
      <c r="K69" s="5"/>
      <c r="L69" s="5"/>
      <c r="M69" s="5"/>
      <c r="N69" s="5"/>
      <c r="O69" s="5"/>
      <c r="P69" s="5"/>
      <c r="Q69" s="5"/>
      <c r="R69" s="5"/>
      <c r="S69" s="5"/>
      <c r="T69" s="5"/>
      <c r="U69" s="5"/>
      <c r="V69" s="5"/>
      <c r="W69" s="5"/>
      <c r="X69" s="5"/>
      <c r="Y69" s="5"/>
      <c r="Z69" s="5"/>
      <c r="AA69" s="5"/>
      <c r="AB69" s="5"/>
      <c r="AC69" s="5"/>
      <c r="AD69" s="5"/>
      <c r="AE69" s="5"/>
      <c r="AF69" s="5"/>
      <c r="AG69" s="5"/>
      <c r="AH69" s="5"/>
      <c r="AI69" s="5"/>
      <c r="AJ69" s="5"/>
      <c r="AK69" s="5"/>
      <c r="AL69" s="5"/>
      <c r="AM69" s="5"/>
      <c r="AN69" s="5"/>
    </row>
    <row r="70" spans="2:40" x14ac:dyDescent="0.3">
      <c r="B70" s="5"/>
      <c r="C70" s="5"/>
      <c r="D70" s="5"/>
      <c r="E70" s="5"/>
      <c r="F70" s="5"/>
      <c r="G70" s="5"/>
      <c r="H70" s="5"/>
      <c r="I70" s="5"/>
      <c r="J70" s="5"/>
      <c r="K70" s="5"/>
      <c r="L70" s="5"/>
      <c r="M70" s="5"/>
      <c r="N70" s="5"/>
      <c r="O70" s="5"/>
      <c r="P70" s="5"/>
      <c r="Q70" s="5"/>
      <c r="R70" s="5"/>
      <c r="S70" s="5"/>
      <c r="T70" s="5"/>
      <c r="U70" s="5"/>
      <c r="V70" s="5"/>
      <c r="W70" s="5"/>
      <c r="X70" s="5"/>
      <c r="Y70" s="5"/>
      <c r="Z70" s="5"/>
      <c r="AA70" s="5"/>
      <c r="AB70" s="5"/>
      <c r="AC70" s="5"/>
      <c r="AD70" s="5"/>
      <c r="AE70" s="5"/>
      <c r="AF70" s="5"/>
      <c r="AG70" s="5"/>
      <c r="AH70" s="5"/>
      <c r="AI70" s="5"/>
      <c r="AJ70" s="5"/>
      <c r="AK70" s="5"/>
      <c r="AL70" s="5"/>
      <c r="AM70" s="5"/>
      <c r="AN70" s="5"/>
    </row>
    <row r="71" spans="2:40" x14ac:dyDescent="0.3">
      <c r="B71" s="5"/>
      <c r="C71" s="5"/>
      <c r="D71" s="5"/>
      <c r="E71" s="5"/>
      <c r="F71" s="5"/>
      <c r="G71" s="5"/>
      <c r="H71" s="5"/>
      <c r="I71" s="5"/>
      <c r="J71" s="5"/>
      <c r="K71" s="5"/>
      <c r="L71" s="5"/>
      <c r="M71" s="5"/>
      <c r="N71" s="5"/>
      <c r="O71" s="5"/>
      <c r="P71" s="5"/>
      <c r="Q71" s="5"/>
      <c r="R71" s="5"/>
      <c r="S71" s="5"/>
      <c r="T71" s="5"/>
      <c r="U71" s="5"/>
      <c r="V71" s="5"/>
      <c r="W71" s="5"/>
      <c r="X71" s="5"/>
      <c r="Y71" s="5"/>
      <c r="Z71" s="5"/>
      <c r="AA71" s="5"/>
      <c r="AB71" s="5"/>
      <c r="AC71" s="5"/>
      <c r="AD71" s="5"/>
      <c r="AE71" s="5"/>
      <c r="AF71" s="5"/>
      <c r="AG71" s="5"/>
      <c r="AH71" s="5"/>
      <c r="AI71" s="5"/>
      <c r="AJ71" s="5"/>
      <c r="AK71" s="5"/>
      <c r="AL71" s="5"/>
      <c r="AM71" s="5"/>
      <c r="AN71" s="5"/>
    </row>
    <row r="72" spans="2:40" x14ac:dyDescent="0.3">
      <c r="B72" s="5"/>
      <c r="C72" s="5"/>
      <c r="D72" s="5"/>
      <c r="E72" s="5"/>
      <c r="F72" s="5"/>
      <c r="G72" s="5"/>
      <c r="H72" s="5"/>
      <c r="I72" s="5"/>
      <c r="J72" s="5"/>
      <c r="K72" s="5"/>
      <c r="L72" s="5"/>
      <c r="M72" s="5"/>
      <c r="N72" s="5"/>
      <c r="O72" s="5"/>
      <c r="P72" s="5"/>
      <c r="Q72" s="5"/>
      <c r="R72" s="5"/>
      <c r="S72" s="5"/>
      <c r="T72" s="5"/>
      <c r="U72" s="5"/>
      <c r="V72" s="5"/>
      <c r="W72" s="5"/>
      <c r="X72" s="5"/>
      <c r="Y72" s="5"/>
      <c r="Z72" s="5"/>
      <c r="AA72" s="5"/>
      <c r="AB72" s="5"/>
      <c r="AC72" s="5"/>
      <c r="AD72" s="5"/>
      <c r="AE72" s="5"/>
      <c r="AF72" s="5"/>
      <c r="AG72" s="5"/>
      <c r="AH72" s="5"/>
      <c r="AI72" s="5"/>
      <c r="AJ72" s="5"/>
      <c r="AK72" s="5"/>
      <c r="AL72" s="5"/>
      <c r="AM72" s="5"/>
      <c r="AN72" s="5"/>
    </row>
    <row r="73" spans="2:40" x14ac:dyDescent="0.3">
      <c r="B73" s="5"/>
      <c r="C73" s="5"/>
      <c r="D73" s="5"/>
      <c r="E73" s="5"/>
      <c r="F73" s="5"/>
      <c r="G73" s="5"/>
      <c r="H73" s="5"/>
      <c r="I73" s="5"/>
      <c r="J73" s="5"/>
      <c r="K73" s="5"/>
      <c r="L73" s="5"/>
      <c r="M73" s="5"/>
      <c r="N73" s="5"/>
      <c r="O73" s="5"/>
      <c r="P73" s="5"/>
      <c r="Q73" s="5"/>
      <c r="R73" s="5"/>
      <c r="S73" s="5"/>
      <c r="T73" s="5"/>
      <c r="U73" s="5"/>
      <c r="V73" s="5"/>
      <c r="W73" s="5"/>
      <c r="X73" s="5"/>
      <c r="Y73" s="5"/>
      <c r="Z73" s="5"/>
      <c r="AA73" s="5"/>
      <c r="AB73" s="5"/>
      <c r="AC73" s="5"/>
      <c r="AD73" s="5"/>
      <c r="AE73" s="5"/>
      <c r="AF73" s="5"/>
      <c r="AG73" s="5"/>
      <c r="AH73" s="5"/>
      <c r="AI73" s="5"/>
      <c r="AJ73" s="5"/>
      <c r="AK73" s="5"/>
      <c r="AL73" s="5"/>
      <c r="AM73" s="5"/>
      <c r="AN73" s="5"/>
    </row>
    <row r="74" spans="2:40" x14ac:dyDescent="0.3">
      <c r="B74" s="5"/>
      <c r="C74" s="5"/>
      <c r="D74" s="5"/>
      <c r="E74" s="5"/>
      <c r="F74" s="5"/>
      <c r="G74" s="5"/>
      <c r="H74" s="5"/>
      <c r="I74" s="5"/>
      <c r="J74" s="5"/>
      <c r="K74" s="5"/>
      <c r="L74" s="5"/>
      <c r="M74" s="5"/>
      <c r="N74" s="5"/>
      <c r="O74" s="5"/>
      <c r="P74" s="5"/>
      <c r="Q74" s="5"/>
      <c r="R74" s="5"/>
      <c r="S74" s="5"/>
      <c r="T74" s="5"/>
      <c r="U74" s="5"/>
      <c r="V74" s="5"/>
      <c r="W74" s="5"/>
      <c r="X74" s="5"/>
      <c r="Y74" s="5"/>
      <c r="Z74" s="5"/>
      <c r="AA74" s="5"/>
      <c r="AB74" s="5"/>
      <c r="AC74" s="5"/>
      <c r="AD74" s="5"/>
      <c r="AE74" s="5"/>
      <c r="AF74" s="5"/>
      <c r="AG74" s="5"/>
      <c r="AH74" s="5"/>
      <c r="AI74" s="5"/>
      <c r="AJ74" s="5"/>
      <c r="AK74" s="5"/>
      <c r="AL74" s="5"/>
      <c r="AM74" s="5"/>
      <c r="AN74" s="5"/>
    </row>
    <row r="75" spans="2:40" x14ac:dyDescent="0.3">
      <c r="B75" s="5"/>
      <c r="C75" s="5"/>
      <c r="D75" s="5"/>
      <c r="E75" s="5"/>
      <c r="F75" s="5"/>
      <c r="G75" s="5"/>
      <c r="H75" s="5"/>
      <c r="I75" s="5"/>
      <c r="J75" s="5"/>
      <c r="K75" s="5"/>
      <c r="L75" s="5"/>
      <c r="M75" s="5"/>
      <c r="N75" s="5"/>
      <c r="O75" s="5"/>
      <c r="P75" s="5"/>
      <c r="Q75" s="5"/>
      <c r="R75" s="5"/>
      <c r="S75" s="5"/>
      <c r="T75" s="5"/>
      <c r="U75" s="5"/>
      <c r="V75" s="5"/>
      <c r="W75" s="5"/>
      <c r="X75" s="5"/>
      <c r="Y75" s="5"/>
      <c r="Z75" s="5"/>
      <c r="AA75" s="5"/>
      <c r="AB75" s="5"/>
      <c r="AC75" s="5"/>
      <c r="AD75" s="5"/>
      <c r="AE75" s="5"/>
      <c r="AF75" s="5"/>
      <c r="AG75" s="5"/>
      <c r="AH75" s="5"/>
      <c r="AI75" s="5"/>
      <c r="AJ75" s="5"/>
      <c r="AK75" s="5"/>
      <c r="AL75" s="5"/>
      <c r="AM75" s="5"/>
      <c r="AN75" s="5"/>
    </row>
    <row r="76" spans="2:40" x14ac:dyDescent="0.3">
      <c r="B76" s="5"/>
      <c r="C76" s="5"/>
      <c r="D76" s="5"/>
      <c r="E76" s="5"/>
      <c r="F76" s="5"/>
      <c r="G76" s="5"/>
      <c r="H76" s="5"/>
      <c r="I76" s="5"/>
      <c r="J76" s="5"/>
      <c r="K76" s="5"/>
      <c r="L76" s="5"/>
      <c r="M76" s="5"/>
      <c r="N76" s="5"/>
      <c r="O76" s="5"/>
      <c r="P76" s="5"/>
      <c r="Q76" s="5"/>
      <c r="R76" s="5"/>
      <c r="S76" s="5"/>
      <c r="T76" s="5"/>
      <c r="U76" s="5"/>
      <c r="V76" s="5"/>
      <c r="W76" s="5"/>
      <c r="X76" s="5"/>
      <c r="Y76" s="5"/>
      <c r="Z76" s="5"/>
      <c r="AA76" s="5"/>
      <c r="AB76" s="5"/>
      <c r="AC76" s="5"/>
      <c r="AD76" s="5"/>
      <c r="AE76" s="5"/>
      <c r="AF76" s="5"/>
      <c r="AG76" s="5"/>
      <c r="AH76" s="5"/>
      <c r="AI76" s="5"/>
      <c r="AJ76" s="5"/>
      <c r="AK76" s="5"/>
      <c r="AL76" s="5"/>
      <c r="AM76" s="5"/>
      <c r="AN76" s="5"/>
    </row>
    <row r="77" spans="2:40" x14ac:dyDescent="0.3">
      <c r="B77" s="5"/>
      <c r="C77" s="5"/>
      <c r="D77" s="5"/>
      <c r="E77" s="5"/>
      <c r="F77" s="5"/>
      <c r="G77" s="5"/>
      <c r="H77" s="5"/>
      <c r="I77" s="5"/>
      <c r="J77" s="5"/>
      <c r="K77" s="5"/>
      <c r="L77" s="5"/>
      <c r="M77" s="5"/>
      <c r="N77" s="5"/>
      <c r="O77" s="5"/>
      <c r="P77" s="5"/>
      <c r="Q77" s="5"/>
      <c r="R77" s="5"/>
      <c r="S77" s="5"/>
      <c r="T77" s="5"/>
      <c r="U77" s="5"/>
      <c r="V77" s="5"/>
      <c r="W77" s="5"/>
      <c r="X77" s="5"/>
      <c r="Y77" s="5"/>
      <c r="Z77" s="5"/>
      <c r="AA77" s="5"/>
      <c r="AB77" s="5"/>
      <c r="AC77" s="5"/>
      <c r="AD77" s="5"/>
      <c r="AE77" s="5"/>
      <c r="AF77" s="5"/>
      <c r="AG77" s="5"/>
      <c r="AH77" s="5"/>
      <c r="AI77" s="5"/>
      <c r="AJ77" s="5"/>
      <c r="AK77" s="5"/>
      <c r="AL77" s="5"/>
      <c r="AM77" s="5"/>
      <c r="AN77" s="5"/>
    </row>
    <row r="78" spans="2:40" x14ac:dyDescent="0.3">
      <c r="B78" s="5"/>
      <c r="C78" s="5"/>
      <c r="D78" s="5"/>
      <c r="E78" s="5"/>
      <c r="F78" s="5"/>
      <c r="G78" s="5"/>
      <c r="H78" s="5"/>
      <c r="I78" s="5"/>
      <c r="J78" s="5"/>
      <c r="K78" s="5"/>
      <c r="L78" s="5"/>
      <c r="M78" s="5"/>
      <c r="N78" s="5"/>
      <c r="O78" s="5"/>
      <c r="P78" s="5"/>
      <c r="Q78" s="5"/>
      <c r="R78" s="5"/>
      <c r="S78" s="5"/>
      <c r="T78" s="5"/>
      <c r="U78" s="5"/>
      <c r="V78" s="5"/>
      <c r="W78" s="5"/>
      <c r="X78" s="5"/>
      <c r="Y78" s="5"/>
      <c r="Z78" s="5"/>
      <c r="AA78" s="5"/>
      <c r="AB78" s="5"/>
      <c r="AC78" s="5"/>
      <c r="AD78" s="5"/>
      <c r="AE78" s="5"/>
      <c r="AF78" s="5"/>
      <c r="AG78" s="5"/>
      <c r="AH78" s="5"/>
      <c r="AI78" s="5"/>
      <c r="AJ78" s="5"/>
      <c r="AK78" s="5"/>
      <c r="AL78" s="5"/>
      <c r="AM78" s="5"/>
      <c r="AN78" s="5"/>
    </row>
    <row r="79" spans="2:40" x14ac:dyDescent="0.3">
      <c r="B79" s="5"/>
      <c r="C79" s="5"/>
      <c r="D79" s="5"/>
      <c r="E79" s="5"/>
      <c r="F79" s="5"/>
      <c r="G79" s="5"/>
      <c r="H79" s="5"/>
      <c r="I79" s="5"/>
      <c r="J79" s="5"/>
      <c r="K79" s="5"/>
      <c r="L79" s="5"/>
      <c r="M79" s="5"/>
      <c r="N79" s="5"/>
      <c r="O79" s="5"/>
      <c r="P79" s="5"/>
      <c r="Q79" s="5"/>
      <c r="R79" s="5"/>
      <c r="S79" s="5"/>
      <c r="T79" s="5"/>
      <c r="U79" s="5"/>
      <c r="V79" s="5"/>
      <c r="W79" s="5"/>
      <c r="X79" s="5"/>
      <c r="Y79" s="5"/>
      <c r="Z79" s="5"/>
      <c r="AA79" s="5"/>
      <c r="AB79" s="5"/>
      <c r="AC79" s="5"/>
      <c r="AD79" s="5"/>
      <c r="AE79" s="5"/>
      <c r="AF79" s="5"/>
      <c r="AG79" s="5"/>
      <c r="AH79" s="5"/>
      <c r="AI79" s="5"/>
      <c r="AJ79" s="5"/>
      <c r="AK79" s="5"/>
      <c r="AL79" s="5"/>
      <c r="AM79" s="5"/>
      <c r="AN79" s="5"/>
    </row>
    <row r="80" spans="2:40" x14ac:dyDescent="0.3">
      <c r="B80" s="5"/>
      <c r="C80" s="5"/>
      <c r="D80" s="5"/>
      <c r="E80" s="5"/>
      <c r="F80" s="5"/>
      <c r="G80" s="5"/>
      <c r="H80" s="5"/>
      <c r="I80" s="5"/>
      <c r="J80" s="5"/>
      <c r="K80" s="5"/>
      <c r="L80" s="5"/>
      <c r="M80" s="5"/>
      <c r="N80" s="5"/>
      <c r="O80" s="5"/>
      <c r="P80" s="5"/>
      <c r="Q80" s="5"/>
      <c r="R80" s="5"/>
      <c r="S80" s="5"/>
      <c r="T80" s="5"/>
      <c r="U80" s="5"/>
      <c r="V80" s="5"/>
      <c r="W80" s="5"/>
      <c r="X80" s="5"/>
      <c r="Y80" s="5"/>
      <c r="Z80" s="5"/>
      <c r="AA80" s="5"/>
      <c r="AB80" s="5"/>
      <c r="AC80" s="5"/>
      <c r="AD80" s="5"/>
      <c r="AE80" s="5"/>
      <c r="AF80" s="5"/>
      <c r="AG80" s="5"/>
      <c r="AH80" s="5"/>
      <c r="AI80" s="5"/>
      <c r="AJ80" s="5"/>
      <c r="AK80" s="5"/>
      <c r="AL80" s="5"/>
      <c r="AM80" s="5"/>
      <c r="AN80" s="5"/>
    </row>
    <row r="81" spans="2:40" x14ac:dyDescent="0.3">
      <c r="B81" s="5"/>
      <c r="C81" s="5"/>
      <c r="D81" s="5"/>
      <c r="E81" s="5"/>
      <c r="F81" s="5"/>
      <c r="G81" s="5"/>
      <c r="H81" s="5"/>
      <c r="I81" s="5"/>
      <c r="J81" s="5"/>
      <c r="K81" s="5"/>
      <c r="L81" s="5"/>
      <c r="M81" s="5"/>
      <c r="N81" s="5"/>
      <c r="O81" s="5"/>
      <c r="P81" s="5"/>
      <c r="Q81" s="5"/>
      <c r="R81" s="5"/>
      <c r="S81" s="5"/>
      <c r="T81" s="5"/>
      <c r="U81" s="5"/>
      <c r="V81" s="5"/>
      <c r="W81" s="5"/>
      <c r="X81" s="5"/>
      <c r="Y81" s="5"/>
      <c r="Z81" s="5"/>
      <c r="AA81" s="5"/>
      <c r="AB81" s="5"/>
      <c r="AC81" s="5"/>
      <c r="AD81" s="5"/>
      <c r="AE81" s="5"/>
      <c r="AF81" s="5"/>
      <c r="AG81" s="5"/>
      <c r="AH81" s="5"/>
      <c r="AI81" s="5"/>
      <c r="AJ81" s="5"/>
      <c r="AK81" s="5"/>
      <c r="AL81" s="5"/>
      <c r="AM81" s="5"/>
      <c r="AN81" s="5"/>
    </row>
    <row r="82" spans="2:40" x14ac:dyDescent="0.3">
      <c r="B82" s="5"/>
      <c r="C82" s="5"/>
      <c r="D82" s="5"/>
      <c r="E82" s="5"/>
      <c r="F82" s="5"/>
      <c r="G82" s="5"/>
      <c r="H82" s="5"/>
      <c r="I82" s="5"/>
      <c r="J82" s="5"/>
      <c r="K82" s="5"/>
      <c r="L82" s="5"/>
      <c r="M82" s="5"/>
      <c r="N82" s="5"/>
      <c r="O82" s="5"/>
      <c r="P82" s="5"/>
      <c r="Q82" s="5"/>
      <c r="R82" s="5"/>
      <c r="S82" s="5"/>
      <c r="T82" s="5"/>
      <c r="U82" s="5"/>
      <c r="V82" s="5"/>
      <c r="W82" s="5"/>
      <c r="X82" s="5"/>
      <c r="Y82" s="5"/>
      <c r="Z82" s="5"/>
      <c r="AA82" s="5"/>
      <c r="AB82" s="5"/>
      <c r="AC82" s="5"/>
      <c r="AD82" s="5"/>
      <c r="AE82" s="5"/>
      <c r="AF82" s="5"/>
      <c r="AG82" s="5"/>
      <c r="AH82" s="5"/>
      <c r="AI82" s="5"/>
      <c r="AJ82" s="5"/>
      <c r="AK82" s="5"/>
      <c r="AL82" s="5"/>
      <c r="AM82" s="5"/>
      <c r="AN82" s="5"/>
    </row>
    <row r="83" spans="2:40" x14ac:dyDescent="0.3">
      <c r="B83" s="5"/>
      <c r="C83" s="5"/>
      <c r="D83" s="5"/>
      <c r="E83" s="5"/>
      <c r="F83" s="5"/>
      <c r="G83" s="5"/>
      <c r="H83" s="5"/>
      <c r="I83" s="5"/>
      <c r="J83" s="5"/>
      <c r="K83" s="5"/>
      <c r="L83" s="5"/>
      <c r="M83" s="5"/>
      <c r="N83" s="5"/>
      <c r="O83" s="5"/>
      <c r="P83" s="5"/>
      <c r="Q83" s="5"/>
      <c r="R83" s="5"/>
      <c r="S83" s="5"/>
      <c r="T83" s="5"/>
      <c r="U83" s="5"/>
      <c r="V83" s="5"/>
      <c r="W83" s="5"/>
      <c r="X83" s="5"/>
      <c r="Y83" s="5"/>
      <c r="Z83" s="5"/>
      <c r="AA83" s="5"/>
      <c r="AB83" s="5"/>
      <c r="AC83" s="5"/>
      <c r="AD83" s="5"/>
      <c r="AE83" s="5"/>
      <c r="AF83" s="5"/>
      <c r="AG83" s="5"/>
      <c r="AH83" s="5"/>
      <c r="AI83" s="5"/>
      <c r="AJ83" s="5"/>
      <c r="AK83" s="5"/>
      <c r="AL83" s="5"/>
      <c r="AM83" s="5"/>
      <c r="AN83" s="5"/>
    </row>
    <row r="84" spans="2:40" x14ac:dyDescent="0.3">
      <c r="B84" s="5"/>
      <c r="C84" s="5"/>
      <c r="D84" s="5"/>
      <c r="E84" s="5"/>
      <c r="F84" s="5"/>
      <c r="G84" s="5"/>
      <c r="H84" s="5"/>
      <c r="I84" s="5"/>
      <c r="J84" s="5"/>
      <c r="K84" s="5"/>
      <c r="L84" s="5"/>
      <c r="M84" s="5"/>
      <c r="N84" s="5"/>
      <c r="O84" s="5"/>
      <c r="P84" s="5"/>
      <c r="Q84" s="5"/>
      <c r="R84" s="5"/>
      <c r="S84" s="5"/>
      <c r="T84" s="5"/>
      <c r="U84" s="5"/>
      <c r="V84" s="5"/>
      <c r="W84" s="5"/>
      <c r="X84" s="5"/>
      <c r="Y84" s="5"/>
      <c r="Z84" s="5"/>
      <c r="AA84" s="5"/>
      <c r="AB84" s="5"/>
      <c r="AC84" s="5"/>
      <c r="AD84" s="5"/>
      <c r="AE84" s="5"/>
      <c r="AF84" s="5"/>
      <c r="AG84" s="5"/>
      <c r="AH84" s="5"/>
      <c r="AI84" s="5"/>
      <c r="AJ84" s="5"/>
      <c r="AK84" s="5"/>
      <c r="AL84" s="5"/>
      <c r="AM84" s="5"/>
      <c r="AN84" s="5"/>
    </row>
    <row r="85" spans="2:40" x14ac:dyDescent="0.3">
      <c r="B85" s="5"/>
      <c r="C85" s="5"/>
      <c r="D85" s="5"/>
      <c r="E85" s="5"/>
      <c r="F85" s="5"/>
      <c r="G85" s="5"/>
      <c r="H85" s="5"/>
      <c r="I85" s="5"/>
      <c r="J85" s="5"/>
      <c r="K85" s="5"/>
      <c r="L85" s="5"/>
      <c r="M85" s="5"/>
      <c r="N85" s="5"/>
      <c r="O85" s="5"/>
      <c r="P85" s="5"/>
      <c r="Q85" s="5"/>
      <c r="R85" s="5"/>
      <c r="S85" s="5"/>
      <c r="T85" s="5"/>
      <c r="U85" s="5"/>
      <c r="V85" s="5"/>
      <c r="W85" s="5"/>
      <c r="X85" s="5"/>
      <c r="Y85" s="5"/>
      <c r="Z85" s="5"/>
      <c r="AA85" s="5"/>
      <c r="AB85" s="5"/>
      <c r="AC85" s="5"/>
      <c r="AD85" s="5"/>
      <c r="AE85" s="5"/>
      <c r="AF85" s="5"/>
      <c r="AG85" s="5"/>
      <c r="AH85" s="5"/>
      <c r="AI85" s="5"/>
      <c r="AJ85" s="5"/>
      <c r="AK85" s="5"/>
      <c r="AL85" s="5"/>
      <c r="AM85" s="5"/>
      <c r="AN85" s="5"/>
    </row>
    <row r="86" spans="2:40" x14ac:dyDescent="0.3">
      <c r="B86" s="5"/>
      <c r="C86" s="5"/>
      <c r="D86" s="5"/>
      <c r="E86" s="5"/>
      <c r="F86" s="5"/>
      <c r="G86" s="5"/>
      <c r="H86" s="5"/>
      <c r="I86" s="5"/>
      <c r="J86" s="5"/>
      <c r="K86" s="5"/>
      <c r="L86" s="5"/>
      <c r="M86" s="5"/>
      <c r="N86" s="5"/>
      <c r="O86" s="5"/>
      <c r="P86" s="5"/>
      <c r="Q86" s="5"/>
      <c r="R86" s="5"/>
      <c r="S86" s="5"/>
      <c r="T86" s="5"/>
      <c r="U86" s="5"/>
      <c r="V86" s="5"/>
      <c r="W86" s="5"/>
      <c r="X86" s="5"/>
      <c r="Y86" s="5"/>
      <c r="Z86" s="5"/>
      <c r="AA86" s="5"/>
      <c r="AB86" s="5"/>
      <c r="AC86" s="5"/>
      <c r="AD86" s="5"/>
      <c r="AE86" s="5"/>
      <c r="AF86" s="5"/>
      <c r="AG86" s="5"/>
      <c r="AH86" s="5"/>
      <c r="AI86" s="5"/>
      <c r="AJ86" s="5"/>
      <c r="AK86" s="5"/>
      <c r="AL86" s="5"/>
      <c r="AM86" s="5"/>
      <c r="AN86" s="5"/>
    </row>
    <row r="87" spans="2:40" x14ac:dyDescent="0.3">
      <c r="B87" s="5"/>
      <c r="C87" s="5"/>
      <c r="D87" s="5"/>
      <c r="E87" s="5"/>
      <c r="F87" s="5"/>
      <c r="G87" s="5"/>
      <c r="H87" s="5"/>
      <c r="I87" s="5"/>
      <c r="J87" s="5"/>
      <c r="K87" s="5"/>
      <c r="L87" s="5"/>
      <c r="M87" s="5"/>
      <c r="N87" s="5"/>
      <c r="O87" s="5"/>
      <c r="P87" s="5"/>
      <c r="Q87" s="5"/>
      <c r="R87" s="5"/>
      <c r="S87" s="5"/>
      <c r="T87" s="5"/>
      <c r="U87" s="5"/>
      <c r="V87" s="5"/>
      <c r="W87" s="5"/>
      <c r="X87" s="5"/>
      <c r="Y87" s="5"/>
      <c r="Z87" s="5"/>
      <c r="AA87" s="5"/>
      <c r="AB87" s="5"/>
      <c r="AC87" s="5"/>
      <c r="AD87" s="5"/>
      <c r="AE87" s="5"/>
      <c r="AF87" s="5"/>
      <c r="AG87" s="5"/>
      <c r="AH87" s="5"/>
      <c r="AI87" s="5"/>
      <c r="AJ87" s="5"/>
      <c r="AK87" s="5"/>
      <c r="AL87" s="5"/>
      <c r="AM87" s="5"/>
      <c r="AN87" s="5"/>
    </row>
    <row r="88" spans="2:40" x14ac:dyDescent="0.3">
      <c r="B88" s="5"/>
      <c r="C88" s="5"/>
      <c r="D88" s="5"/>
      <c r="E88" s="5"/>
      <c r="F88" s="5"/>
      <c r="G88" s="5"/>
      <c r="H88" s="5"/>
      <c r="I88" s="5"/>
      <c r="J88" s="5"/>
      <c r="K88" s="5"/>
      <c r="L88" s="5"/>
      <c r="M88" s="5"/>
      <c r="N88" s="5"/>
      <c r="O88" s="5"/>
      <c r="P88" s="5"/>
      <c r="Q88" s="5"/>
      <c r="R88" s="5"/>
      <c r="S88" s="5"/>
      <c r="T88" s="5"/>
      <c r="U88" s="5"/>
      <c r="V88" s="5"/>
      <c r="W88" s="5"/>
      <c r="X88" s="5"/>
      <c r="Y88" s="5"/>
      <c r="Z88" s="5"/>
      <c r="AA88" s="5"/>
      <c r="AB88" s="5"/>
      <c r="AC88" s="5"/>
      <c r="AD88" s="5"/>
      <c r="AE88" s="5"/>
      <c r="AF88" s="5"/>
      <c r="AG88" s="5"/>
      <c r="AH88" s="5"/>
      <c r="AI88" s="5"/>
      <c r="AJ88" s="5"/>
      <c r="AK88" s="5"/>
      <c r="AL88" s="5"/>
      <c r="AM88" s="5"/>
      <c r="AN88" s="5"/>
    </row>
    <row r="89" spans="2:40" x14ac:dyDescent="0.3">
      <c r="B89" s="5"/>
      <c r="C89" s="5"/>
      <c r="D89" s="5"/>
      <c r="E89" s="5"/>
      <c r="F89" s="5"/>
      <c r="G89" s="5"/>
      <c r="H89" s="5"/>
      <c r="I89" s="5"/>
      <c r="J89" s="5"/>
      <c r="K89" s="5"/>
      <c r="L89" s="5"/>
      <c r="M89" s="5"/>
      <c r="N89" s="5"/>
      <c r="O89" s="5"/>
      <c r="P89" s="5"/>
      <c r="Q89" s="5"/>
      <c r="R89" s="5"/>
      <c r="S89" s="5"/>
      <c r="T89" s="5"/>
      <c r="U89" s="5"/>
      <c r="V89" s="5"/>
      <c r="W89" s="5"/>
      <c r="X89" s="5"/>
      <c r="Y89" s="5"/>
      <c r="Z89" s="5"/>
      <c r="AA89" s="5"/>
      <c r="AB89" s="5"/>
      <c r="AC89" s="5"/>
      <c r="AD89" s="5"/>
      <c r="AE89" s="5"/>
      <c r="AF89" s="5"/>
      <c r="AG89" s="5"/>
      <c r="AH89" s="5"/>
      <c r="AI89" s="5"/>
      <c r="AJ89" s="5"/>
      <c r="AK89" s="5"/>
      <c r="AL89" s="5"/>
      <c r="AM89" s="5"/>
      <c r="AN89" s="5"/>
    </row>
    <row r="90" spans="2:40" x14ac:dyDescent="0.3">
      <c r="B90" s="5"/>
      <c r="C90" s="5"/>
      <c r="D90" s="5"/>
      <c r="E90" s="5"/>
      <c r="F90" s="5"/>
      <c r="G90" s="5"/>
      <c r="H90" s="5"/>
      <c r="I90" s="5"/>
      <c r="J90" s="5"/>
      <c r="K90" s="5"/>
      <c r="L90" s="5"/>
      <c r="M90" s="5"/>
      <c r="N90" s="5"/>
      <c r="O90" s="5"/>
      <c r="P90" s="5"/>
      <c r="Q90" s="5"/>
      <c r="R90" s="5"/>
      <c r="S90" s="5"/>
      <c r="T90" s="5"/>
      <c r="U90" s="5"/>
      <c r="V90" s="5"/>
      <c r="W90" s="5"/>
      <c r="X90" s="5"/>
      <c r="Y90" s="5"/>
      <c r="Z90" s="5"/>
      <c r="AA90" s="5"/>
      <c r="AB90" s="5"/>
      <c r="AC90" s="5"/>
      <c r="AD90" s="5"/>
      <c r="AE90" s="5"/>
      <c r="AF90" s="5"/>
      <c r="AG90" s="5"/>
      <c r="AH90" s="5"/>
      <c r="AI90" s="5"/>
      <c r="AJ90" s="5"/>
      <c r="AK90" s="5"/>
      <c r="AL90" s="5"/>
      <c r="AM90" s="5"/>
      <c r="AN90" s="5"/>
    </row>
    <row r="91" spans="2:40" x14ac:dyDescent="0.3">
      <c r="B91" s="5"/>
      <c r="C91" s="5"/>
      <c r="D91" s="5"/>
      <c r="E91" s="5"/>
      <c r="F91" s="5"/>
      <c r="G91" s="5"/>
      <c r="H91" s="5"/>
      <c r="I91" s="5"/>
      <c r="J91" s="5"/>
      <c r="K91" s="5"/>
      <c r="L91" s="5"/>
      <c r="M91" s="5"/>
      <c r="N91" s="5"/>
      <c r="O91" s="5"/>
      <c r="P91" s="5"/>
      <c r="Q91" s="5"/>
      <c r="R91" s="5"/>
      <c r="S91" s="5"/>
      <c r="T91" s="5"/>
      <c r="U91" s="5"/>
      <c r="V91" s="5"/>
      <c r="W91" s="5"/>
      <c r="X91" s="5"/>
      <c r="Y91" s="5"/>
      <c r="Z91" s="5"/>
      <c r="AA91" s="5"/>
      <c r="AB91" s="5"/>
      <c r="AC91" s="5"/>
      <c r="AD91" s="5"/>
      <c r="AE91" s="5"/>
      <c r="AF91" s="5"/>
      <c r="AG91" s="5"/>
      <c r="AH91" s="5"/>
      <c r="AI91" s="5"/>
      <c r="AJ91" s="5"/>
      <c r="AK91" s="5"/>
      <c r="AL91" s="5"/>
      <c r="AM91" s="5"/>
      <c r="AN91" s="5"/>
    </row>
    <row r="92" spans="2:40" x14ac:dyDescent="0.3">
      <c r="B92" s="5"/>
      <c r="C92" s="5"/>
      <c r="D92" s="5"/>
      <c r="E92" s="5"/>
      <c r="F92" s="5"/>
      <c r="G92" s="5"/>
      <c r="H92" s="5"/>
      <c r="I92" s="5"/>
      <c r="J92" s="5"/>
      <c r="K92" s="5"/>
      <c r="L92" s="5"/>
      <c r="M92" s="5"/>
      <c r="N92" s="5"/>
      <c r="O92" s="5"/>
      <c r="P92" s="5"/>
      <c r="Q92" s="5"/>
      <c r="R92" s="5"/>
      <c r="S92" s="5"/>
      <c r="T92" s="5"/>
      <c r="U92" s="5"/>
      <c r="V92" s="5"/>
      <c r="W92" s="5"/>
      <c r="X92" s="5"/>
      <c r="Y92" s="5"/>
      <c r="Z92" s="5"/>
      <c r="AA92" s="5"/>
      <c r="AB92" s="5"/>
      <c r="AC92" s="5"/>
      <c r="AD92" s="5"/>
      <c r="AE92" s="5"/>
      <c r="AF92" s="5"/>
      <c r="AG92" s="5"/>
      <c r="AH92" s="5"/>
      <c r="AI92" s="5"/>
      <c r="AJ92" s="5"/>
      <c r="AK92" s="5"/>
      <c r="AL92" s="5"/>
      <c r="AM92" s="5"/>
      <c r="AN92" s="5"/>
    </row>
    <row r="93" spans="2:40" x14ac:dyDescent="0.3">
      <c r="B93" s="5"/>
      <c r="C93" s="5"/>
      <c r="D93" s="5"/>
      <c r="E93" s="5"/>
      <c r="F93" s="5"/>
      <c r="G93" s="5"/>
      <c r="H93" s="5"/>
      <c r="I93" s="5"/>
      <c r="J93" s="5"/>
      <c r="K93" s="5"/>
      <c r="L93" s="5"/>
      <c r="M93" s="5"/>
      <c r="N93" s="5"/>
      <c r="O93" s="5"/>
      <c r="P93" s="5"/>
      <c r="Q93" s="5"/>
      <c r="R93" s="5"/>
      <c r="S93" s="5"/>
      <c r="T93" s="5"/>
      <c r="U93" s="5"/>
      <c r="V93" s="5"/>
      <c r="W93" s="5"/>
      <c r="X93" s="5"/>
      <c r="Y93" s="5"/>
      <c r="Z93" s="5"/>
      <c r="AA93" s="5"/>
      <c r="AB93" s="5"/>
      <c r="AC93" s="5"/>
      <c r="AD93" s="5"/>
      <c r="AE93" s="5"/>
      <c r="AF93" s="5"/>
      <c r="AG93" s="5"/>
      <c r="AH93" s="5"/>
      <c r="AI93" s="5"/>
      <c r="AJ93" s="5"/>
      <c r="AK93" s="5"/>
      <c r="AL93" s="5"/>
      <c r="AM93" s="5"/>
      <c r="AN93" s="5"/>
    </row>
    <row r="94" spans="2:40" x14ac:dyDescent="0.3">
      <c r="B94" s="5"/>
      <c r="C94" s="5"/>
      <c r="D94" s="5"/>
      <c r="E94" s="5"/>
      <c r="F94" s="5"/>
      <c r="G94" s="5"/>
      <c r="H94" s="5"/>
      <c r="I94" s="5"/>
      <c r="J94" s="5"/>
      <c r="K94" s="5"/>
      <c r="L94" s="5"/>
      <c r="M94" s="5"/>
      <c r="N94" s="5"/>
      <c r="O94" s="5"/>
      <c r="P94" s="5"/>
      <c r="Q94" s="5"/>
      <c r="R94" s="5"/>
      <c r="S94" s="5"/>
      <c r="T94" s="5"/>
      <c r="U94" s="5"/>
      <c r="V94" s="5"/>
      <c r="W94" s="5"/>
      <c r="X94" s="5"/>
      <c r="Y94" s="5"/>
      <c r="Z94" s="5"/>
      <c r="AA94" s="5"/>
      <c r="AB94" s="5"/>
      <c r="AC94" s="5"/>
      <c r="AD94" s="5"/>
      <c r="AE94" s="5"/>
      <c r="AF94" s="5"/>
      <c r="AG94" s="5"/>
      <c r="AH94" s="5"/>
      <c r="AI94" s="5"/>
      <c r="AJ94" s="5"/>
      <c r="AK94" s="5"/>
      <c r="AL94" s="5"/>
      <c r="AM94" s="5"/>
      <c r="AN94" s="5"/>
    </row>
    <row r="95" spans="2:40" x14ac:dyDescent="0.3">
      <c r="B95" s="5"/>
      <c r="C95" s="5"/>
      <c r="D95" s="5"/>
      <c r="E95" s="5"/>
      <c r="F95" s="5"/>
      <c r="G95" s="5"/>
      <c r="H95" s="5"/>
      <c r="I95" s="5"/>
      <c r="J95" s="5"/>
      <c r="K95" s="5"/>
      <c r="L95" s="5"/>
      <c r="M95" s="5"/>
      <c r="N95" s="5"/>
      <c r="O95" s="5"/>
      <c r="P95" s="5"/>
      <c r="Q95" s="5"/>
      <c r="R95" s="5"/>
      <c r="S95" s="5"/>
      <c r="T95" s="5"/>
      <c r="U95" s="5"/>
      <c r="V95" s="5"/>
      <c r="W95" s="5"/>
      <c r="X95" s="5"/>
      <c r="Y95" s="5"/>
      <c r="Z95" s="5"/>
      <c r="AA95" s="5"/>
      <c r="AB95" s="5"/>
      <c r="AC95" s="5"/>
      <c r="AD95" s="5"/>
      <c r="AE95" s="5"/>
      <c r="AF95" s="5"/>
      <c r="AG95" s="5"/>
      <c r="AH95" s="5"/>
      <c r="AI95" s="5"/>
      <c r="AJ95" s="5"/>
      <c r="AK95" s="5"/>
      <c r="AL95" s="5"/>
      <c r="AM95" s="5"/>
      <c r="AN95" s="5"/>
    </row>
    <row r="96" spans="2:40" x14ac:dyDescent="0.3">
      <c r="B96" s="5"/>
      <c r="C96" s="5"/>
      <c r="D96" s="5"/>
      <c r="E96" s="5"/>
      <c r="F96" s="5"/>
      <c r="G96" s="5"/>
      <c r="H96" s="5"/>
      <c r="I96" s="5"/>
      <c r="J96" s="5"/>
      <c r="K96" s="5"/>
      <c r="L96" s="5"/>
      <c r="M96" s="5"/>
      <c r="N96" s="5"/>
      <c r="O96" s="5"/>
      <c r="P96" s="5"/>
      <c r="Q96" s="5"/>
      <c r="R96" s="5"/>
      <c r="S96" s="5"/>
      <c r="T96" s="5"/>
      <c r="U96" s="5"/>
      <c r="V96" s="5"/>
      <c r="W96" s="5"/>
      <c r="X96" s="5"/>
      <c r="Y96" s="5"/>
      <c r="Z96" s="5"/>
      <c r="AA96" s="5"/>
      <c r="AB96" s="5"/>
      <c r="AC96" s="5"/>
      <c r="AD96" s="5"/>
      <c r="AE96" s="5"/>
      <c r="AF96" s="5"/>
      <c r="AG96" s="5"/>
      <c r="AH96" s="5"/>
      <c r="AI96" s="5"/>
      <c r="AJ96" s="5"/>
      <c r="AK96" s="5"/>
      <c r="AL96" s="5"/>
      <c r="AM96" s="5"/>
      <c r="AN96" s="5"/>
    </row>
    <row r="97" spans="2:40" x14ac:dyDescent="0.3">
      <c r="B97" s="5"/>
      <c r="C97" s="5"/>
      <c r="D97" s="5"/>
      <c r="E97" s="5"/>
      <c r="F97" s="5"/>
      <c r="G97" s="5"/>
      <c r="H97" s="5"/>
      <c r="I97" s="5"/>
      <c r="J97" s="5"/>
      <c r="K97" s="5"/>
      <c r="L97" s="5"/>
      <c r="M97" s="5"/>
      <c r="N97" s="5"/>
      <c r="O97" s="5"/>
      <c r="P97" s="5"/>
      <c r="Q97" s="5"/>
      <c r="R97" s="5"/>
      <c r="S97" s="5"/>
      <c r="T97" s="5"/>
      <c r="U97" s="5"/>
      <c r="V97" s="5"/>
      <c r="W97" s="5"/>
      <c r="X97" s="5"/>
      <c r="Y97" s="5"/>
      <c r="Z97" s="5"/>
      <c r="AA97" s="5"/>
      <c r="AB97" s="5"/>
      <c r="AC97" s="5"/>
      <c r="AD97" s="5"/>
      <c r="AE97" s="5"/>
      <c r="AF97" s="5"/>
      <c r="AG97" s="5"/>
      <c r="AH97" s="5"/>
      <c r="AI97" s="5"/>
      <c r="AJ97" s="5"/>
      <c r="AK97" s="5"/>
      <c r="AL97" s="5"/>
      <c r="AM97" s="5"/>
      <c r="AN97" s="5"/>
    </row>
    <row r="98" spans="2:40" x14ac:dyDescent="0.3">
      <c r="B98" s="5"/>
      <c r="C98" s="5"/>
      <c r="D98" s="5"/>
      <c r="E98" s="5"/>
      <c r="F98" s="5"/>
      <c r="G98" s="5"/>
      <c r="H98" s="5"/>
      <c r="I98" s="5"/>
      <c r="J98" s="5"/>
      <c r="K98" s="5"/>
      <c r="L98" s="5"/>
      <c r="M98" s="5"/>
      <c r="N98" s="5"/>
      <c r="O98" s="5"/>
      <c r="P98" s="5"/>
      <c r="Q98" s="5"/>
      <c r="R98" s="5"/>
      <c r="S98" s="5"/>
      <c r="T98" s="5"/>
      <c r="U98" s="5"/>
      <c r="V98" s="5"/>
      <c r="W98" s="5"/>
      <c r="X98" s="5"/>
      <c r="Y98" s="5"/>
      <c r="Z98" s="5"/>
      <c r="AA98" s="5"/>
      <c r="AB98" s="5"/>
      <c r="AC98" s="5"/>
      <c r="AD98" s="5"/>
      <c r="AE98" s="5"/>
      <c r="AF98" s="5"/>
      <c r="AG98" s="5"/>
      <c r="AH98" s="5"/>
      <c r="AI98" s="5"/>
      <c r="AJ98" s="5"/>
      <c r="AK98" s="5"/>
      <c r="AL98" s="5"/>
      <c r="AM98" s="5"/>
      <c r="AN98" s="5"/>
    </row>
    <row r="99" spans="2:40" x14ac:dyDescent="0.3">
      <c r="B99" s="5"/>
      <c r="C99" s="5"/>
      <c r="D99" s="5"/>
      <c r="E99" s="5"/>
      <c r="F99" s="5"/>
      <c r="G99" s="5"/>
      <c r="H99" s="5"/>
      <c r="I99" s="5"/>
      <c r="J99" s="5"/>
      <c r="K99" s="5"/>
      <c r="L99" s="5"/>
      <c r="M99" s="5"/>
      <c r="N99" s="5"/>
      <c r="O99" s="5"/>
      <c r="P99" s="5"/>
      <c r="Q99" s="5"/>
      <c r="R99" s="5"/>
      <c r="S99" s="5"/>
      <c r="T99" s="5"/>
      <c r="U99" s="5"/>
      <c r="V99" s="5"/>
      <c r="W99" s="5"/>
      <c r="X99" s="5"/>
      <c r="Y99" s="5"/>
      <c r="Z99" s="5"/>
      <c r="AA99" s="5"/>
      <c r="AB99" s="5"/>
      <c r="AC99" s="5"/>
      <c r="AD99" s="5"/>
      <c r="AE99" s="5"/>
      <c r="AF99" s="5"/>
      <c r="AG99" s="5"/>
      <c r="AH99" s="5"/>
      <c r="AI99" s="5"/>
      <c r="AJ99" s="5"/>
      <c r="AK99" s="5"/>
      <c r="AL99" s="5"/>
      <c r="AM99" s="5"/>
      <c r="AN99" s="5"/>
    </row>
    <row r="100" spans="2:40" x14ac:dyDescent="0.3">
      <c r="B100" s="5"/>
      <c r="C100" s="5"/>
      <c r="D100" s="5"/>
      <c r="E100" s="5"/>
      <c r="F100" s="5"/>
      <c r="G100" s="5"/>
      <c r="H100" s="5"/>
      <c r="I100" s="5"/>
      <c r="J100" s="5"/>
      <c r="K100" s="5"/>
      <c r="L100" s="5"/>
      <c r="M100" s="5"/>
      <c r="N100" s="5"/>
      <c r="O100" s="5"/>
      <c r="P100" s="5"/>
      <c r="Q100" s="5"/>
      <c r="R100" s="5"/>
      <c r="S100" s="5"/>
      <c r="T100" s="5"/>
      <c r="U100" s="5"/>
      <c r="V100" s="5"/>
      <c r="W100" s="5"/>
      <c r="X100" s="5"/>
      <c r="Y100" s="5"/>
      <c r="Z100" s="5"/>
      <c r="AA100" s="5"/>
      <c r="AB100" s="5"/>
      <c r="AC100" s="5"/>
      <c r="AD100" s="5"/>
      <c r="AE100" s="5"/>
      <c r="AF100" s="5"/>
      <c r="AG100" s="5"/>
      <c r="AH100" s="5"/>
      <c r="AI100" s="5"/>
      <c r="AJ100" s="5"/>
      <c r="AK100" s="5"/>
      <c r="AL100" s="5"/>
      <c r="AM100" s="5"/>
      <c r="AN100" s="5"/>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7C89D9-8343-423B-A221-B8E61041149D}">
  <sheetPr>
    <tabColor rgb="FF2E8B8B"/>
  </sheetPr>
  <dimension ref="A1:AN100"/>
  <sheetViews>
    <sheetView workbookViewId="0">
      <pane xSplit="1" ySplit="2" topLeftCell="AL3" activePane="bottomRight" state="frozen"/>
      <selection pane="topRight" activeCell="B1" sqref="B1"/>
      <selection pane="bottomLeft" activeCell="A3" sqref="A3"/>
      <selection pane="bottomRight" activeCell="AP15" sqref="AP15"/>
    </sheetView>
  </sheetViews>
  <sheetFormatPr defaultRowHeight="14.4" x14ac:dyDescent="0.3"/>
  <cols>
    <col min="1" max="1" width="19.21875" bestFit="1" customWidth="1"/>
    <col min="2" max="16" width="8.5546875" bestFit="1" customWidth="1"/>
    <col min="17" max="33" width="10" bestFit="1" customWidth="1"/>
    <col min="34" max="37" width="11" bestFit="1" customWidth="1"/>
    <col min="38" max="38" width="8.5546875" bestFit="1" customWidth="1"/>
    <col min="39" max="39" width="10" bestFit="1" customWidth="1"/>
    <col min="40" max="40" width="11" bestFit="1" customWidth="1"/>
  </cols>
  <sheetData>
    <row r="1" spans="1:40" ht="24" customHeight="1" thickBot="1" x14ac:dyDescent="0.35">
      <c r="A1" s="180" t="str" cm="1">
        <f t="array" ref="A1:AK2">'23_Time'!A1:AK2</f>
        <v>Month Index</v>
      </c>
      <c r="B1" s="181">
        <v>1</v>
      </c>
      <c r="C1" s="181">
        <v>2</v>
      </c>
      <c r="D1" s="181">
        <v>3</v>
      </c>
      <c r="E1" s="181">
        <v>4</v>
      </c>
      <c r="F1" s="181">
        <v>5</v>
      </c>
      <c r="G1" s="181">
        <v>6</v>
      </c>
      <c r="H1" s="181">
        <v>7</v>
      </c>
      <c r="I1" s="181">
        <v>8</v>
      </c>
      <c r="J1" s="181">
        <v>9</v>
      </c>
      <c r="K1" s="181">
        <v>10</v>
      </c>
      <c r="L1" s="181">
        <v>11</v>
      </c>
      <c r="M1" s="181">
        <v>12</v>
      </c>
      <c r="N1" s="181">
        <v>13</v>
      </c>
      <c r="O1" s="181">
        <v>14</v>
      </c>
      <c r="P1" s="181">
        <v>15</v>
      </c>
      <c r="Q1" s="181">
        <v>16</v>
      </c>
      <c r="R1" s="181">
        <v>17</v>
      </c>
      <c r="S1" s="181">
        <v>18</v>
      </c>
      <c r="T1" s="181">
        <v>19</v>
      </c>
      <c r="U1" s="181">
        <v>20</v>
      </c>
      <c r="V1" s="181">
        <v>21</v>
      </c>
      <c r="W1" s="181">
        <v>22</v>
      </c>
      <c r="X1" s="181">
        <v>23</v>
      </c>
      <c r="Y1" s="181">
        <v>24</v>
      </c>
      <c r="Z1" s="181">
        <v>25</v>
      </c>
      <c r="AA1" s="181">
        <v>26</v>
      </c>
      <c r="AB1" s="181">
        <v>27</v>
      </c>
      <c r="AC1" s="181">
        <v>28</v>
      </c>
      <c r="AD1" s="181">
        <v>29</v>
      </c>
      <c r="AE1" s="181">
        <v>30</v>
      </c>
      <c r="AF1" s="181">
        <v>31</v>
      </c>
      <c r="AG1" s="181">
        <v>32</v>
      </c>
      <c r="AH1" s="181">
        <v>33</v>
      </c>
      <c r="AI1" s="181">
        <v>34</v>
      </c>
      <c r="AJ1" s="181">
        <v>35</v>
      </c>
      <c r="AK1" s="182">
        <v>36</v>
      </c>
      <c r="AL1" s="183"/>
      <c r="AM1" s="181"/>
      <c r="AN1" s="182"/>
    </row>
    <row r="2" spans="1:40" ht="15" thickBot="1" x14ac:dyDescent="0.35">
      <c r="A2" s="166" t="str">
        <v>Month Label</v>
      </c>
      <c r="B2" s="442" t="str">
        <v>M1</v>
      </c>
      <c r="C2" s="442" t="str">
        <v>M2</v>
      </c>
      <c r="D2" s="442" t="str">
        <v>M3</v>
      </c>
      <c r="E2" s="442" t="str">
        <v>M4</v>
      </c>
      <c r="F2" s="442" t="str">
        <v>M5</v>
      </c>
      <c r="G2" s="442" t="str">
        <v>M6</v>
      </c>
      <c r="H2" s="442" t="str">
        <v>M7</v>
      </c>
      <c r="I2" s="442" t="str">
        <v>M8</v>
      </c>
      <c r="J2" s="442" t="str">
        <v>M9</v>
      </c>
      <c r="K2" s="442" t="str">
        <v>M10</v>
      </c>
      <c r="L2" s="442" t="str">
        <v>M11</v>
      </c>
      <c r="M2" s="442" t="str">
        <v>M12</v>
      </c>
      <c r="N2" s="442" t="str">
        <v>M13</v>
      </c>
      <c r="O2" s="442" t="str">
        <v>M14</v>
      </c>
      <c r="P2" s="442" t="str">
        <v>M15</v>
      </c>
      <c r="Q2" s="442" t="str">
        <v>M16</v>
      </c>
      <c r="R2" s="442" t="str">
        <v>M17</v>
      </c>
      <c r="S2" s="442" t="str">
        <v>M18</v>
      </c>
      <c r="T2" s="442" t="str">
        <v>M19</v>
      </c>
      <c r="U2" s="442" t="str">
        <v>M20</v>
      </c>
      <c r="V2" s="442" t="str">
        <v>M21</v>
      </c>
      <c r="W2" s="442" t="str">
        <v>M22</v>
      </c>
      <c r="X2" s="442" t="str">
        <v>M23</v>
      </c>
      <c r="Y2" s="442" t="str">
        <v>M24</v>
      </c>
      <c r="Z2" s="442" t="str">
        <v>M25</v>
      </c>
      <c r="AA2" s="442" t="str">
        <v>M26</v>
      </c>
      <c r="AB2" s="442" t="str">
        <v>M27</v>
      </c>
      <c r="AC2" s="442" t="str">
        <v>M28</v>
      </c>
      <c r="AD2" s="442" t="str">
        <v>M29</v>
      </c>
      <c r="AE2" s="442" t="str">
        <v>M30</v>
      </c>
      <c r="AF2" s="442" t="str">
        <v>M31</v>
      </c>
      <c r="AG2" s="442" t="str">
        <v>M32</v>
      </c>
      <c r="AH2" s="442" t="str">
        <v>M33</v>
      </c>
      <c r="AI2" s="442" t="str">
        <v>M34</v>
      </c>
      <c r="AJ2" s="442" t="str">
        <v>M35</v>
      </c>
      <c r="AK2" s="442" t="str">
        <v>M36</v>
      </c>
      <c r="AL2" s="210" t="s">
        <v>72</v>
      </c>
      <c r="AM2" s="211" t="s">
        <v>73</v>
      </c>
      <c r="AN2" s="212" t="s">
        <v>74</v>
      </c>
    </row>
    <row r="3" spans="1:40" x14ac:dyDescent="0.3">
      <c r="A3" s="127" t="s">
        <v>164</v>
      </c>
      <c r="B3" s="199">
        <v>0</v>
      </c>
      <c r="C3" s="302">
        <f>B6</f>
        <v>0</v>
      </c>
      <c r="D3" s="302">
        <f t="shared" ref="D3:AK3" si="0">C6</f>
        <v>0</v>
      </c>
      <c r="E3" s="302">
        <f t="shared" si="0"/>
        <v>0</v>
      </c>
      <c r="F3" s="302">
        <f t="shared" si="0"/>
        <v>0</v>
      </c>
      <c r="G3" s="302">
        <f t="shared" si="0"/>
        <v>0</v>
      </c>
      <c r="H3" s="302">
        <f t="shared" si="0"/>
        <v>0</v>
      </c>
      <c r="I3" s="302">
        <f t="shared" si="0"/>
        <v>0</v>
      </c>
      <c r="J3" s="302">
        <f t="shared" si="0"/>
        <v>0</v>
      </c>
      <c r="K3" s="302">
        <f t="shared" si="0"/>
        <v>84899.265982908095</v>
      </c>
      <c r="L3" s="302">
        <f t="shared" si="0"/>
        <v>172767.61864518566</v>
      </c>
      <c r="M3" s="302">
        <f t="shared" si="0"/>
        <v>263509.43516585283</v>
      </c>
      <c r="N3" s="302">
        <f t="shared" si="0"/>
        <v>357045.26633176696</v>
      </c>
      <c r="O3" s="302">
        <f t="shared" si="0"/>
        <v>481593.32023227925</v>
      </c>
      <c r="P3" s="302">
        <f t="shared" si="0"/>
        <v>634469.53497685748</v>
      </c>
      <c r="Q3" s="302">
        <f t="shared" si="0"/>
        <v>813249.41408642335</v>
      </c>
      <c r="R3" s="302">
        <f t="shared" si="0"/>
        <v>1015745.962461544</v>
      </c>
      <c r="S3" s="302">
        <f t="shared" si="0"/>
        <v>1239989.4967483771</v>
      </c>
      <c r="T3" s="302">
        <f t="shared" si="0"/>
        <v>1484209.1731734811</v>
      </c>
      <c r="U3" s="302">
        <f t="shared" si="0"/>
        <v>1746816.0890344568</v>
      </c>
      <c r="V3" s="302">
        <f t="shared" si="0"/>
        <v>2079621.8816766276</v>
      </c>
      <c r="W3" s="302">
        <f t="shared" si="0"/>
        <v>2476400.2471113573</v>
      </c>
      <c r="X3" s="302">
        <f t="shared" si="0"/>
        <v>2931529.0787591944</v>
      </c>
      <c r="Y3" s="302">
        <f t="shared" si="0"/>
        <v>3439938.9586091684</v>
      </c>
      <c r="Z3" s="302">
        <f t="shared" si="0"/>
        <v>3997066.0269496362</v>
      </c>
      <c r="AA3" s="302">
        <f t="shared" si="0"/>
        <v>4598808.8639318179</v>
      </c>
      <c r="AB3" s="302">
        <f t="shared" si="0"/>
        <v>5241489.0468824264</v>
      </c>
      <c r="AC3" s="302">
        <f t="shared" si="0"/>
        <v>5921815.0753799099</v>
      </c>
      <c r="AD3" s="302">
        <f t="shared" si="0"/>
        <v>6636849.3818630204</v>
      </c>
      <c r="AE3" s="302">
        <f t="shared" si="0"/>
        <v>7383978.16914606</v>
      </c>
      <c r="AF3" s="302">
        <f t="shared" si="0"/>
        <v>8160883.8378514601</v>
      </c>
      <c r="AG3" s="302">
        <f t="shared" si="0"/>
        <v>8965519.7866014559</v>
      </c>
      <c r="AH3" s="302">
        <f t="shared" si="0"/>
        <v>9796087.3859871589</v>
      </c>
      <c r="AI3" s="302">
        <f t="shared" si="0"/>
        <v>10651014.943993097</v>
      </c>
      <c r="AJ3" s="302">
        <f t="shared" si="0"/>
        <v>11528938.495825028</v>
      </c>
      <c r="AK3" s="302">
        <f t="shared" si="0"/>
        <v>12428684.265084164</v>
      </c>
      <c r="AL3" s="188">
        <f>B3</f>
        <v>0</v>
      </c>
      <c r="AM3" s="189">
        <f>N3</f>
        <v>357045.26633176696</v>
      </c>
      <c r="AN3" s="190">
        <f>Z3</f>
        <v>3997066.0269496362</v>
      </c>
    </row>
    <row r="4" spans="1:40" x14ac:dyDescent="0.3">
      <c r="A4" s="127" t="s">
        <v>148</v>
      </c>
      <c r="B4" s="199">
        <f>'41_Revenue_COGS'!B15</f>
        <v>0</v>
      </c>
      <c r="C4" s="302">
        <f>'41_Revenue_COGS'!C15</f>
        <v>0</v>
      </c>
      <c r="D4" s="302">
        <f>'41_Revenue_COGS'!D15</f>
        <v>0</v>
      </c>
      <c r="E4" s="302">
        <f>'41_Revenue_COGS'!E15</f>
        <v>0</v>
      </c>
      <c r="F4" s="302">
        <f>'41_Revenue_COGS'!F15</f>
        <v>0</v>
      </c>
      <c r="G4" s="302">
        <f>'41_Revenue_COGS'!G15</f>
        <v>0</v>
      </c>
      <c r="H4" s="302">
        <f>'41_Revenue_COGS'!H15</f>
        <v>0</v>
      </c>
      <c r="I4" s="302">
        <f>'41_Revenue_COGS'!I15</f>
        <v>0</v>
      </c>
      <c r="J4" s="302">
        <f>'41_Revenue_COGS'!J15</f>
        <v>84899.265982908095</v>
      </c>
      <c r="K4" s="302">
        <f>'41_Revenue_COGS'!K15</f>
        <v>94943.291494186575</v>
      </c>
      <c r="L4" s="302">
        <f>'41_Revenue_COGS'!L15</f>
        <v>105139.11807443268</v>
      </c>
      <c r="M4" s="302">
        <f>'41_Revenue_COGS'!M15</f>
        <v>115494.95076306853</v>
      </c>
      <c r="N4" s="302">
        <f>'41_Revenue_COGS'!N15</f>
        <v>154301.82609482622</v>
      </c>
      <c r="O4" s="302">
        <f>'41_Revenue_COGS'!O15</f>
        <v>193008.99143060151</v>
      </c>
      <c r="P4" s="302">
        <f>'41_Revenue_COGS'!P15</f>
        <v>231652.34035763741</v>
      </c>
      <c r="Q4" s="302">
        <f>'41_Revenue_COGS'!Q15</f>
        <v>270267.3328823226</v>
      </c>
      <c r="R4" s="302">
        <f>'41_Revenue_COGS'!R15</f>
        <v>308889.03115862847</v>
      </c>
      <c r="S4" s="302">
        <f>'41_Revenue_COGS'!S15</f>
        <v>347552.13448746887</v>
      </c>
      <c r="T4" s="302">
        <f>'41_Revenue_COGS'!T15</f>
        <v>386291.01362543233</v>
      </c>
      <c r="U4" s="302">
        <f>'41_Revenue_COGS'!U15</f>
        <v>478373.80006170872</v>
      </c>
      <c r="V4" s="302">
        <f>'41_Revenue_COGS'!V15</f>
        <v>570080.18890778173</v>
      </c>
      <c r="W4" s="302">
        <f>'41_Revenue_COGS'!W15</f>
        <v>661495.51890711684</v>
      </c>
      <c r="X4" s="302">
        <f>'41_Revenue_COGS'!X15</f>
        <v>752703.96974657325</v>
      </c>
      <c r="Y4" s="302">
        <f>'41_Revenue_COGS'!Y15</f>
        <v>843788.64822456485</v>
      </c>
      <c r="Z4" s="302">
        <f>'41_Revenue_COGS'!Z15</f>
        <v>934831.67256131803</v>
      </c>
      <c r="AA4" s="302">
        <f>'41_Revenue_COGS'!AA15</f>
        <v>1025914.2549449259</v>
      </c>
      <c r="AB4" s="302">
        <f>'41_Revenue_COGS'!AB15</f>
        <v>1117116.7824043517</v>
      </c>
      <c r="AC4" s="302">
        <f>'41_Revenue_COGS'!AC15</f>
        <v>1208518.8960981029</v>
      </c>
      <c r="AD4" s="302">
        <f>'41_Revenue_COGS'!AD15</f>
        <v>1300199.5691049586</v>
      </c>
      <c r="AE4" s="302">
        <f>'41_Revenue_COGS'!AE15</f>
        <v>1392237.1828009041</v>
      </c>
      <c r="AF4" s="302">
        <f>'41_Revenue_COGS'!AF15</f>
        <v>1484709.601904284</v>
      </c>
      <c r="AG4" s="302">
        <f>'41_Revenue_COGS'!AG15</f>
        <v>1577694.2482691568</v>
      </c>
      <c r="AH4" s="302">
        <f>'41_Revenue_COGS'!AH15</f>
        <v>1671268.1735048685</v>
      </c>
      <c r="AI4" s="302">
        <f>'41_Revenue_COGS'!AI15</f>
        <v>1765508.1304980214</v>
      </c>
      <c r="AJ4" s="302">
        <f>'41_Revenue_COGS'!AJ15</f>
        <v>1860490.6439112213</v>
      </c>
      <c r="AK4" s="302">
        <f>'41_Revenue_COGS'!AK15</f>
        <v>1956292.0797313193</v>
      </c>
      <c r="AL4" s="188">
        <f>SUMIF('23_Time'!$B$3:$AK$3, 1,B4:AK4)</f>
        <v>400476.62631459587</v>
      </c>
      <c r="AM4" s="189">
        <f>SUMIF('23_Time'!$B$3:$AK$3, 2,B4:AK4)</f>
        <v>5198404.7958846632</v>
      </c>
      <c r="AN4" s="190">
        <f>SUMIF('23_Time'!$B$3:$AK$3, 3,B4:AK4)</f>
        <v>17294781.235733435</v>
      </c>
    </row>
    <row r="5" spans="1:40" x14ac:dyDescent="0.3">
      <c r="A5" s="127" t="s">
        <v>165</v>
      </c>
      <c r="B5" s="199">
        <f>B3*'31_Inputs_UnitEconomics'!$B$16</f>
        <v>0</v>
      </c>
      <c r="C5" s="302">
        <f>C3*'31_Inputs_UnitEconomics'!$B$16</f>
        <v>0</v>
      </c>
      <c r="D5" s="302">
        <f>D3*'31_Inputs_UnitEconomics'!$B$16</f>
        <v>0</v>
      </c>
      <c r="E5" s="302">
        <f>E3*'31_Inputs_UnitEconomics'!$B$16</f>
        <v>0</v>
      </c>
      <c r="F5" s="302">
        <f>F3*'31_Inputs_UnitEconomics'!$B$16</f>
        <v>0</v>
      </c>
      <c r="G5" s="302">
        <f>G3*'31_Inputs_UnitEconomics'!$B$16</f>
        <v>0</v>
      </c>
      <c r="H5" s="302">
        <f>H3*'31_Inputs_UnitEconomics'!$B$16</f>
        <v>0</v>
      </c>
      <c r="I5" s="302">
        <f>I3*'31_Inputs_UnitEconomics'!$B$16</f>
        <v>0</v>
      </c>
      <c r="J5" s="302">
        <f>J3*'31_Inputs_UnitEconomics'!$B$16</f>
        <v>0</v>
      </c>
      <c r="K5" s="302">
        <f>K3*'31_Inputs_UnitEconomics'!$B$16</f>
        <v>7074.9388319090076</v>
      </c>
      <c r="L5" s="302">
        <f>L3*'31_Inputs_UnitEconomics'!$B$16</f>
        <v>14397.301553765472</v>
      </c>
      <c r="M5" s="302">
        <f>M3*'31_Inputs_UnitEconomics'!$B$16</f>
        <v>21959.1195971544</v>
      </c>
      <c r="N5" s="302">
        <f>N3*'31_Inputs_UnitEconomics'!$B$16</f>
        <v>29753.772194313911</v>
      </c>
      <c r="O5" s="302">
        <f>O3*'31_Inputs_UnitEconomics'!$B$16</f>
        <v>40132.776686023266</v>
      </c>
      <c r="P5" s="302">
        <f>P3*'31_Inputs_UnitEconomics'!$B$16</f>
        <v>52872.461248071457</v>
      </c>
      <c r="Q5" s="302">
        <f>Q3*'31_Inputs_UnitEconomics'!$B$16</f>
        <v>67770.784507201941</v>
      </c>
      <c r="R5" s="302">
        <f>R3*'31_Inputs_UnitEconomics'!$B$16</f>
        <v>84645.496871795331</v>
      </c>
      <c r="S5" s="302">
        <f>S3*'31_Inputs_UnitEconomics'!$B$16</f>
        <v>103332.45806236475</v>
      </c>
      <c r="T5" s="302">
        <f>T3*'31_Inputs_UnitEconomics'!$B$16</f>
        <v>123684.09776445676</v>
      </c>
      <c r="U5" s="302">
        <f>U3*'31_Inputs_UnitEconomics'!$B$16</f>
        <v>145568.00741953804</v>
      </c>
      <c r="V5" s="302">
        <f>V3*'31_Inputs_UnitEconomics'!$B$16</f>
        <v>173301.8234730523</v>
      </c>
      <c r="W5" s="302">
        <f>W3*'31_Inputs_UnitEconomics'!$B$16</f>
        <v>206366.68725927977</v>
      </c>
      <c r="X5" s="302">
        <f>X3*'31_Inputs_UnitEconomics'!$B$16</f>
        <v>244294.08989659953</v>
      </c>
      <c r="Y5" s="302">
        <f>Y3*'31_Inputs_UnitEconomics'!$B$16</f>
        <v>286661.57988409733</v>
      </c>
      <c r="Z5" s="302">
        <f>Z3*'31_Inputs_UnitEconomics'!$B$16</f>
        <v>333088.83557913633</v>
      </c>
      <c r="AA5" s="302">
        <f>AA3*'31_Inputs_UnitEconomics'!$B$16</f>
        <v>383234.07199431816</v>
      </c>
      <c r="AB5" s="302">
        <f>AB3*'31_Inputs_UnitEconomics'!$B$16</f>
        <v>436790.75390686886</v>
      </c>
      <c r="AC5" s="302">
        <f>AC3*'31_Inputs_UnitEconomics'!$B$16</f>
        <v>493484.5896149925</v>
      </c>
      <c r="AD5" s="302">
        <f>AD3*'31_Inputs_UnitEconomics'!$B$16</f>
        <v>553070.78182191832</v>
      </c>
      <c r="AE5" s="302">
        <f>AE3*'31_Inputs_UnitEconomics'!$B$16</f>
        <v>615331.514095505</v>
      </c>
      <c r="AF5" s="302">
        <f>AF3*'31_Inputs_UnitEconomics'!$B$16</f>
        <v>680073.6531542883</v>
      </c>
      <c r="AG5" s="302">
        <f>AG3*'31_Inputs_UnitEconomics'!$B$16</f>
        <v>747126.64888345462</v>
      </c>
      <c r="AH5" s="302">
        <f>AH3*'31_Inputs_UnitEconomics'!$B$16</f>
        <v>816340.61549892987</v>
      </c>
      <c r="AI5" s="302">
        <f>AI3*'31_Inputs_UnitEconomics'!$B$16</f>
        <v>887584.57866609143</v>
      </c>
      <c r="AJ5" s="302">
        <f>AJ3*'31_Inputs_UnitEconomics'!$B$16</f>
        <v>960744.87465208559</v>
      </c>
      <c r="AK5" s="302">
        <f>AK3*'31_Inputs_UnitEconomics'!$B$16</f>
        <v>1035723.6887570136</v>
      </c>
      <c r="AL5" s="188">
        <f>SUMIF('23_Time'!$B$3:$AK$3, 1,B5:AK5)</f>
        <v>43431.359982828879</v>
      </c>
      <c r="AM5" s="189">
        <f>SUMIF('23_Time'!$B$3:$AK$3, 2,B5:AK5)</f>
        <v>1558384.0352667947</v>
      </c>
      <c r="AN5" s="190">
        <f>SUMIF('23_Time'!$B$3:$AK$3, 3,B5:AK5)</f>
        <v>7942594.6066246033</v>
      </c>
    </row>
    <row r="6" spans="1:40" ht="15" thickBot="1" x14ac:dyDescent="0.35">
      <c r="A6" s="127" t="s">
        <v>167</v>
      </c>
      <c r="B6" s="199">
        <f>B3+B4-B5</f>
        <v>0</v>
      </c>
      <c r="C6" s="302">
        <f>C3+C4-C5</f>
        <v>0</v>
      </c>
      <c r="D6" s="302">
        <f t="shared" ref="D6:AK6" si="1">D3+D4-D5</f>
        <v>0</v>
      </c>
      <c r="E6" s="302">
        <f t="shared" si="1"/>
        <v>0</v>
      </c>
      <c r="F6" s="302">
        <f t="shared" si="1"/>
        <v>0</v>
      </c>
      <c r="G6" s="302">
        <f t="shared" si="1"/>
        <v>0</v>
      </c>
      <c r="H6" s="302">
        <f t="shared" si="1"/>
        <v>0</v>
      </c>
      <c r="I6" s="302">
        <f t="shared" si="1"/>
        <v>0</v>
      </c>
      <c r="J6" s="302">
        <f t="shared" si="1"/>
        <v>84899.265982908095</v>
      </c>
      <c r="K6" s="302">
        <f t="shared" si="1"/>
        <v>172767.61864518566</v>
      </c>
      <c r="L6" s="302">
        <f t="shared" si="1"/>
        <v>263509.43516585283</v>
      </c>
      <c r="M6" s="302">
        <f t="shared" si="1"/>
        <v>357045.26633176696</v>
      </c>
      <c r="N6" s="302">
        <f t="shared" si="1"/>
        <v>481593.32023227925</v>
      </c>
      <c r="O6" s="302">
        <f t="shared" si="1"/>
        <v>634469.53497685748</v>
      </c>
      <c r="P6" s="302">
        <f t="shared" si="1"/>
        <v>813249.41408642335</v>
      </c>
      <c r="Q6" s="302">
        <f t="shared" si="1"/>
        <v>1015745.962461544</v>
      </c>
      <c r="R6" s="302">
        <f t="shared" si="1"/>
        <v>1239989.4967483771</v>
      </c>
      <c r="S6" s="302">
        <f t="shared" si="1"/>
        <v>1484209.1731734811</v>
      </c>
      <c r="T6" s="302">
        <f t="shared" si="1"/>
        <v>1746816.0890344568</v>
      </c>
      <c r="U6" s="302">
        <f t="shared" si="1"/>
        <v>2079621.8816766276</v>
      </c>
      <c r="V6" s="302">
        <f t="shared" si="1"/>
        <v>2476400.2471113573</v>
      </c>
      <c r="W6" s="302">
        <f t="shared" si="1"/>
        <v>2931529.0787591944</v>
      </c>
      <c r="X6" s="302">
        <f t="shared" si="1"/>
        <v>3439938.9586091684</v>
      </c>
      <c r="Y6" s="302">
        <f t="shared" si="1"/>
        <v>3997066.0269496362</v>
      </c>
      <c r="Z6" s="302">
        <f t="shared" si="1"/>
        <v>4598808.8639318179</v>
      </c>
      <c r="AA6" s="302">
        <f t="shared" si="1"/>
        <v>5241489.0468824264</v>
      </c>
      <c r="AB6" s="302">
        <f t="shared" si="1"/>
        <v>5921815.0753799099</v>
      </c>
      <c r="AC6" s="302">
        <f t="shared" si="1"/>
        <v>6636849.3818630204</v>
      </c>
      <c r="AD6" s="302">
        <f t="shared" si="1"/>
        <v>7383978.16914606</v>
      </c>
      <c r="AE6" s="302">
        <f t="shared" si="1"/>
        <v>8160883.8378514601</v>
      </c>
      <c r="AF6" s="302">
        <f t="shared" si="1"/>
        <v>8965519.7866014559</v>
      </c>
      <c r="AG6" s="302">
        <f t="shared" si="1"/>
        <v>9796087.3859871589</v>
      </c>
      <c r="AH6" s="302">
        <f t="shared" si="1"/>
        <v>10651014.943993097</v>
      </c>
      <c r="AI6" s="302">
        <f t="shared" si="1"/>
        <v>11528938.495825028</v>
      </c>
      <c r="AJ6" s="302">
        <f t="shared" si="1"/>
        <v>12428684.265084164</v>
      </c>
      <c r="AK6" s="302">
        <f t="shared" si="1"/>
        <v>13349252.65605847</v>
      </c>
      <c r="AL6" s="188">
        <f>M6</f>
        <v>357045.26633176696</v>
      </c>
      <c r="AM6" s="189">
        <f>Y6</f>
        <v>3997066.0269496362</v>
      </c>
      <c r="AN6" s="190">
        <f>AK6</f>
        <v>13349252.65605847</v>
      </c>
    </row>
    <row r="7" spans="1:40" x14ac:dyDescent="0.3">
      <c r="A7" s="32" t="s">
        <v>176</v>
      </c>
      <c r="B7" s="276">
        <f>'41_Revenue_COGS'!B11*'35_Inputs_Capex_WC'!$C$6/30</f>
        <v>5022.727272727273</v>
      </c>
      <c r="C7" s="276">
        <f>'41_Revenue_COGS'!C11*'35_Inputs_Capex_WC'!$C$6/30</f>
        <v>10089.578893901322</v>
      </c>
      <c r="D7" s="276">
        <f>'41_Revenue_COGS'!D11*'35_Inputs_Capex_WC'!$C$6/30</f>
        <v>15204.995824393478</v>
      </c>
      <c r="E7" s="276">
        <f>'41_Revenue_COGS'!E11*'35_Inputs_Capex_WC'!$C$6/30</f>
        <v>20373.416679392627</v>
      </c>
      <c r="F7" s="276">
        <f>'41_Revenue_COGS'!F11*'35_Inputs_Capex_WC'!$C$6/30</f>
        <v>25599.281656798194</v>
      </c>
      <c r="G7" s="276">
        <f>'41_Revenue_COGS'!G11*'35_Inputs_Capex_WC'!$C$6/30</f>
        <v>30887.036425238064</v>
      </c>
      <c r="H7" s="276">
        <f>'41_Revenue_COGS'!H11*'35_Inputs_Capex_WC'!$C$6/30</f>
        <v>36241.135975550329</v>
      </c>
      <c r="I7" s="276">
        <f>'41_Revenue_COGS'!I11*'35_Inputs_Capex_WC'!$C$6/30</f>
        <v>41666.048439495098</v>
      </c>
      <c r="J7" s="276">
        <f>'41_Revenue_COGS'!J11*'35_Inputs_Capex_WC'!$C$6/30</f>
        <v>47166.258879393376</v>
      </c>
      <c r="K7" s="276">
        <f>'41_Revenue_COGS'!K11*'35_Inputs_Capex_WC'!$C$6/30</f>
        <v>52746.273052325872</v>
      </c>
      <c r="L7" s="276">
        <f>'41_Revenue_COGS'!L11*'35_Inputs_Capex_WC'!$C$6/30</f>
        <v>58410.621152462598</v>
      </c>
      <c r="M7" s="276">
        <f>'41_Revenue_COGS'!M11*'35_Inputs_Capex_WC'!$C$6/30</f>
        <v>64163.861535038071</v>
      </c>
      <c r="N7" s="276">
        <f>'41_Revenue_COGS'!N11*'35_Inputs_Capex_WC'!$C$6/30</f>
        <v>85723.2367193479</v>
      </c>
      <c r="O7" s="276">
        <f>'41_Revenue_COGS'!O11*'35_Inputs_Capex_WC'!$C$6/30</f>
        <v>107227.21746144528</v>
      </c>
      <c r="P7" s="276">
        <f>'41_Revenue_COGS'!P11*'35_Inputs_Capex_WC'!$C$6/30</f>
        <v>128695.74464313188</v>
      </c>
      <c r="Q7" s="276">
        <f>'41_Revenue_COGS'!Q11*'35_Inputs_Capex_WC'!$C$6/30</f>
        <v>150148.518267957</v>
      </c>
      <c r="R7" s="276">
        <f>'41_Revenue_COGS'!R11*'35_Inputs_Capex_WC'!$C$6/30</f>
        <v>171605.01731034915</v>
      </c>
      <c r="S7" s="276">
        <f>'41_Revenue_COGS'!S11*'35_Inputs_Capex_WC'!$C$6/30</f>
        <v>193084.51915970491</v>
      </c>
      <c r="T7" s="276">
        <f>'41_Revenue_COGS'!T11*'35_Inputs_Capex_WC'!$C$6/30</f>
        <v>214606.11868079574</v>
      </c>
      <c r="U7" s="276">
        <f>'41_Revenue_COGS'!U11*'35_Inputs_Capex_WC'!$C$6/30</f>
        <v>265763.22225650481</v>
      </c>
      <c r="V7" s="276">
        <f>'41_Revenue_COGS'!V11*'35_Inputs_Capex_WC'!$C$6/30</f>
        <v>316711.2160598787</v>
      </c>
      <c r="W7" s="276">
        <f>'41_Revenue_COGS'!W11*'35_Inputs_Capex_WC'!$C$6/30</f>
        <v>367497.51050395385</v>
      </c>
      <c r="X7" s="276">
        <f>'41_Revenue_COGS'!X11*'35_Inputs_Capex_WC'!$C$6/30</f>
        <v>418168.87208142964</v>
      </c>
      <c r="Y7" s="276">
        <f>'41_Revenue_COGS'!Y11*'35_Inputs_Capex_WC'!$C$6/30</f>
        <v>468771.47123586928</v>
      </c>
      <c r="Z7" s="276">
        <f>'41_Revenue_COGS'!Z11*'35_Inputs_Capex_WC'!$C$6/30</f>
        <v>519350.92920073221</v>
      </c>
      <c r="AA7" s="276">
        <f>'41_Revenue_COGS'!AA11*'35_Inputs_Capex_WC'!$C$6/30</f>
        <v>569952.36385829223</v>
      </c>
      <c r="AB7" s="276">
        <f>'41_Revenue_COGS'!AB11*'35_Inputs_Capex_WC'!$C$6/30</f>
        <v>620620.43466908438</v>
      </c>
      <c r="AC7" s="276">
        <f>'41_Revenue_COGS'!AC11*'35_Inputs_Capex_WC'!$C$6/30</f>
        <v>671399.38672116818</v>
      </c>
      <c r="AD7" s="276">
        <f>'41_Revenue_COGS'!AD11*'35_Inputs_Capex_WC'!$C$6/30</f>
        <v>722333.09394719929</v>
      </c>
      <c r="AE7" s="276">
        <f>'41_Revenue_COGS'!AE11*'35_Inputs_Capex_WC'!$C$6/30</f>
        <v>773465.10155605781</v>
      </c>
      <c r="AF7" s="276">
        <f>'41_Revenue_COGS'!AF11*'35_Inputs_Capex_WC'!$C$6/30</f>
        <v>824838.66772460227</v>
      </c>
      <c r="AG7" s="276">
        <f>'41_Revenue_COGS'!AG11*'35_Inputs_Capex_WC'!$C$6/30</f>
        <v>876496.80459397612</v>
      </c>
      <c r="AH7" s="276">
        <f>'41_Revenue_COGS'!AH11*'35_Inputs_Capex_WC'!$C$6/30</f>
        <v>928482.31861381582</v>
      </c>
      <c r="AI7" s="276">
        <f>'41_Revenue_COGS'!AI11*'35_Inputs_Capex_WC'!$C$6/30</f>
        <v>980837.85027667845</v>
      </c>
      <c r="AJ7" s="276">
        <f>'41_Revenue_COGS'!AJ11*'35_Inputs_Capex_WC'!$C$6/30</f>
        <v>1033605.9132840119</v>
      </c>
      <c r="AK7" s="276">
        <f>'41_Revenue_COGS'!AK11*'35_Inputs_Capex_WC'!$C$6/30</f>
        <v>1086828.9331840661</v>
      </c>
      <c r="AL7" s="277">
        <f>M7</f>
        <v>64163.861535038071</v>
      </c>
      <c r="AM7" s="276">
        <f>Y7</f>
        <v>468771.47123586928</v>
      </c>
      <c r="AN7" s="278">
        <f>AK7</f>
        <v>1086828.9331840661</v>
      </c>
    </row>
    <row r="8" spans="1:40" x14ac:dyDescent="0.3">
      <c r="A8" s="42" t="s">
        <v>175</v>
      </c>
      <c r="B8" s="18">
        <f>('42_OPEX'!B8+'42_OPEX'!B12+'42_OPEX'!B7)*'35_Inputs_Capex_WC'!$C$7/30</f>
        <v>467671.21212121216</v>
      </c>
      <c r="C8" s="18">
        <f>('42_OPEX'!C8+'42_OPEX'!C12+'42_OPEX'!C7)*'35_Inputs_Capex_WC'!$C$7/30</f>
        <v>472851.24911211361</v>
      </c>
      <c r="D8" s="18">
        <f>('42_OPEX'!D8+'42_OPEX'!D12+'42_OPEX'!D7)*'35_Inputs_Capex_WC'!$C$7/30</f>
        <v>478124.33249821211</v>
      </c>
      <c r="E8" s="18">
        <f>('42_OPEX'!E8+'42_OPEX'!E12+'42_OPEX'!E7)*'35_Inputs_Capex_WC'!$C$7/30</f>
        <v>483493.01666921191</v>
      </c>
      <c r="F8" s="18">
        <f>('42_OPEX'!F8+'42_OPEX'!F12+'42_OPEX'!F7)*'35_Inputs_Capex_WC'!$C$7/30</f>
        <v>488959.88966469304</v>
      </c>
      <c r="G8" s="18">
        <f>('42_OPEX'!G8+'42_OPEX'!G12+'42_OPEX'!G7)*'35_Inputs_Capex_WC'!$C$7/30</f>
        <v>494527.57461838092</v>
      </c>
      <c r="H8" s="18">
        <f>('42_OPEX'!H8+'42_OPEX'!H12+'42_OPEX'!H7)*'35_Inputs_Capex_WC'!$C$7/30</f>
        <v>500198.73120844335</v>
      </c>
      <c r="I8" s="18">
        <f>('42_OPEX'!I8+'42_OPEX'!I12+'42_OPEX'!I7)*'35_Inputs_Capex_WC'!$C$7/30</f>
        <v>505976.05711483228</v>
      </c>
      <c r="J8" s="18">
        <f>('42_OPEX'!J8+'42_OPEX'!J12+'42_OPEX'!J7)*'35_Inputs_Capex_WC'!$C$7/30</f>
        <v>511862.28948468401</v>
      </c>
      <c r="K8" s="18">
        <f>('42_OPEX'!K8+'42_OPEX'!K12+'42_OPEX'!K7)*'35_Inputs_Capex_WC'!$C$7/30</f>
        <v>517860.20640677982</v>
      </c>
      <c r="L8" s="18">
        <f>('42_OPEX'!L8+'42_OPEX'!L12+'42_OPEX'!L7)*'35_Inputs_Capex_WC'!$C$7/30</f>
        <v>523972.6283960669</v>
      </c>
      <c r="M8" s="18">
        <f>('42_OPEX'!M8+'42_OPEX'!M12+'42_OPEX'!M7)*'35_Inputs_Capex_WC'!$C$7/30</f>
        <v>530202.41988922679</v>
      </c>
      <c r="N8" s="18">
        <f>('42_OPEX'!N8+'42_OPEX'!N12+'42_OPEX'!N7)*'35_Inputs_Capex_WC'!$C$7/30</f>
        <v>858811.31401053618</v>
      </c>
      <c r="O8" s="18">
        <f>('42_OPEX'!O8+'42_OPEX'!O12+'42_OPEX'!O7)*'35_Inputs_Capex_WC'!$C$7/30</f>
        <v>874778.77682562231</v>
      </c>
      <c r="P8" s="18">
        <f>('42_OPEX'!P8+'42_OPEX'!P12+'42_OPEX'!P7)*'35_Inputs_Capex_WC'!$C$7/30</f>
        <v>890972.48226195958</v>
      </c>
      <c r="Q8" s="18">
        <f>('42_OPEX'!Q8+'42_OPEX'!Q12+'42_OPEX'!Q7)*'35_Inputs_Capex_WC'!$C$7/30</f>
        <v>907401.03698692482</v>
      </c>
      <c r="R8" s="18">
        <f>('42_OPEX'!R8+'42_OPEX'!R12+'42_OPEX'!R7)*'35_Inputs_Capex_WC'!$C$7/30</f>
        <v>924073.09679540317</v>
      </c>
      <c r="S8" s="18">
        <f>('42_OPEX'!S8+'42_OPEX'!S12+'42_OPEX'!S7)*'35_Inputs_Capex_WC'!$C$7/30</f>
        <v>940997.37236527412</v>
      </c>
      <c r="T8" s="18">
        <f>('42_OPEX'!T8+'42_OPEX'!T12+'42_OPEX'!T7)*'35_Inputs_Capex_WC'!$C$7/30</f>
        <v>958182.63497349247</v>
      </c>
      <c r="U8" s="18">
        <f>('42_OPEX'!U8+'42_OPEX'!U12+'42_OPEX'!U7)*'35_Inputs_Capex_WC'!$C$7/30</f>
        <v>1561485.9777846341</v>
      </c>
      <c r="V8" s="18">
        <f>('42_OPEX'!V8+'42_OPEX'!V12+'42_OPEX'!V7)*'35_Inputs_Capex_WC'!$C$7/30</f>
        <v>1596675.5765453093</v>
      </c>
      <c r="W8" s="18">
        <f>('42_OPEX'!W8+'42_OPEX'!W12+'42_OPEX'!W7)*'35_Inputs_Capex_WC'!$C$7/30</f>
        <v>1632332.8354341241</v>
      </c>
      <c r="X8" s="18">
        <f>('42_OPEX'!X8+'42_OPEX'!X12+'42_OPEX'!X7)*'35_Inputs_Capex_WC'!$C$7/30</f>
        <v>1668477.1077496191</v>
      </c>
      <c r="Y8" s="18">
        <f>('42_OPEX'!Y8+'42_OPEX'!Y12+'42_OPEX'!Y7)*'35_Inputs_Capex_WC'!$C$7/30</f>
        <v>1705127.8275805071</v>
      </c>
      <c r="Z8" s="18">
        <f>('42_OPEX'!Z8+'42_OPEX'!Z12+'42_OPEX'!Z7)*'35_Inputs_Capex_WC'!$C$7/30</f>
        <v>1742304.5231734798</v>
      </c>
      <c r="AA8" s="18">
        <f>('42_OPEX'!AA8+'42_OPEX'!AA12+'42_OPEX'!AA7)*'35_Inputs_Capex_WC'!$C$7/30</f>
        <v>1780026.8301849917</v>
      </c>
      <c r="AB8" s="18">
        <f>('42_OPEX'!AB8+'42_OPEX'!AB12+'42_OPEX'!AB7)*'35_Inputs_Capex_WC'!$C$7/30</f>
        <v>1818314.5048287499</v>
      </c>
      <c r="AC8" s="18">
        <f>('42_OPEX'!AC8+'42_OPEX'!AC12+'42_OPEX'!AC7)*'35_Inputs_Capex_WC'!$C$7/30</f>
        <v>1857187.4369303987</v>
      </c>
      <c r="AD8" s="18">
        <f>('42_OPEX'!AD8+'42_OPEX'!AD12+'42_OPEX'!AD7)*'35_Inputs_Capex_WC'!$C$7/30</f>
        <v>1896665.6629006618</v>
      </c>
      <c r="AE8" s="18">
        <f>('42_OPEX'!AE8+'42_OPEX'!AE12+'42_OPEX'!AE7)*'35_Inputs_Capex_WC'!$C$7/30</f>
        <v>1936769.3786379914</v>
      </c>
      <c r="AF8" s="18">
        <f>('42_OPEX'!AF8+'42_OPEX'!AF12+'42_OPEX'!AF7)*'35_Inputs_Capex_WC'!$C$7/30</f>
        <v>1977518.9523715684</v>
      </c>
      <c r="AG8" s="18">
        <f>('42_OPEX'!AG8+'42_OPEX'!AG12+'42_OPEX'!AG7)*'35_Inputs_Capex_WC'!$C$7/30</f>
        <v>2018934.9374553105</v>
      </c>
      <c r="AH8" s="18">
        <f>('42_OPEX'!AH8+'42_OPEX'!AH12+'42_OPEX'!AH7)*'35_Inputs_Capex_WC'!$C$7/30</f>
        <v>2061038.0851233418</v>
      </c>
      <c r="AI8" s="18">
        <f>('42_OPEX'!AI8+'42_OPEX'!AI12+'42_OPEX'!AI7)*'35_Inputs_Capex_WC'!$C$7/30</f>
        <v>2103849.3572172588</v>
      </c>
      <c r="AJ8" s="18">
        <f>('42_OPEX'!AJ8+'42_OPEX'!AJ12+'42_OPEX'!AJ7)*'35_Inputs_Capex_WC'!$C$7/30</f>
        <v>2147389.9388952972</v>
      </c>
      <c r="AK8" s="18">
        <f>('42_OPEX'!AK8+'42_OPEX'!AK12+'42_OPEX'!AK7)*'35_Inputs_Capex_WC'!$C$7/30</f>
        <v>2191681.2513334118</v>
      </c>
      <c r="AL8" s="285">
        <f t="shared" ref="AL8:AL9" si="2">M8</f>
        <v>530202.41988922679</v>
      </c>
      <c r="AM8" s="286">
        <f t="shared" ref="AM8:AM9" si="3">Y8</f>
        <v>1705127.8275805071</v>
      </c>
      <c r="AN8" s="287">
        <f t="shared" ref="AN8:AN9" si="4">AK8</f>
        <v>2191681.2513334118</v>
      </c>
    </row>
    <row r="9" spans="1:40" ht="15" thickBot="1" x14ac:dyDescent="0.35">
      <c r="A9" s="24" t="s">
        <v>65</v>
      </c>
      <c r="B9" s="25">
        <f>'41_Revenue_COGS'!B10*('35_Inputs_Capex_WC'!$B$8-1)/2</f>
        <v>0</v>
      </c>
      <c r="C9" s="25">
        <f>'41_Revenue_COGS'!C10*('35_Inputs_Capex_WC'!$B$8-1)/2</f>
        <v>0</v>
      </c>
      <c r="D9" s="25">
        <f>'41_Revenue_COGS'!D10*('35_Inputs_Capex_WC'!$B$8-1)/2</f>
        <v>0</v>
      </c>
      <c r="E9" s="25">
        <f>'41_Revenue_COGS'!E10*('35_Inputs_Capex_WC'!$B$8-1)/2</f>
        <v>0</v>
      </c>
      <c r="F9" s="25">
        <f>'41_Revenue_COGS'!F10*('35_Inputs_Capex_WC'!$B$8-1)/2</f>
        <v>0</v>
      </c>
      <c r="G9" s="25">
        <f>'41_Revenue_COGS'!G10*('35_Inputs_Capex_WC'!$B$8-1)/2</f>
        <v>0</v>
      </c>
      <c r="H9" s="25">
        <f>'41_Revenue_COGS'!H10*('35_Inputs_Capex_WC'!$B$8-1)/2</f>
        <v>0</v>
      </c>
      <c r="I9" s="25">
        <f>'41_Revenue_COGS'!I10*('35_Inputs_Capex_WC'!$B$8-1)/2</f>
        <v>0</v>
      </c>
      <c r="J9" s="25">
        <f>'41_Revenue_COGS'!J10*('35_Inputs_Capex_WC'!$B$8-1)/2</f>
        <v>0</v>
      </c>
      <c r="K9" s="25">
        <f>'41_Revenue_COGS'!K10*('35_Inputs_Capex_WC'!$B$8-1)/2</f>
        <v>0</v>
      </c>
      <c r="L9" s="25">
        <f>'41_Revenue_COGS'!L10*('35_Inputs_Capex_WC'!$B$8-1)/2</f>
        <v>0</v>
      </c>
      <c r="M9" s="25">
        <f>'41_Revenue_COGS'!M10*('35_Inputs_Capex_WC'!$B$8-1)/2</f>
        <v>0</v>
      </c>
      <c r="N9" s="25">
        <f>'41_Revenue_COGS'!N10*('35_Inputs_Capex_WC'!$B$8-1)/2</f>
        <v>0</v>
      </c>
      <c r="O9" s="25">
        <f>'41_Revenue_COGS'!O10*('35_Inputs_Capex_WC'!$B$8-1)/2</f>
        <v>0</v>
      </c>
      <c r="P9" s="25">
        <f>'41_Revenue_COGS'!P10*('35_Inputs_Capex_WC'!$B$8-1)/2</f>
        <v>0</v>
      </c>
      <c r="Q9" s="25">
        <f>'41_Revenue_COGS'!Q10*('35_Inputs_Capex_WC'!$B$8-1)/2</f>
        <v>0</v>
      </c>
      <c r="R9" s="25">
        <f>'41_Revenue_COGS'!R10*('35_Inputs_Capex_WC'!$B$8-1)/2</f>
        <v>0</v>
      </c>
      <c r="S9" s="25">
        <f>'41_Revenue_COGS'!S10*('35_Inputs_Capex_WC'!$B$8-1)/2</f>
        <v>0</v>
      </c>
      <c r="T9" s="25">
        <f>'41_Revenue_COGS'!T10*('35_Inputs_Capex_WC'!$B$8-1)/2</f>
        <v>0</v>
      </c>
      <c r="U9" s="25">
        <f>'41_Revenue_COGS'!U10*('35_Inputs_Capex_WC'!$B$8-1)/2</f>
        <v>0</v>
      </c>
      <c r="V9" s="25">
        <f>'41_Revenue_COGS'!V10*('35_Inputs_Capex_WC'!$B$8-1)/2</f>
        <v>0</v>
      </c>
      <c r="W9" s="25">
        <f>'41_Revenue_COGS'!W10*('35_Inputs_Capex_WC'!$B$8-1)/2</f>
        <v>0</v>
      </c>
      <c r="X9" s="25">
        <f>'41_Revenue_COGS'!X10*('35_Inputs_Capex_WC'!$B$8-1)/2</f>
        <v>0</v>
      </c>
      <c r="Y9" s="25">
        <f>'41_Revenue_COGS'!Y10*('35_Inputs_Capex_WC'!$B$8-1)/2</f>
        <v>0</v>
      </c>
      <c r="Z9" s="25">
        <f>'41_Revenue_COGS'!Z10*('35_Inputs_Capex_WC'!$B$8-1)/2</f>
        <v>0</v>
      </c>
      <c r="AA9" s="25">
        <f>'41_Revenue_COGS'!AA10*('35_Inputs_Capex_WC'!$B$8-1)/2</f>
        <v>0</v>
      </c>
      <c r="AB9" s="25">
        <f>'41_Revenue_COGS'!AB10*('35_Inputs_Capex_WC'!$B$8-1)/2</f>
        <v>0</v>
      </c>
      <c r="AC9" s="25">
        <f>'41_Revenue_COGS'!AC10*('35_Inputs_Capex_WC'!$B$8-1)/2</f>
        <v>0</v>
      </c>
      <c r="AD9" s="25">
        <f>'41_Revenue_COGS'!AD10*('35_Inputs_Capex_WC'!$B$8-1)/2</f>
        <v>0</v>
      </c>
      <c r="AE9" s="25">
        <f>'41_Revenue_COGS'!AE10*('35_Inputs_Capex_WC'!$B$8-1)/2</f>
        <v>0</v>
      </c>
      <c r="AF9" s="25">
        <f>'41_Revenue_COGS'!AF10*('35_Inputs_Capex_WC'!$B$8-1)/2</f>
        <v>0</v>
      </c>
      <c r="AG9" s="25">
        <f>'41_Revenue_COGS'!AG10*('35_Inputs_Capex_WC'!$B$8-1)/2</f>
        <v>0</v>
      </c>
      <c r="AH9" s="25">
        <f>'41_Revenue_COGS'!AH10*('35_Inputs_Capex_WC'!$B$8-1)/2</f>
        <v>0</v>
      </c>
      <c r="AI9" s="25">
        <f>'41_Revenue_COGS'!AI10*('35_Inputs_Capex_WC'!$B$8-1)/2</f>
        <v>0</v>
      </c>
      <c r="AJ9" s="25">
        <f>'41_Revenue_COGS'!AJ10*('35_Inputs_Capex_WC'!$B$8-1)/2</f>
        <v>0</v>
      </c>
      <c r="AK9" s="25">
        <f>'41_Revenue_COGS'!AK10*('35_Inputs_Capex_WC'!$B$8-1)/2</f>
        <v>0</v>
      </c>
      <c r="AL9" s="26">
        <f t="shared" si="2"/>
        <v>0</v>
      </c>
      <c r="AM9" s="25">
        <f t="shared" si="3"/>
        <v>0</v>
      </c>
      <c r="AN9" s="27">
        <f t="shared" si="4"/>
        <v>0</v>
      </c>
    </row>
    <row r="10" spans="1:40" ht="15" thickBot="1" x14ac:dyDescent="0.35">
      <c r="A10" s="205" t="s">
        <v>288</v>
      </c>
      <c r="B10" s="288">
        <f>'42_OPEX'!B6*15/30</f>
        <v>342700</v>
      </c>
      <c r="C10" s="288">
        <f>'42_OPEX'!C6*15/30</f>
        <v>342700</v>
      </c>
      <c r="D10" s="288">
        <f>'42_OPEX'!D6*15/30</f>
        <v>342700</v>
      </c>
      <c r="E10" s="288">
        <f>'42_OPEX'!E6*15/30</f>
        <v>342700</v>
      </c>
      <c r="F10" s="288">
        <f>'42_OPEX'!F6*15/30</f>
        <v>342700</v>
      </c>
      <c r="G10" s="288">
        <f>'42_OPEX'!G6*15/30</f>
        <v>342700</v>
      </c>
      <c r="H10" s="288">
        <f>'42_OPEX'!H6*15/30</f>
        <v>370300</v>
      </c>
      <c r="I10" s="288">
        <f>'42_OPEX'!I6*15/30</f>
        <v>413999.99999999994</v>
      </c>
      <c r="J10" s="288">
        <f>'42_OPEX'!J6*15/30</f>
        <v>441599.99999999994</v>
      </c>
      <c r="K10" s="288">
        <f>'42_OPEX'!K6*15/30</f>
        <v>473799.99999999994</v>
      </c>
      <c r="L10" s="288">
        <f>'42_OPEX'!L6*15/30</f>
        <v>512899.99999999994</v>
      </c>
      <c r="M10" s="288">
        <f>'42_OPEX'!M6*15/30</f>
        <v>545100</v>
      </c>
      <c r="N10" s="288">
        <f>'42_OPEX'!N6*15/30</f>
        <v>545100</v>
      </c>
      <c r="O10" s="288">
        <f>'42_OPEX'!O6*15/30</f>
        <v>552000</v>
      </c>
      <c r="P10" s="288">
        <f>'42_OPEX'!P6*15/30</f>
        <v>552000</v>
      </c>
      <c r="Q10" s="288">
        <f>'42_OPEX'!Q6*15/30</f>
        <v>552000</v>
      </c>
      <c r="R10" s="288">
        <f>'42_OPEX'!R6*15/30</f>
        <v>558900</v>
      </c>
      <c r="S10" s="288">
        <f>'42_OPEX'!S6*15/30</f>
        <v>558900</v>
      </c>
      <c r="T10" s="288">
        <f>'42_OPEX'!T6*15/30</f>
        <v>558900</v>
      </c>
      <c r="U10" s="288">
        <f>'42_OPEX'!U6*15/30</f>
        <v>615250</v>
      </c>
      <c r="V10" s="288">
        <f>'42_OPEX'!V6*15/30</f>
        <v>640550</v>
      </c>
      <c r="W10" s="288">
        <f>'42_OPEX'!W6*15/30</f>
        <v>690000</v>
      </c>
      <c r="X10" s="288">
        <f>'42_OPEX'!X6*15/30</f>
        <v>722200</v>
      </c>
      <c r="Y10" s="288">
        <f>'42_OPEX'!Y6*15/30</f>
        <v>747500</v>
      </c>
      <c r="Z10" s="288">
        <f>'42_OPEX'!Z6*15/30</f>
        <v>757849.99999999988</v>
      </c>
      <c r="AA10" s="288">
        <f>'42_OPEX'!AA6*15/30</f>
        <v>764749.99999999988</v>
      </c>
      <c r="AB10" s="288">
        <f>'42_OPEX'!AB6*15/30</f>
        <v>790049.99999999988</v>
      </c>
      <c r="AC10" s="288">
        <f>'42_OPEX'!AC6*15/30</f>
        <v>802699.99999999988</v>
      </c>
      <c r="AD10" s="288">
        <f>'42_OPEX'!AD6*15/30</f>
        <v>819949.99999999988</v>
      </c>
      <c r="AE10" s="288">
        <f>'42_OPEX'!AE6*15/30</f>
        <v>846399.99999999988</v>
      </c>
      <c r="AF10" s="288">
        <f>'42_OPEX'!AF6*15/30</f>
        <v>856749.99999999988</v>
      </c>
      <c r="AG10" s="288">
        <f>'42_OPEX'!AG6*15/30</f>
        <v>876299.99999999988</v>
      </c>
      <c r="AH10" s="288">
        <f>'42_OPEX'!AH6*15/30</f>
        <v>901599.99999999988</v>
      </c>
      <c r="AI10" s="288">
        <f>'42_OPEX'!AI6*15/30</f>
        <v>901599.99999999988</v>
      </c>
      <c r="AJ10" s="288">
        <f>'42_OPEX'!AJ6*15/30</f>
        <v>918849.99999999988</v>
      </c>
      <c r="AK10" s="288">
        <f>'42_OPEX'!AK6*15/30</f>
        <v>918849.99999999988</v>
      </c>
      <c r="AL10" s="443">
        <f>N10</f>
        <v>545100</v>
      </c>
      <c r="AM10" s="288">
        <f>Z10</f>
        <v>757849.99999999988</v>
      </c>
      <c r="AN10" s="444">
        <f>AK10</f>
        <v>918849.99999999988</v>
      </c>
    </row>
    <row r="11" spans="1:40" x14ac:dyDescent="0.3">
      <c r="B11" s="5"/>
      <c r="C11" s="5"/>
      <c r="D11" s="5"/>
      <c r="E11" s="5"/>
      <c r="F11" s="5"/>
      <c r="G11" s="5"/>
      <c r="H11" s="5"/>
      <c r="I11" s="5"/>
      <c r="J11" s="5"/>
      <c r="K11" s="5"/>
      <c r="L11" s="5"/>
      <c r="M11" s="5"/>
      <c r="N11" s="5"/>
      <c r="O11" s="5"/>
      <c r="P11" s="5"/>
      <c r="Q11" s="5"/>
      <c r="R11" s="5"/>
      <c r="S11" s="5"/>
      <c r="T11" s="5"/>
      <c r="U11" s="5"/>
      <c r="V11" s="5"/>
      <c r="W11" s="5"/>
      <c r="X11" s="5"/>
      <c r="Y11" s="5"/>
      <c r="Z11" s="5"/>
      <c r="AA11" s="5"/>
      <c r="AB11" s="5"/>
      <c r="AC11" s="5"/>
      <c r="AD11" s="5"/>
      <c r="AE11" s="5"/>
      <c r="AF11" s="5"/>
      <c r="AG11" s="5"/>
      <c r="AH11" s="5"/>
      <c r="AI11" s="5"/>
      <c r="AJ11" s="5"/>
      <c r="AK11" s="5"/>
      <c r="AL11" s="5"/>
      <c r="AM11" s="5"/>
      <c r="AN11" s="5"/>
    </row>
    <row r="12" spans="1:40" x14ac:dyDescent="0.3">
      <c r="B12" s="5"/>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c r="AL12" s="5"/>
      <c r="AM12" s="5"/>
      <c r="AN12" s="5"/>
    </row>
    <row r="13" spans="1:40" x14ac:dyDescent="0.3">
      <c r="B13" s="5"/>
      <c r="C13" s="5"/>
      <c r="D13" s="5"/>
      <c r="E13" s="5"/>
      <c r="F13" s="5"/>
      <c r="G13" s="5"/>
      <c r="H13" s="5"/>
      <c r="I13" s="5"/>
      <c r="J13" s="5"/>
      <c r="K13" s="5"/>
      <c r="L13" s="5"/>
      <c r="M13" s="5"/>
      <c r="N13" s="5"/>
      <c r="O13" s="5"/>
      <c r="P13" s="5"/>
      <c r="Q13" s="5"/>
      <c r="R13" s="5"/>
      <c r="S13" s="5"/>
      <c r="T13" s="5"/>
      <c r="U13" s="5"/>
      <c r="V13" s="5"/>
      <c r="W13" s="5"/>
      <c r="X13" s="5"/>
      <c r="Y13" s="5"/>
      <c r="Z13" s="5"/>
      <c r="AA13" s="5"/>
      <c r="AB13" s="5"/>
      <c r="AC13" s="5"/>
      <c r="AD13" s="5"/>
      <c r="AE13" s="5"/>
      <c r="AF13" s="5"/>
      <c r="AG13" s="5"/>
      <c r="AH13" s="5"/>
      <c r="AI13" s="5"/>
      <c r="AJ13" s="5"/>
      <c r="AK13" s="5"/>
      <c r="AL13" s="5"/>
      <c r="AM13" s="5"/>
      <c r="AN13" s="5"/>
    </row>
    <row r="14" spans="1:40" x14ac:dyDescent="0.3">
      <c r="B14" s="5"/>
      <c r="C14" s="5"/>
      <c r="D14" s="5"/>
      <c r="E14" s="5"/>
      <c r="F14" s="5"/>
      <c r="G14" s="5"/>
      <c r="H14" s="5"/>
      <c r="I14" s="5"/>
      <c r="J14" s="5"/>
      <c r="K14" s="5"/>
      <c r="L14" s="5"/>
      <c r="M14" s="5"/>
      <c r="N14" s="5"/>
      <c r="O14" s="5"/>
      <c r="P14" s="5"/>
      <c r="Q14" s="5"/>
      <c r="R14" s="5"/>
      <c r="S14" s="5"/>
      <c r="T14" s="5"/>
      <c r="U14" s="5"/>
      <c r="V14" s="5"/>
      <c r="W14" s="5"/>
      <c r="X14" s="5"/>
      <c r="Y14" s="5"/>
      <c r="Z14" s="5"/>
      <c r="AA14" s="5"/>
      <c r="AB14" s="5"/>
      <c r="AC14" s="5"/>
      <c r="AD14" s="5"/>
      <c r="AE14" s="5"/>
      <c r="AF14" s="5"/>
      <c r="AG14" s="5"/>
      <c r="AH14" s="5"/>
      <c r="AI14" s="5"/>
      <c r="AJ14" s="5"/>
      <c r="AK14" s="5"/>
      <c r="AL14" s="5"/>
      <c r="AM14" s="5"/>
      <c r="AN14" s="5"/>
    </row>
    <row r="15" spans="1:40" x14ac:dyDescent="0.3">
      <c r="B15" s="5"/>
      <c r="C15" s="5"/>
      <c r="D15" s="5"/>
      <c r="E15" s="5"/>
      <c r="F15" s="5"/>
      <c r="G15" s="5"/>
      <c r="H15" s="5"/>
      <c r="I15" s="5"/>
      <c r="J15" s="5"/>
      <c r="K15" s="5"/>
      <c r="L15" s="5"/>
      <c r="M15" s="5"/>
      <c r="N15" s="5"/>
      <c r="O15" s="5"/>
      <c r="P15" s="5"/>
      <c r="Q15" s="5"/>
      <c r="R15" s="5"/>
      <c r="S15" s="5"/>
      <c r="T15" s="5"/>
      <c r="U15" s="5"/>
      <c r="V15" s="5"/>
      <c r="W15" s="5"/>
      <c r="X15" s="5"/>
      <c r="Y15" s="5"/>
      <c r="Z15" s="5"/>
      <c r="AA15" s="5"/>
      <c r="AB15" s="5"/>
      <c r="AC15" s="5"/>
      <c r="AD15" s="5"/>
      <c r="AE15" s="5"/>
      <c r="AF15" s="5"/>
      <c r="AG15" s="5"/>
      <c r="AH15" s="5"/>
      <c r="AI15" s="5"/>
      <c r="AJ15" s="5"/>
      <c r="AK15" s="5"/>
      <c r="AL15" s="5"/>
      <c r="AM15" s="5"/>
      <c r="AN15" s="5"/>
    </row>
    <row r="16" spans="1:40" x14ac:dyDescent="0.3">
      <c r="B16" s="5"/>
      <c r="C16" s="5"/>
      <c r="D16" s="5"/>
      <c r="E16" s="5"/>
      <c r="F16" s="5"/>
      <c r="G16" s="5"/>
      <c r="H16" s="5"/>
      <c r="I16" s="5"/>
      <c r="J16" s="5"/>
      <c r="K16" s="5"/>
      <c r="L16" s="5"/>
      <c r="M16" s="5"/>
      <c r="N16" s="5"/>
      <c r="O16" s="5"/>
      <c r="P16" s="5"/>
      <c r="Q16" s="5"/>
      <c r="R16" s="5"/>
      <c r="S16" s="5"/>
      <c r="T16" s="5"/>
      <c r="U16" s="5"/>
      <c r="V16" s="5"/>
      <c r="W16" s="5"/>
      <c r="X16" s="5"/>
      <c r="Y16" s="5"/>
      <c r="Z16" s="5"/>
      <c r="AA16" s="5"/>
      <c r="AB16" s="5"/>
      <c r="AC16" s="5"/>
      <c r="AD16" s="5"/>
      <c r="AE16" s="5"/>
      <c r="AF16" s="5"/>
      <c r="AG16" s="5"/>
      <c r="AH16" s="5"/>
      <c r="AI16" s="5"/>
      <c r="AJ16" s="5"/>
      <c r="AK16" s="5"/>
      <c r="AL16" s="5"/>
      <c r="AM16" s="5"/>
      <c r="AN16" s="5"/>
    </row>
    <row r="17" spans="2:40" x14ac:dyDescent="0.3">
      <c r="B17" s="5"/>
      <c r="C17" s="5"/>
      <c r="D17" s="5"/>
      <c r="E17" s="5"/>
      <c r="F17" s="5"/>
      <c r="G17" s="5"/>
      <c r="H17" s="5"/>
      <c r="I17" s="5"/>
      <c r="J17" s="5"/>
      <c r="K17" s="5"/>
      <c r="L17" s="5"/>
      <c r="M17" s="5"/>
      <c r="N17" s="5"/>
      <c r="O17" s="5"/>
      <c r="P17" s="5"/>
      <c r="Q17" s="5"/>
      <c r="R17" s="5"/>
      <c r="S17" s="5"/>
      <c r="T17" s="5"/>
      <c r="U17" s="5"/>
      <c r="V17" s="5"/>
      <c r="W17" s="5"/>
      <c r="X17" s="5"/>
      <c r="Y17" s="5"/>
      <c r="Z17" s="5"/>
      <c r="AA17" s="5"/>
      <c r="AB17" s="5"/>
      <c r="AC17" s="5"/>
      <c r="AD17" s="5"/>
      <c r="AE17" s="5"/>
      <c r="AF17" s="5"/>
      <c r="AG17" s="5"/>
      <c r="AH17" s="5"/>
      <c r="AI17" s="5"/>
      <c r="AJ17" s="5"/>
      <c r="AK17" s="5"/>
      <c r="AL17" s="5"/>
      <c r="AM17" s="5"/>
      <c r="AN17" s="5"/>
    </row>
    <row r="18" spans="2:40" x14ac:dyDescent="0.3">
      <c r="B18" s="5"/>
      <c r="C18" s="5"/>
      <c r="D18" s="5"/>
      <c r="E18" s="5"/>
      <c r="F18" s="5"/>
      <c r="G18" s="5"/>
      <c r="H18" s="5"/>
      <c r="I18" s="5"/>
      <c r="J18" s="5"/>
      <c r="K18" s="5"/>
      <c r="L18" s="5"/>
      <c r="M18" s="5"/>
      <c r="N18" s="5"/>
      <c r="O18" s="5"/>
      <c r="P18" s="5"/>
      <c r="Q18" s="5"/>
      <c r="R18" s="5"/>
      <c r="S18" s="5"/>
      <c r="T18" s="5"/>
      <c r="U18" s="5"/>
      <c r="V18" s="5"/>
      <c r="W18" s="5"/>
      <c r="X18" s="5"/>
      <c r="Y18" s="5"/>
      <c r="Z18" s="5"/>
      <c r="AA18" s="5"/>
      <c r="AB18" s="5"/>
      <c r="AC18" s="5"/>
      <c r="AD18" s="5"/>
      <c r="AE18" s="5"/>
      <c r="AF18" s="5"/>
      <c r="AG18" s="5"/>
      <c r="AH18" s="5"/>
      <c r="AI18" s="5"/>
      <c r="AJ18" s="5"/>
      <c r="AK18" s="5"/>
      <c r="AL18" s="5"/>
      <c r="AM18" s="5"/>
      <c r="AN18" s="5"/>
    </row>
    <row r="19" spans="2:40" x14ac:dyDescent="0.3">
      <c r="B19" s="5"/>
      <c r="C19" s="5"/>
      <c r="D19" s="5"/>
      <c r="E19" s="5"/>
      <c r="F19" s="5"/>
      <c r="G19" s="5"/>
      <c r="H19" s="5"/>
      <c r="I19" s="5"/>
      <c r="J19" s="5"/>
      <c r="K19" s="5"/>
      <c r="L19" s="5"/>
      <c r="M19" s="5"/>
      <c r="N19" s="5"/>
      <c r="O19" s="5"/>
      <c r="P19" s="5"/>
      <c r="Q19" s="5"/>
      <c r="R19" s="5"/>
      <c r="S19" s="5"/>
      <c r="T19" s="5"/>
      <c r="U19" s="5"/>
      <c r="V19" s="5"/>
      <c r="W19" s="5"/>
      <c r="X19" s="5"/>
      <c r="Y19" s="5"/>
      <c r="Z19" s="5"/>
      <c r="AA19" s="5"/>
      <c r="AB19" s="5"/>
      <c r="AC19" s="5"/>
      <c r="AD19" s="5"/>
      <c r="AE19" s="5"/>
      <c r="AF19" s="5"/>
      <c r="AG19" s="5"/>
      <c r="AH19" s="5"/>
      <c r="AI19" s="5"/>
      <c r="AJ19" s="5"/>
      <c r="AK19" s="5"/>
      <c r="AL19" s="5"/>
      <c r="AM19" s="5"/>
      <c r="AN19" s="5"/>
    </row>
    <row r="20" spans="2:40" x14ac:dyDescent="0.3">
      <c r="B20" s="5"/>
      <c r="C20" s="5"/>
      <c r="D20" s="5"/>
      <c r="E20" s="5"/>
      <c r="F20" s="5"/>
      <c r="G20" s="5"/>
      <c r="H20" s="5"/>
      <c r="I20" s="5"/>
      <c r="J20" s="5"/>
      <c r="K20" s="5"/>
      <c r="L20" s="5"/>
      <c r="M20" s="5"/>
      <c r="N20" s="5"/>
      <c r="O20" s="5"/>
      <c r="P20" s="5"/>
      <c r="Q20" s="5"/>
      <c r="R20" s="5"/>
      <c r="S20" s="5"/>
      <c r="T20" s="5"/>
      <c r="U20" s="5"/>
      <c r="V20" s="5"/>
      <c r="W20" s="5"/>
      <c r="X20" s="5"/>
      <c r="Y20" s="5"/>
      <c r="Z20" s="5"/>
      <c r="AA20" s="5"/>
      <c r="AB20" s="5"/>
      <c r="AC20" s="5"/>
      <c r="AD20" s="5"/>
      <c r="AE20" s="5"/>
      <c r="AF20" s="5"/>
      <c r="AG20" s="5"/>
      <c r="AH20" s="5"/>
      <c r="AI20" s="5"/>
      <c r="AJ20" s="5"/>
      <c r="AK20" s="5"/>
      <c r="AL20" s="5"/>
      <c r="AM20" s="5"/>
      <c r="AN20" s="5"/>
    </row>
    <row r="21" spans="2:40" x14ac:dyDescent="0.3">
      <c r="B21" s="5"/>
      <c r="C21" s="5"/>
      <c r="D21" s="5"/>
      <c r="E21" s="5"/>
      <c r="F21" s="5"/>
      <c r="G21" s="5"/>
      <c r="H21" s="5"/>
      <c r="I21" s="5"/>
      <c r="J21" s="5"/>
      <c r="K21" s="5"/>
      <c r="L21" s="5"/>
      <c r="M21" s="5"/>
      <c r="N21" s="5"/>
      <c r="O21" s="5"/>
      <c r="P21" s="5"/>
      <c r="Q21" s="5"/>
      <c r="R21" s="5"/>
      <c r="S21" s="5"/>
      <c r="T21" s="5"/>
      <c r="U21" s="5"/>
      <c r="V21" s="5"/>
      <c r="W21" s="5"/>
      <c r="X21" s="5"/>
      <c r="Y21" s="5"/>
      <c r="Z21" s="5"/>
      <c r="AA21" s="5"/>
      <c r="AB21" s="5"/>
      <c r="AC21" s="5"/>
      <c r="AD21" s="5"/>
      <c r="AE21" s="5"/>
      <c r="AF21" s="5"/>
      <c r="AG21" s="5"/>
      <c r="AH21" s="5"/>
      <c r="AI21" s="5"/>
      <c r="AJ21" s="5"/>
      <c r="AK21" s="5"/>
      <c r="AL21" s="5"/>
      <c r="AM21" s="5"/>
      <c r="AN21" s="5"/>
    </row>
    <row r="22" spans="2:40" x14ac:dyDescent="0.3">
      <c r="B22" s="5"/>
      <c r="C22" s="5"/>
      <c r="D22" s="5"/>
      <c r="E22" s="5"/>
      <c r="F22" s="5"/>
      <c r="G22" s="5"/>
      <c r="H22" s="5"/>
      <c r="I22" s="5"/>
      <c r="J22" s="5"/>
      <c r="K22" s="5"/>
      <c r="L22" s="5"/>
      <c r="M22" s="5"/>
      <c r="N22" s="5"/>
      <c r="O22" s="5"/>
      <c r="P22" s="5"/>
      <c r="Q22" s="5"/>
      <c r="R22" s="5"/>
      <c r="S22" s="5"/>
      <c r="T22" s="5"/>
      <c r="U22" s="5"/>
      <c r="V22" s="5"/>
      <c r="W22" s="5"/>
      <c r="X22" s="5"/>
      <c r="Y22" s="5"/>
      <c r="Z22" s="5"/>
      <c r="AA22" s="5"/>
      <c r="AB22" s="5"/>
      <c r="AC22" s="5"/>
      <c r="AD22" s="5"/>
      <c r="AE22" s="5"/>
      <c r="AF22" s="5"/>
      <c r="AG22" s="5"/>
      <c r="AH22" s="5"/>
      <c r="AI22" s="5"/>
      <c r="AJ22" s="5"/>
      <c r="AK22" s="5"/>
      <c r="AL22" s="5"/>
      <c r="AM22" s="5"/>
      <c r="AN22" s="5"/>
    </row>
    <row r="23" spans="2:40" x14ac:dyDescent="0.3">
      <c r="B23" s="5"/>
      <c r="C23" s="5"/>
      <c r="D23" s="5"/>
      <c r="E23" s="5"/>
      <c r="F23" s="5"/>
      <c r="G23" s="5"/>
      <c r="H23" s="5"/>
      <c r="I23" s="5"/>
      <c r="J23" s="5"/>
      <c r="K23" s="5"/>
      <c r="L23" s="5"/>
      <c r="M23" s="5"/>
      <c r="N23" s="5"/>
      <c r="O23" s="5"/>
      <c r="P23" s="5"/>
      <c r="Q23" s="5"/>
      <c r="R23" s="5"/>
      <c r="S23" s="5"/>
      <c r="T23" s="5"/>
      <c r="U23" s="5"/>
      <c r="V23" s="5"/>
      <c r="W23" s="5"/>
      <c r="X23" s="5"/>
      <c r="Y23" s="5"/>
      <c r="Z23" s="5"/>
      <c r="AA23" s="5"/>
      <c r="AB23" s="5"/>
      <c r="AC23" s="5"/>
      <c r="AD23" s="5"/>
      <c r="AE23" s="5"/>
      <c r="AF23" s="5"/>
      <c r="AG23" s="5"/>
      <c r="AH23" s="5"/>
      <c r="AI23" s="5"/>
      <c r="AJ23" s="5"/>
      <c r="AK23" s="5"/>
      <c r="AL23" s="5"/>
      <c r="AM23" s="5"/>
      <c r="AN23" s="5"/>
    </row>
    <row r="24" spans="2:40" x14ac:dyDescent="0.3">
      <c r="B24" s="5"/>
      <c r="C24" s="5"/>
      <c r="D24" s="5"/>
      <c r="E24" s="5"/>
      <c r="F24" s="5"/>
      <c r="G24" s="5"/>
      <c r="H24" s="5"/>
      <c r="I24" s="5"/>
      <c r="J24" s="5"/>
      <c r="K24" s="5"/>
      <c r="L24" s="5"/>
      <c r="M24" s="5"/>
      <c r="N24" s="5"/>
      <c r="O24" s="5"/>
      <c r="P24" s="5"/>
      <c r="Q24" s="5"/>
      <c r="R24" s="5"/>
      <c r="S24" s="5"/>
      <c r="T24" s="5"/>
      <c r="U24" s="5"/>
      <c r="V24" s="5"/>
      <c r="W24" s="5"/>
      <c r="X24" s="5"/>
      <c r="Y24" s="5"/>
      <c r="Z24" s="5"/>
      <c r="AA24" s="5"/>
      <c r="AB24" s="5"/>
      <c r="AC24" s="5"/>
      <c r="AD24" s="5"/>
      <c r="AE24" s="5"/>
      <c r="AF24" s="5"/>
      <c r="AG24" s="5"/>
      <c r="AH24" s="5"/>
      <c r="AI24" s="5"/>
      <c r="AJ24" s="5"/>
      <c r="AK24" s="5"/>
      <c r="AL24" s="5"/>
      <c r="AM24" s="5"/>
      <c r="AN24" s="5"/>
    </row>
    <row r="25" spans="2:40" x14ac:dyDescent="0.3">
      <c r="B25" s="5"/>
      <c r="C25" s="5"/>
      <c r="D25" s="5"/>
      <c r="E25" s="5"/>
      <c r="F25" s="5"/>
      <c r="G25" s="5"/>
      <c r="H25" s="5"/>
      <c r="I25" s="5"/>
      <c r="J25" s="5"/>
      <c r="K25" s="5"/>
      <c r="L25" s="5"/>
      <c r="M25" s="5"/>
      <c r="N25" s="5"/>
      <c r="O25" s="5"/>
      <c r="P25" s="5"/>
      <c r="Q25" s="5"/>
      <c r="R25" s="5"/>
      <c r="S25" s="5"/>
      <c r="T25" s="5"/>
      <c r="U25" s="5"/>
      <c r="V25" s="5"/>
      <c r="W25" s="5"/>
      <c r="X25" s="5"/>
      <c r="Y25" s="5"/>
      <c r="Z25" s="5"/>
      <c r="AA25" s="5"/>
      <c r="AB25" s="5"/>
      <c r="AC25" s="5"/>
      <c r="AD25" s="5"/>
      <c r="AE25" s="5"/>
      <c r="AF25" s="5"/>
      <c r="AG25" s="5"/>
      <c r="AH25" s="5"/>
      <c r="AI25" s="5"/>
      <c r="AJ25" s="5"/>
      <c r="AK25" s="5"/>
      <c r="AL25" s="5"/>
      <c r="AM25" s="5"/>
      <c r="AN25" s="5"/>
    </row>
    <row r="26" spans="2:40" x14ac:dyDescent="0.3">
      <c r="B26" s="5"/>
      <c r="C26" s="5"/>
      <c r="D26" s="5"/>
      <c r="E26" s="5"/>
      <c r="F26" s="5"/>
      <c r="G26" s="5"/>
      <c r="H26" s="5"/>
      <c r="I26" s="5"/>
      <c r="J26" s="5"/>
      <c r="K26" s="5"/>
      <c r="L26" s="5"/>
      <c r="M26" s="5"/>
      <c r="N26" s="5"/>
      <c r="O26" s="5"/>
      <c r="P26" s="5"/>
      <c r="Q26" s="5"/>
      <c r="R26" s="5"/>
      <c r="S26" s="5"/>
      <c r="T26" s="5"/>
      <c r="U26" s="5"/>
      <c r="V26" s="5"/>
      <c r="W26" s="5"/>
      <c r="X26" s="5"/>
      <c r="Y26" s="5"/>
      <c r="Z26" s="5"/>
      <c r="AA26" s="5"/>
      <c r="AB26" s="5"/>
      <c r="AC26" s="5"/>
      <c r="AD26" s="5"/>
      <c r="AE26" s="5"/>
      <c r="AF26" s="5"/>
      <c r="AG26" s="5"/>
      <c r="AH26" s="5"/>
      <c r="AI26" s="5"/>
      <c r="AJ26" s="5"/>
      <c r="AK26" s="5"/>
      <c r="AL26" s="5"/>
      <c r="AM26" s="5"/>
      <c r="AN26" s="5"/>
    </row>
    <row r="27" spans="2:40" x14ac:dyDescent="0.3">
      <c r="B27" s="5"/>
      <c r="C27" s="5"/>
      <c r="D27" s="5"/>
      <c r="E27" s="5"/>
      <c r="F27" s="5"/>
      <c r="G27" s="5"/>
      <c r="H27" s="5"/>
      <c r="I27" s="5"/>
      <c r="J27" s="5"/>
      <c r="K27" s="5"/>
      <c r="L27" s="5"/>
      <c r="M27" s="5"/>
      <c r="N27" s="5"/>
      <c r="O27" s="5"/>
      <c r="P27" s="5"/>
      <c r="Q27" s="5"/>
      <c r="R27" s="5"/>
      <c r="S27" s="5"/>
      <c r="T27" s="5"/>
      <c r="U27" s="5"/>
      <c r="V27" s="5"/>
      <c r="W27" s="5"/>
      <c r="X27" s="5"/>
      <c r="Y27" s="5"/>
      <c r="Z27" s="5"/>
      <c r="AA27" s="5"/>
      <c r="AB27" s="5"/>
      <c r="AC27" s="5"/>
      <c r="AD27" s="5"/>
      <c r="AE27" s="5"/>
      <c r="AF27" s="5"/>
      <c r="AG27" s="5"/>
      <c r="AH27" s="5"/>
      <c r="AI27" s="5"/>
      <c r="AJ27" s="5"/>
      <c r="AK27" s="5"/>
      <c r="AL27" s="5"/>
      <c r="AM27" s="5"/>
      <c r="AN27" s="5"/>
    </row>
    <row r="28" spans="2:40" x14ac:dyDescent="0.3">
      <c r="B28" s="5"/>
      <c r="C28" s="5"/>
      <c r="D28" s="5"/>
      <c r="E28" s="5"/>
      <c r="F28" s="5"/>
      <c r="G28" s="5"/>
      <c r="H28" s="5"/>
      <c r="I28" s="5"/>
      <c r="J28" s="5"/>
      <c r="K28" s="5"/>
      <c r="L28" s="5"/>
      <c r="M28" s="5"/>
      <c r="N28" s="5"/>
      <c r="O28" s="5"/>
      <c r="P28" s="5"/>
      <c r="Q28" s="5"/>
      <c r="R28" s="5"/>
      <c r="S28" s="5"/>
      <c r="T28" s="5"/>
      <c r="U28" s="5"/>
      <c r="V28" s="5"/>
      <c r="W28" s="5"/>
      <c r="X28" s="5"/>
      <c r="Y28" s="5"/>
      <c r="Z28" s="5"/>
      <c r="AA28" s="5"/>
      <c r="AB28" s="5"/>
      <c r="AC28" s="5"/>
      <c r="AD28" s="5"/>
      <c r="AE28" s="5"/>
      <c r="AF28" s="5"/>
      <c r="AG28" s="5"/>
      <c r="AH28" s="5"/>
      <c r="AI28" s="5"/>
      <c r="AJ28" s="5"/>
      <c r="AK28" s="5"/>
      <c r="AL28" s="5"/>
      <c r="AM28" s="5"/>
      <c r="AN28" s="5"/>
    </row>
    <row r="29" spans="2:40" x14ac:dyDescent="0.3">
      <c r="B29" s="5"/>
      <c r="C29" s="5"/>
      <c r="D29" s="5"/>
      <c r="E29" s="5"/>
      <c r="F29" s="5"/>
      <c r="G29" s="5"/>
      <c r="H29" s="5"/>
      <c r="I29" s="5"/>
      <c r="J29" s="5"/>
      <c r="K29" s="5"/>
      <c r="L29" s="5"/>
      <c r="M29" s="5"/>
      <c r="N29" s="5"/>
      <c r="O29" s="5"/>
      <c r="P29" s="5"/>
      <c r="Q29" s="5"/>
      <c r="R29" s="5"/>
      <c r="S29" s="5"/>
      <c r="T29" s="5"/>
      <c r="U29" s="5"/>
      <c r="V29" s="5"/>
      <c r="W29" s="5"/>
      <c r="X29" s="5"/>
      <c r="Y29" s="5"/>
      <c r="Z29" s="5"/>
      <c r="AA29" s="5"/>
      <c r="AB29" s="5"/>
      <c r="AC29" s="5"/>
      <c r="AD29" s="5"/>
      <c r="AE29" s="5"/>
      <c r="AF29" s="5"/>
      <c r="AG29" s="5"/>
      <c r="AH29" s="5"/>
      <c r="AI29" s="5"/>
      <c r="AJ29" s="5"/>
      <c r="AK29" s="5"/>
      <c r="AL29" s="5"/>
      <c r="AM29" s="5"/>
      <c r="AN29" s="5"/>
    </row>
    <row r="30" spans="2:40" x14ac:dyDescent="0.3">
      <c r="B30" s="5"/>
      <c r="C30" s="5"/>
      <c r="D30" s="5"/>
      <c r="E30" s="5"/>
      <c r="F30" s="5"/>
      <c r="G30" s="5"/>
      <c r="H30" s="5"/>
      <c r="I30" s="5"/>
      <c r="J30" s="5"/>
      <c r="K30" s="5"/>
      <c r="L30" s="5"/>
      <c r="M30" s="5"/>
      <c r="N30" s="5"/>
      <c r="O30" s="5"/>
      <c r="P30" s="5"/>
      <c r="Q30" s="5"/>
      <c r="R30" s="5"/>
      <c r="S30" s="5"/>
      <c r="T30" s="5"/>
      <c r="U30" s="5"/>
      <c r="V30" s="5"/>
      <c r="W30" s="5"/>
      <c r="X30" s="5"/>
      <c r="Y30" s="5"/>
      <c r="Z30" s="5"/>
      <c r="AA30" s="5"/>
      <c r="AB30" s="5"/>
      <c r="AC30" s="5"/>
      <c r="AD30" s="5"/>
      <c r="AE30" s="5"/>
      <c r="AF30" s="5"/>
      <c r="AG30" s="5"/>
      <c r="AH30" s="5"/>
      <c r="AI30" s="5"/>
      <c r="AJ30" s="5"/>
      <c r="AK30" s="5"/>
      <c r="AL30" s="5"/>
      <c r="AM30" s="5"/>
      <c r="AN30" s="5"/>
    </row>
    <row r="31" spans="2:40" x14ac:dyDescent="0.3">
      <c r="B31" s="5"/>
      <c r="C31" s="5"/>
      <c r="D31" s="5"/>
      <c r="E31" s="5"/>
      <c r="F31" s="5"/>
      <c r="G31" s="5"/>
      <c r="H31" s="5"/>
      <c r="I31" s="5"/>
      <c r="J31" s="5"/>
      <c r="K31" s="5"/>
      <c r="L31" s="5"/>
      <c r="M31" s="5"/>
      <c r="N31" s="5"/>
      <c r="O31" s="5"/>
      <c r="P31" s="5"/>
      <c r="Q31" s="5"/>
      <c r="R31" s="5"/>
      <c r="S31" s="5"/>
      <c r="T31" s="5"/>
      <c r="U31" s="5"/>
      <c r="V31" s="5"/>
      <c r="W31" s="5"/>
      <c r="X31" s="5"/>
      <c r="Y31" s="5"/>
      <c r="Z31" s="5"/>
      <c r="AA31" s="5"/>
      <c r="AB31" s="5"/>
      <c r="AC31" s="5"/>
      <c r="AD31" s="5"/>
      <c r="AE31" s="5"/>
      <c r="AF31" s="5"/>
      <c r="AG31" s="5"/>
      <c r="AH31" s="5"/>
      <c r="AI31" s="5"/>
      <c r="AJ31" s="5"/>
      <c r="AK31" s="5"/>
      <c r="AL31" s="5"/>
      <c r="AM31" s="5"/>
      <c r="AN31" s="5"/>
    </row>
    <row r="32" spans="2:40" x14ac:dyDescent="0.3">
      <c r="B32" s="5"/>
      <c r="C32" s="5"/>
      <c r="D32" s="5"/>
      <c r="E32" s="5"/>
      <c r="F32" s="5"/>
      <c r="G32" s="5"/>
      <c r="H32" s="5"/>
      <c r="I32" s="5"/>
      <c r="J32" s="5"/>
      <c r="K32" s="5"/>
      <c r="L32" s="5"/>
      <c r="M32" s="5"/>
      <c r="N32" s="5"/>
      <c r="O32" s="5"/>
      <c r="P32" s="5"/>
      <c r="Q32" s="5"/>
      <c r="R32" s="5"/>
      <c r="S32" s="5"/>
      <c r="T32" s="5"/>
      <c r="U32" s="5"/>
      <c r="V32" s="5"/>
      <c r="W32" s="5"/>
      <c r="X32" s="5"/>
      <c r="Y32" s="5"/>
      <c r="Z32" s="5"/>
      <c r="AA32" s="5"/>
      <c r="AB32" s="5"/>
      <c r="AC32" s="5"/>
      <c r="AD32" s="5"/>
      <c r="AE32" s="5"/>
      <c r="AF32" s="5"/>
      <c r="AG32" s="5"/>
      <c r="AH32" s="5"/>
      <c r="AI32" s="5"/>
      <c r="AJ32" s="5"/>
      <c r="AK32" s="5"/>
      <c r="AL32" s="5"/>
      <c r="AM32" s="5"/>
      <c r="AN32" s="5"/>
    </row>
    <row r="33" spans="2:40" x14ac:dyDescent="0.3">
      <c r="B33" s="5"/>
      <c r="C33" s="5"/>
      <c r="D33" s="5"/>
      <c r="E33" s="5"/>
      <c r="F33" s="5"/>
      <c r="G33" s="5"/>
      <c r="H33" s="5"/>
      <c r="I33" s="5"/>
      <c r="J33" s="5"/>
      <c r="K33" s="5"/>
      <c r="L33" s="5"/>
      <c r="M33" s="5"/>
      <c r="N33" s="5"/>
      <c r="O33" s="5"/>
      <c r="P33" s="5"/>
      <c r="Q33" s="5"/>
      <c r="R33" s="5"/>
      <c r="S33" s="5"/>
      <c r="T33" s="5"/>
      <c r="U33" s="5"/>
      <c r="V33" s="5"/>
      <c r="W33" s="5"/>
      <c r="X33" s="5"/>
      <c r="Y33" s="5"/>
      <c r="Z33" s="5"/>
      <c r="AA33" s="5"/>
      <c r="AB33" s="5"/>
      <c r="AC33" s="5"/>
      <c r="AD33" s="5"/>
      <c r="AE33" s="5"/>
      <c r="AF33" s="5"/>
      <c r="AG33" s="5"/>
      <c r="AH33" s="5"/>
      <c r="AI33" s="5"/>
      <c r="AJ33" s="5"/>
      <c r="AK33" s="5"/>
      <c r="AL33" s="5"/>
      <c r="AM33" s="5"/>
      <c r="AN33" s="5"/>
    </row>
    <row r="34" spans="2:40" x14ac:dyDescent="0.3">
      <c r="B34" s="5"/>
      <c r="C34" s="5"/>
      <c r="D34" s="5"/>
      <c r="E34" s="5"/>
      <c r="F34" s="5"/>
      <c r="G34" s="5"/>
      <c r="H34" s="5"/>
      <c r="I34" s="5"/>
      <c r="J34" s="5"/>
      <c r="K34" s="5"/>
      <c r="L34" s="5"/>
      <c r="M34" s="5"/>
      <c r="N34" s="5"/>
      <c r="O34" s="5"/>
      <c r="P34" s="5"/>
      <c r="Q34" s="5"/>
      <c r="R34" s="5"/>
      <c r="S34" s="5"/>
      <c r="T34" s="5"/>
      <c r="U34" s="5"/>
      <c r="V34" s="5"/>
      <c r="W34" s="5"/>
      <c r="X34" s="5"/>
      <c r="Y34" s="5"/>
      <c r="Z34" s="5"/>
      <c r="AA34" s="5"/>
      <c r="AB34" s="5"/>
      <c r="AC34" s="5"/>
      <c r="AD34" s="5"/>
      <c r="AE34" s="5"/>
      <c r="AF34" s="5"/>
      <c r="AG34" s="5"/>
      <c r="AH34" s="5"/>
      <c r="AI34" s="5"/>
      <c r="AJ34" s="5"/>
      <c r="AK34" s="5"/>
      <c r="AL34" s="5"/>
      <c r="AM34" s="5"/>
      <c r="AN34" s="5"/>
    </row>
    <row r="35" spans="2:40" x14ac:dyDescent="0.3">
      <c r="B35" s="5"/>
      <c r="C35" s="5"/>
      <c r="D35" s="5"/>
      <c r="E35" s="5"/>
      <c r="F35" s="5"/>
      <c r="G35" s="5"/>
      <c r="H35" s="5"/>
      <c r="I35" s="5"/>
      <c r="J35" s="5"/>
      <c r="K35" s="5"/>
      <c r="L35" s="5"/>
      <c r="M35" s="5"/>
      <c r="N35" s="5"/>
      <c r="O35" s="5"/>
      <c r="P35" s="5"/>
      <c r="Q35" s="5"/>
      <c r="R35" s="5"/>
      <c r="S35" s="5"/>
      <c r="T35" s="5"/>
      <c r="U35" s="5"/>
      <c r="V35" s="5"/>
      <c r="W35" s="5"/>
      <c r="X35" s="5"/>
      <c r="Y35" s="5"/>
      <c r="Z35" s="5"/>
      <c r="AA35" s="5"/>
      <c r="AB35" s="5"/>
      <c r="AC35" s="5"/>
      <c r="AD35" s="5"/>
      <c r="AE35" s="5"/>
      <c r="AF35" s="5"/>
      <c r="AG35" s="5"/>
      <c r="AH35" s="5"/>
      <c r="AI35" s="5"/>
      <c r="AJ35" s="5"/>
      <c r="AK35" s="5"/>
      <c r="AL35" s="5"/>
      <c r="AM35" s="5"/>
      <c r="AN35" s="5"/>
    </row>
    <row r="36" spans="2:40" x14ac:dyDescent="0.3">
      <c r="B36" s="5"/>
      <c r="C36" s="5"/>
      <c r="D36" s="5"/>
      <c r="E36" s="5"/>
      <c r="F36" s="5"/>
      <c r="G36" s="5"/>
      <c r="H36" s="5"/>
      <c r="I36" s="5"/>
      <c r="J36" s="5"/>
      <c r="K36" s="5"/>
      <c r="L36" s="5"/>
      <c r="M36" s="5"/>
      <c r="N36" s="5"/>
      <c r="O36" s="5"/>
      <c r="P36" s="5"/>
      <c r="Q36" s="5"/>
      <c r="R36" s="5"/>
      <c r="S36" s="5"/>
      <c r="T36" s="5"/>
      <c r="U36" s="5"/>
      <c r="V36" s="5"/>
      <c r="W36" s="5"/>
      <c r="X36" s="5"/>
      <c r="Y36" s="5"/>
      <c r="Z36" s="5"/>
      <c r="AA36" s="5"/>
      <c r="AB36" s="5"/>
      <c r="AC36" s="5"/>
      <c r="AD36" s="5"/>
      <c r="AE36" s="5"/>
      <c r="AF36" s="5"/>
      <c r="AG36" s="5"/>
      <c r="AH36" s="5"/>
      <c r="AI36" s="5"/>
      <c r="AJ36" s="5"/>
      <c r="AK36" s="5"/>
      <c r="AL36" s="5"/>
      <c r="AM36" s="5"/>
      <c r="AN36" s="5"/>
    </row>
    <row r="37" spans="2:40" x14ac:dyDescent="0.3">
      <c r="B37" s="5"/>
      <c r="C37" s="5"/>
      <c r="D37" s="5"/>
      <c r="E37" s="5"/>
      <c r="F37" s="5"/>
      <c r="G37" s="5"/>
      <c r="H37" s="5"/>
      <c r="I37" s="5"/>
      <c r="J37" s="5"/>
      <c r="K37" s="5"/>
      <c r="L37" s="5"/>
      <c r="M37" s="5"/>
      <c r="N37" s="5"/>
      <c r="O37" s="5"/>
      <c r="P37" s="5"/>
      <c r="Q37" s="5"/>
      <c r="R37" s="5"/>
      <c r="S37" s="5"/>
      <c r="T37" s="5"/>
      <c r="U37" s="5"/>
      <c r="V37" s="5"/>
      <c r="W37" s="5"/>
      <c r="X37" s="5"/>
      <c r="Y37" s="5"/>
      <c r="Z37" s="5"/>
      <c r="AA37" s="5"/>
      <c r="AB37" s="5"/>
      <c r="AC37" s="5"/>
      <c r="AD37" s="5"/>
      <c r="AE37" s="5"/>
      <c r="AF37" s="5"/>
      <c r="AG37" s="5"/>
      <c r="AH37" s="5"/>
      <c r="AI37" s="5"/>
      <c r="AJ37" s="5"/>
      <c r="AK37" s="5"/>
      <c r="AL37" s="5"/>
      <c r="AM37" s="5"/>
      <c r="AN37" s="5"/>
    </row>
    <row r="38" spans="2:40" x14ac:dyDescent="0.3">
      <c r="B38" s="5"/>
      <c r="C38" s="5"/>
      <c r="D38" s="5"/>
      <c r="E38" s="5"/>
      <c r="F38" s="5"/>
      <c r="G38" s="5"/>
      <c r="H38" s="5"/>
      <c r="I38" s="5"/>
      <c r="J38" s="5"/>
      <c r="K38" s="5"/>
      <c r="L38" s="5"/>
      <c r="M38" s="5"/>
      <c r="N38" s="5"/>
      <c r="O38" s="5"/>
      <c r="P38" s="5"/>
      <c r="Q38" s="5"/>
      <c r="R38" s="5"/>
      <c r="S38" s="5"/>
      <c r="T38" s="5"/>
      <c r="U38" s="5"/>
      <c r="V38" s="5"/>
      <c r="W38" s="5"/>
      <c r="X38" s="5"/>
      <c r="Y38" s="5"/>
      <c r="Z38" s="5"/>
      <c r="AA38" s="5"/>
      <c r="AB38" s="5"/>
      <c r="AC38" s="5"/>
      <c r="AD38" s="5"/>
      <c r="AE38" s="5"/>
      <c r="AF38" s="5"/>
      <c r="AG38" s="5"/>
      <c r="AH38" s="5"/>
      <c r="AI38" s="5"/>
      <c r="AJ38" s="5"/>
      <c r="AK38" s="5"/>
      <c r="AL38" s="5"/>
      <c r="AM38" s="5"/>
      <c r="AN38" s="5"/>
    </row>
    <row r="39" spans="2:40" x14ac:dyDescent="0.3">
      <c r="B39" s="5"/>
      <c r="C39" s="5"/>
      <c r="D39" s="5"/>
      <c r="E39" s="5"/>
      <c r="F39" s="5"/>
      <c r="G39" s="5"/>
      <c r="H39" s="5"/>
      <c r="I39" s="5"/>
      <c r="J39" s="5"/>
      <c r="K39" s="5"/>
      <c r="L39" s="5"/>
      <c r="M39" s="5"/>
      <c r="N39" s="5"/>
      <c r="O39" s="5"/>
      <c r="P39" s="5"/>
      <c r="Q39" s="5"/>
      <c r="R39" s="5"/>
      <c r="S39" s="5"/>
      <c r="T39" s="5"/>
      <c r="U39" s="5"/>
      <c r="V39" s="5"/>
      <c r="W39" s="5"/>
      <c r="X39" s="5"/>
      <c r="Y39" s="5"/>
      <c r="Z39" s="5"/>
      <c r="AA39" s="5"/>
      <c r="AB39" s="5"/>
      <c r="AC39" s="5"/>
      <c r="AD39" s="5"/>
      <c r="AE39" s="5"/>
      <c r="AF39" s="5"/>
      <c r="AG39" s="5"/>
      <c r="AH39" s="5"/>
      <c r="AI39" s="5"/>
      <c r="AJ39" s="5"/>
      <c r="AK39" s="5"/>
      <c r="AL39" s="5"/>
      <c r="AM39" s="5"/>
      <c r="AN39" s="5"/>
    </row>
    <row r="40" spans="2:40" x14ac:dyDescent="0.3">
      <c r="B40" s="5"/>
      <c r="C40" s="5"/>
      <c r="D40" s="5"/>
      <c r="E40" s="5"/>
      <c r="F40" s="5"/>
      <c r="G40" s="5"/>
      <c r="H40" s="5"/>
      <c r="I40" s="5"/>
      <c r="J40" s="5"/>
      <c r="K40" s="5"/>
      <c r="L40" s="5"/>
      <c r="M40" s="5"/>
      <c r="N40" s="5"/>
      <c r="O40" s="5"/>
      <c r="P40" s="5"/>
      <c r="Q40" s="5"/>
      <c r="R40" s="5"/>
      <c r="S40" s="5"/>
      <c r="T40" s="5"/>
      <c r="U40" s="5"/>
      <c r="V40" s="5"/>
      <c r="W40" s="5"/>
      <c r="X40" s="5"/>
      <c r="Y40" s="5"/>
      <c r="Z40" s="5"/>
      <c r="AA40" s="5"/>
      <c r="AB40" s="5"/>
      <c r="AC40" s="5"/>
      <c r="AD40" s="5"/>
      <c r="AE40" s="5"/>
      <c r="AF40" s="5"/>
      <c r="AG40" s="5"/>
      <c r="AH40" s="5"/>
      <c r="AI40" s="5"/>
      <c r="AJ40" s="5"/>
      <c r="AK40" s="5"/>
      <c r="AL40" s="5"/>
      <c r="AM40" s="5"/>
      <c r="AN40" s="5"/>
    </row>
    <row r="41" spans="2:40" x14ac:dyDescent="0.3">
      <c r="B41" s="5"/>
      <c r="C41" s="5"/>
      <c r="D41" s="5"/>
      <c r="E41" s="5"/>
      <c r="F41" s="5"/>
      <c r="G41" s="5"/>
      <c r="H41" s="5"/>
      <c r="I41" s="5"/>
      <c r="J41" s="5"/>
      <c r="K41" s="5"/>
      <c r="L41" s="5"/>
      <c r="M41" s="5"/>
      <c r="N41" s="5"/>
      <c r="O41" s="5"/>
      <c r="P41" s="5"/>
      <c r="Q41" s="5"/>
      <c r="R41" s="5"/>
      <c r="S41" s="5"/>
      <c r="T41" s="5"/>
      <c r="U41" s="5"/>
      <c r="V41" s="5"/>
      <c r="W41" s="5"/>
      <c r="X41" s="5"/>
      <c r="Y41" s="5"/>
      <c r="Z41" s="5"/>
      <c r="AA41" s="5"/>
      <c r="AB41" s="5"/>
      <c r="AC41" s="5"/>
      <c r="AD41" s="5"/>
      <c r="AE41" s="5"/>
      <c r="AF41" s="5"/>
      <c r="AG41" s="5"/>
      <c r="AH41" s="5"/>
      <c r="AI41" s="5"/>
      <c r="AJ41" s="5"/>
      <c r="AK41" s="5"/>
      <c r="AL41" s="5"/>
      <c r="AM41" s="5"/>
      <c r="AN41" s="5"/>
    </row>
    <row r="42" spans="2:40" x14ac:dyDescent="0.3">
      <c r="B42" s="5"/>
      <c r="C42" s="5"/>
      <c r="D42" s="5"/>
      <c r="E42" s="5"/>
      <c r="F42" s="5"/>
      <c r="G42" s="5"/>
      <c r="H42" s="5"/>
      <c r="I42" s="5"/>
      <c r="J42" s="5"/>
      <c r="K42" s="5"/>
      <c r="L42" s="5"/>
      <c r="M42" s="5"/>
      <c r="N42" s="5"/>
      <c r="O42" s="5"/>
      <c r="P42" s="5"/>
      <c r="Q42" s="5"/>
      <c r="R42" s="5"/>
      <c r="S42" s="5"/>
      <c r="T42" s="5"/>
      <c r="U42" s="5"/>
      <c r="V42" s="5"/>
      <c r="W42" s="5"/>
      <c r="X42" s="5"/>
      <c r="Y42" s="5"/>
      <c r="Z42" s="5"/>
      <c r="AA42" s="5"/>
      <c r="AB42" s="5"/>
      <c r="AC42" s="5"/>
      <c r="AD42" s="5"/>
      <c r="AE42" s="5"/>
      <c r="AF42" s="5"/>
      <c r="AG42" s="5"/>
      <c r="AH42" s="5"/>
      <c r="AI42" s="5"/>
      <c r="AJ42" s="5"/>
      <c r="AK42" s="5"/>
      <c r="AL42" s="5"/>
      <c r="AM42" s="5"/>
      <c r="AN42" s="5"/>
    </row>
    <row r="43" spans="2:40" x14ac:dyDescent="0.3">
      <c r="B43" s="5"/>
      <c r="C43" s="5"/>
      <c r="D43" s="5"/>
      <c r="E43" s="5"/>
      <c r="F43" s="5"/>
      <c r="G43" s="5"/>
      <c r="H43" s="5"/>
      <c r="I43" s="5"/>
      <c r="J43" s="5"/>
      <c r="K43" s="5"/>
      <c r="L43" s="5"/>
      <c r="M43" s="5"/>
      <c r="N43" s="5"/>
      <c r="O43" s="5"/>
      <c r="P43" s="5"/>
      <c r="Q43" s="5"/>
      <c r="R43" s="5"/>
      <c r="S43" s="5"/>
      <c r="T43" s="5"/>
      <c r="U43" s="5"/>
      <c r="V43" s="5"/>
      <c r="W43" s="5"/>
      <c r="X43" s="5"/>
      <c r="Y43" s="5"/>
      <c r="Z43" s="5"/>
      <c r="AA43" s="5"/>
      <c r="AB43" s="5"/>
      <c r="AC43" s="5"/>
      <c r="AD43" s="5"/>
      <c r="AE43" s="5"/>
      <c r="AF43" s="5"/>
      <c r="AG43" s="5"/>
      <c r="AH43" s="5"/>
      <c r="AI43" s="5"/>
      <c r="AJ43" s="5"/>
      <c r="AK43" s="5"/>
      <c r="AL43" s="5"/>
      <c r="AM43" s="5"/>
      <c r="AN43" s="5"/>
    </row>
    <row r="44" spans="2:40" x14ac:dyDescent="0.3">
      <c r="B44" s="5"/>
      <c r="C44" s="5"/>
      <c r="D44" s="5"/>
      <c r="E44" s="5"/>
      <c r="F44" s="5"/>
      <c r="G44" s="5"/>
      <c r="H44" s="5"/>
      <c r="I44" s="5"/>
      <c r="J44" s="5"/>
      <c r="K44" s="5"/>
      <c r="L44" s="5"/>
      <c r="M44" s="5"/>
      <c r="N44" s="5"/>
      <c r="O44" s="5"/>
      <c r="P44" s="5"/>
      <c r="Q44" s="5"/>
      <c r="R44" s="5"/>
      <c r="S44" s="5"/>
      <c r="T44" s="5"/>
      <c r="U44" s="5"/>
      <c r="V44" s="5"/>
      <c r="W44" s="5"/>
      <c r="X44" s="5"/>
      <c r="Y44" s="5"/>
      <c r="Z44" s="5"/>
      <c r="AA44" s="5"/>
      <c r="AB44" s="5"/>
      <c r="AC44" s="5"/>
      <c r="AD44" s="5"/>
      <c r="AE44" s="5"/>
      <c r="AF44" s="5"/>
      <c r="AG44" s="5"/>
      <c r="AH44" s="5"/>
      <c r="AI44" s="5"/>
      <c r="AJ44" s="5"/>
      <c r="AK44" s="5"/>
      <c r="AL44" s="5"/>
      <c r="AM44" s="5"/>
      <c r="AN44" s="5"/>
    </row>
    <row r="45" spans="2:40" x14ac:dyDescent="0.3">
      <c r="B45" s="5"/>
      <c r="C45" s="5"/>
      <c r="D45" s="5"/>
      <c r="E45" s="5"/>
      <c r="F45" s="5"/>
      <c r="G45" s="5"/>
      <c r="H45" s="5"/>
      <c r="I45" s="5"/>
      <c r="J45" s="5"/>
      <c r="K45" s="5"/>
      <c r="L45" s="5"/>
      <c r="M45" s="5"/>
      <c r="N45" s="5"/>
      <c r="O45" s="5"/>
      <c r="P45" s="5"/>
      <c r="Q45" s="5"/>
      <c r="R45" s="5"/>
      <c r="S45" s="5"/>
      <c r="T45" s="5"/>
      <c r="U45" s="5"/>
      <c r="V45" s="5"/>
      <c r="W45" s="5"/>
      <c r="X45" s="5"/>
      <c r="Y45" s="5"/>
      <c r="Z45" s="5"/>
      <c r="AA45" s="5"/>
      <c r="AB45" s="5"/>
      <c r="AC45" s="5"/>
      <c r="AD45" s="5"/>
      <c r="AE45" s="5"/>
      <c r="AF45" s="5"/>
      <c r="AG45" s="5"/>
      <c r="AH45" s="5"/>
      <c r="AI45" s="5"/>
      <c r="AJ45" s="5"/>
      <c r="AK45" s="5"/>
      <c r="AL45" s="5"/>
      <c r="AM45" s="5"/>
      <c r="AN45" s="5"/>
    </row>
    <row r="46" spans="2:40" x14ac:dyDescent="0.3">
      <c r="B46" s="5"/>
      <c r="C46" s="5"/>
      <c r="D46" s="5"/>
      <c r="E46" s="5"/>
      <c r="F46" s="5"/>
      <c r="G46" s="5"/>
      <c r="H46" s="5"/>
      <c r="I46" s="5"/>
      <c r="J46" s="5"/>
      <c r="K46" s="5"/>
      <c r="L46" s="5"/>
      <c r="M46" s="5"/>
      <c r="N46" s="5"/>
      <c r="O46" s="5"/>
      <c r="P46" s="5"/>
      <c r="Q46" s="5"/>
      <c r="R46" s="5"/>
      <c r="S46" s="5"/>
      <c r="T46" s="5"/>
      <c r="U46" s="5"/>
      <c r="V46" s="5"/>
      <c r="W46" s="5"/>
      <c r="X46" s="5"/>
      <c r="Y46" s="5"/>
      <c r="Z46" s="5"/>
      <c r="AA46" s="5"/>
      <c r="AB46" s="5"/>
      <c r="AC46" s="5"/>
      <c r="AD46" s="5"/>
      <c r="AE46" s="5"/>
      <c r="AF46" s="5"/>
      <c r="AG46" s="5"/>
      <c r="AH46" s="5"/>
      <c r="AI46" s="5"/>
      <c r="AJ46" s="5"/>
      <c r="AK46" s="5"/>
      <c r="AL46" s="5"/>
      <c r="AM46" s="5"/>
      <c r="AN46" s="5"/>
    </row>
    <row r="47" spans="2:40" x14ac:dyDescent="0.3">
      <c r="B47" s="5"/>
      <c r="C47" s="5"/>
      <c r="D47" s="5"/>
      <c r="E47" s="5"/>
      <c r="F47" s="5"/>
      <c r="G47" s="5"/>
      <c r="H47" s="5"/>
      <c r="I47" s="5"/>
      <c r="J47" s="5"/>
      <c r="K47" s="5"/>
      <c r="L47" s="5"/>
      <c r="M47" s="5"/>
      <c r="N47" s="5"/>
      <c r="O47" s="5"/>
      <c r="P47" s="5"/>
      <c r="Q47" s="5"/>
      <c r="R47" s="5"/>
      <c r="S47" s="5"/>
      <c r="T47" s="5"/>
      <c r="U47" s="5"/>
      <c r="V47" s="5"/>
      <c r="W47" s="5"/>
      <c r="X47" s="5"/>
      <c r="Y47" s="5"/>
      <c r="Z47" s="5"/>
      <c r="AA47" s="5"/>
      <c r="AB47" s="5"/>
      <c r="AC47" s="5"/>
      <c r="AD47" s="5"/>
      <c r="AE47" s="5"/>
      <c r="AF47" s="5"/>
      <c r="AG47" s="5"/>
      <c r="AH47" s="5"/>
      <c r="AI47" s="5"/>
      <c r="AJ47" s="5"/>
      <c r="AK47" s="5"/>
      <c r="AL47" s="5"/>
      <c r="AM47" s="5"/>
      <c r="AN47" s="5"/>
    </row>
    <row r="48" spans="2:40" x14ac:dyDescent="0.3">
      <c r="B48" s="5"/>
      <c r="C48" s="5"/>
      <c r="D48" s="5"/>
      <c r="E48" s="5"/>
      <c r="F48" s="5"/>
      <c r="G48" s="5"/>
      <c r="H48" s="5"/>
      <c r="I48" s="5"/>
      <c r="J48" s="5"/>
      <c r="K48" s="5"/>
      <c r="L48" s="5"/>
      <c r="M48" s="5"/>
      <c r="N48" s="5"/>
      <c r="O48" s="5"/>
      <c r="P48" s="5"/>
      <c r="Q48" s="5"/>
      <c r="R48" s="5"/>
      <c r="S48" s="5"/>
      <c r="T48" s="5"/>
      <c r="U48" s="5"/>
      <c r="V48" s="5"/>
      <c r="W48" s="5"/>
      <c r="X48" s="5"/>
      <c r="Y48" s="5"/>
      <c r="Z48" s="5"/>
      <c r="AA48" s="5"/>
      <c r="AB48" s="5"/>
      <c r="AC48" s="5"/>
      <c r="AD48" s="5"/>
      <c r="AE48" s="5"/>
      <c r="AF48" s="5"/>
      <c r="AG48" s="5"/>
      <c r="AH48" s="5"/>
      <c r="AI48" s="5"/>
      <c r="AJ48" s="5"/>
      <c r="AK48" s="5"/>
      <c r="AL48" s="5"/>
      <c r="AM48" s="5"/>
      <c r="AN48" s="5"/>
    </row>
    <row r="49" spans="2:40" x14ac:dyDescent="0.3">
      <c r="B49" s="5"/>
      <c r="C49" s="5"/>
      <c r="D49" s="5"/>
      <c r="E49" s="5"/>
      <c r="F49" s="5"/>
      <c r="G49" s="5"/>
      <c r="H49" s="5"/>
      <c r="I49" s="5"/>
      <c r="J49" s="5"/>
      <c r="K49" s="5"/>
      <c r="L49" s="5"/>
      <c r="M49" s="5"/>
      <c r="N49" s="5"/>
      <c r="O49" s="5"/>
      <c r="P49" s="5"/>
      <c r="Q49" s="5"/>
      <c r="R49" s="5"/>
      <c r="S49" s="5"/>
      <c r="T49" s="5"/>
      <c r="U49" s="5"/>
      <c r="V49" s="5"/>
      <c r="W49" s="5"/>
      <c r="X49" s="5"/>
      <c r="Y49" s="5"/>
      <c r="Z49" s="5"/>
      <c r="AA49" s="5"/>
      <c r="AB49" s="5"/>
      <c r="AC49" s="5"/>
      <c r="AD49" s="5"/>
      <c r="AE49" s="5"/>
      <c r="AF49" s="5"/>
      <c r="AG49" s="5"/>
      <c r="AH49" s="5"/>
      <c r="AI49" s="5"/>
      <c r="AJ49" s="5"/>
      <c r="AK49" s="5"/>
      <c r="AL49" s="5"/>
      <c r="AM49" s="5"/>
      <c r="AN49" s="5"/>
    </row>
    <row r="50" spans="2:40" x14ac:dyDescent="0.3">
      <c r="B50" s="5"/>
      <c r="C50" s="5"/>
      <c r="D50" s="5"/>
      <c r="E50" s="5"/>
      <c r="F50" s="5"/>
      <c r="G50" s="5"/>
      <c r="H50" s="5"/>
      <c r="I50" s="5"/>
      <c r="J50" s="5"/>
      <c r="K50" s="5"/>
      <c r="L50" s="5"/>
      <c r="M50" s="5"/>
      <c r="N50" s="5"/>
      <c r="O50" s="5"/>
      <c r="P50" s="5"/>
      <c r="Q50" s="5"/>
      <c r="R50" s="5"/>
      <c r="S50" s="5"/>
      <c r="T50" s="5"/>
      <c r="U50" s="5"/>
      <c r="V50" s="5"/>
      <c r="W50" s="5"/>
      <c r="X50" s="5"/>
      <c r="Y50" s="5"/>
      <c r="Z50" s="5"/>
      <c r="AA50" s="5"/>
      <c r="AB50" s="5"/>
      <c r="AC50" s="5"/>
      <c r="AD50" s="5"/>
      <c r="AE50" s="5"/>
      <c r="AF50" s="5"/>
      <c r="AG50" s="5"/>
      <c r="AH50" s="5"/>
      <c r="AI50" s="5"/>
      <c r="AJ50" s="5"/>
      <c r="AK50" s="5"/>
      <c r="AL50" s="5"/>
      <c r="AM50" s="5"/>
      <c r="AN50" s="5"/>
    </row>
    <row r="51" spans="2:40" x14ac:dyDescent="0.3">
      <c r="B51" s="5"/>
      <c r="C51" s="5"/>
      <c r="D51" s="5"/>
      <c r="E51" s="5"/>
      <c r="F51" s="5"/>
      <c r="G51" s="5"/>
      <c r="H51" s="5"/>
      <c r="I51" s="5"/>
      <c r="J51" s="5"/>
      <c r="K51" s="5"/>
      <c r="L51" s="5"/>
      <c r="M51" s="5"/>
      <c r="N51" s="5"/>
      <c r="O51" s="5"/>
      <c r="P51" s="5"/>
      <c r="Q51" s="5"/>
      <c r="R51" s="5"/>
      <c r="S51" s="5"/>
      <c r="T51" s="5"/>
      <c r="U51" s="5"/>
      <c r="V51" s="5"/>
      <c r="W51" s="5"/>
      <c r="X51" s="5"/>
      <c r="Y51" s="5"/>
      <c r="Z51" s="5"/>
      <c r="AA51" s="5"/>
      <c r="AB51" s="5"/>
      <c r="AC51" s="5"/>
      <c r="AD51" s="5"/>
      <c r="AE51" s="5"/>
      <c r="AF51" s="5"/>
      <c r="AG51" s="5"/>
      <c r="AH51" s="5"/>
      <c r="AI51" s="5"/>
      <c r="AJ51" s="5"/>
      <c r="AK51" s="5"/>
      <c r="AL51" s="5"/>
      <c r="AM51" s="5"/>
      <c r="AN51" s="5"/>
    </row>
    <row r="52" spans="2:40" x14ac:dyDescent="0.3">
      <c r="B52" s="5"/>
      <c r="C52" s="5"/>
      <c r="D52" s="5"/>
      <c r="E52" s="5"/>
      <c r="F52" s="5"/>
      <c r="G52" s="5"/>
      <c r="H52" s="5"/>
      <c r="I52" s="5"/>
      <c r="J52" s="5"/>
      <c r="K52" s="5"/>
      <c r="L52" s="5"/>
      <c r="M52" s="5"/>
      <c r="N52" s="5"/>
      <c r="O52" s="5"/>
      <c r="P52" s="5"/>
      <c r="Q52" s="5"/>
      <c r="R52" s="5"/>
      <c r="S52" s="5"/>
      <c r="T52" s="5"/>
      <c r="U52" s="5"/>
      <c r="V52" s="5"/>
      <c r="W52" s="5"/>
      <c r="X52" s="5"/>
      <c r="Y52" s="5"/>
      <c r="Z52" s="5"/>
      <c r="AA52" s="5"/>
      <c r="AB52" s="5"/>
      <c r="AC52" s="5"/>
      <c r="AD52" s="5"/>
      <c r="AE52" s="5"/>
      <c r="AF52" s="5"/>
      <c r="AG52" s="5"/>
      <c r="AH52" s="5"/>
      <c r="AI52" s="5"/>
      <c r="AJ52" s="5"/>
      <c r="AK52" s="5"/>
      <c r="AL52" s="5"/>
      <c r="AM52" s="5"/>
      <c r="AN52" s="5"/>
    </row>
    <row r="53" spans="2:40" x14ac:dyDescent="0.3">
      <c r="B53" s="5"/>
      <c r="C53" s="5"/>
      <c r="D53" s="5"/>
      <c r="E53" s="5"/>
      <c r="F53" s="5"/>
      <c r="G53" s="5"/>
      <c r="H53" s="5"/>
      <c r="I53" s="5"/>
      <c r="J53" s="5"/>
      <c r="K53" s="5"/>
      <c r="L53" s="5"/>
      <c r="M53" s="5"/>
      <c r="N53" s="5"/>
      <c r="O53" s="5"/>
      <c r="P53" s="5"/>
      <c r="Q53" s="5"/>
      <c r="R53" s="5"/>
      <c r="S53" s="5"/>
      <c r="T53" s="5"/>
      <c r="U53" s="5"/>
      <c r="V53" s="5"/>
      <c r="W53" s="5"/>
      <c r="X53" s="5"/>
      <c r="Y53" s="5"/>
      <c r="Z53" s="5"/>
      <c r="AA53" s="5"/>
      <c r="AB53" s="5"/>
      <c r="AC53" s="5"/>
      <c r="AD53" s="5"/>
      <c r="AE53" s="5"/>
      <c r="AF53" s="5"/>
      <c r="AG53" s="5"/>
      <c r="AH53" s="5"/>
      <c r="AI53" s="5"/>
      <c r="AJ53" s="5"/>
      <c r="AK53" s="5"/>
      <c r="AL53" s="5"/>
      <c r="AM53" s="5"/>
      <c r="AN53" s="5"/>
    </row>
    <row r="54" spans="2:40" x14ac:dyDescent="0.3">
      <c r="B54" s="5"/>
      <c r="C54" s="5"/>
      <c r="D54" s="5"/>
      <c r="E54" s="5"/>
      <c r="F54" s="5"/>
      <c r="G54" s="5"/>
      <c r="H54" s="5"/>
      <c r="I54" s="5"/>
      <c r="J54" s="5"/>
      <c r="K54" s="5"/>
      <c r="L54" s="5"/>
      <c r="M54" s="5"/>
      <c r="N54" s="5"/>
      <c r="O54" s="5"/>
      <c r="P54" s="5"/>
      <c r="Q54" s="5"/>
      <c r="R54" s="5"/>
      <c r="S54" s="5"/>
      <c r="T54" s="5"/>
      <c r="U54" s="5"/>
      <c r="V54" s="5"/>
      <c r="W54" s="5"/>
      <c r="X54" s="5"/>
      <c r="Y54" s="5"/>
      <c r="Z54" s="5"/>
      <c r="AA54" s="5"/>
      <c r="AB54" s="5"/>
      <c r="AC54" s="5"/>
      <c r="AD54" s="5"/>
      <c r="AE54" s="5"/>
      <c r="AF54" s="5"/>
      <c r="AG54" s="5"/>
      <c r="AH54" s="5"/>
      <c r="AI54" s="5"/>
      <c r="AJ54" s="5"/>
      <c r="AK54" s="5"/>
      <c r="AL54" s="5"/>
      <c r="AM54" s="5"/>
      <c r="AN54" s="5"/>
    </row>
    <row r="55" spans="2:40" x14ac:dyDescent="0.3">
      <c r="B55" s="5"/>
      <c r="C55" s="5"/>
      <c r="D55" s="5"/>
      <c r="E55" s="5"/>
      <c r="F55" s="5"/>
      <c r="G55" s="5"/>
      <c r="H55" s="5"/>
      <c r="I55" s="5"/>
      <c r="J55" s="5"/>
      <c r="K55" s="5"/>
      <c r="L55" s="5"/>
      <c r="M55" s="5"/>
      <c r="N55" s="5"/>
      <c r="O55" s="5"/>
      <c r="P55" s="5"/>
      <c r="Q55" s="5"/>
      <c r="R55" s="5"/>
      <c r="S55" s="5"/>
      <c r="T55" s="5"/>
      <c r="U55" s="5"/>
      <c r="V55" s="5"/>
      <c r="W55" s="5"/>
      <c r="X55" s="5"/>
      <c r="Y55" s="5"/>
      <c r="Z55" s="5"/>
      <c r="AA55" s="5"/>
      <c r="AB55" s="5"/>
      <c r="AC55" s="5"/>
      <c r="AD55" s="5"/>
      <c r="AE55" s="5"/>
      <c r="AF55" s="5"/>
      <c r="AG55" s="5"/>
      <c r="AH55" s="5"/>
      <c r="AI55" s="5"/>
      <c r="AJ55" s="5"/>
      <c r="AK55" s="5"/>
      <c r="AL55" s="5"/>
      <c r="AM55" s="5"/>
      <c r="AN55" s="5"/>
    </row>
    <row r="56" spans="2:40" x14ac:dyDescent="0.3">
      <c r="B56" s="5"/>
      <c r="C56" s="5"/>
      <c r="D56" s="5"/>
      <c r="E56" s="5"/>
      <c r="F56" s="5"/>
      <c r="G56" s="5"/>
      <c r="H56" s="5"/>
      <c r="I56" s="5"/>
      <c r="J56" s="5"/>
      <c r="K56" s="5"/>
      <c r="L56" s="5"/>
      <c r="M56" s="5"/>
      <c r="N56" s="5"/>
      <c r="O56" s="5"/>
      <c r="P56" s="5"/>
      <c r="Q56" s="5"/>
      <c r="R56" s="5"/>
      <c r="S56" s="5"/>
      <c r="T56" s="5"/>
      <c r="U56" s="5"/>
      <c r="V56" s="5"/>
      <c r="W56" s="5"/>
      <c r="X56" s="5"/>
      <c r="Y56" s="5"/>
      <c r="Z56" s="5"/>
      <c r="AA56" s="5"/>
      <c r="AB56" s="5"/>
      <c r="AC56" s="5"/>
      <c r="AD56" s="5"/>
      <c r="AE56" s="5"/>
      <c r="AF56" s="5"/>
      <c r="AG56" s="5"/>
      <c r="AH56" s="5"/>
      <c r="AI56" s="5"/>
      <c r="AJ56" s="5"/>
      <c r="AK56" s="5"/>
      <c r="AL56" s="5"/>
      <c r="AM56" s="5"/>
      <c r="AN56" s="5"/>
    </row>
    <row r="57" spans="2:40" x14ac:dyDescent="0.3">
      <c r="B57" s="5"/>
      <c r="C57" s="5"/>
      <c r="D57" s="5"/>
      <c r="E57" s="5"/>
      <c r="F57" s="5"/>
      <c r="G57" s="5"/>
      <c r="H57" s="5"/>
      <c r="I57" s="5"/>
      <c r="J57" s="5"/>
      <c r="K57" s="5"/>
      <c r="L57" s="5"/>
      <c r="M57" s="5"/>
      <c r="N57" s="5"/>
      <c r="O57" s="5"/>
      <c r="P57" s="5"/>
      <c r="Q57" s="5"/>
      <c r="R57" s="5"/>
      <c r="S57" s="5"/>
      <c r="T57" s="5"/>
      <c r="U57" s="5"/>
      <c r="V57" s="5"/>
      <c r="W57" s="5"/>
      <c r="X57" s="5"/>
      <c r="Y57" s="5"/>
      <c r="Z57" s="5"/>
      <c r="AA57" s="5"/>
      <c r="AB57" s="5"/>
      <c r="AC57" s="5"/>
      <c r="AD57" s="5"/>
      <c r="AE57" s="5"/>
      <c r="AF57" s="5"/>
      <c r="AG57" s="5"/>
      <c r="AH57" s="5"/>
      <c r="AI57" s="5"/>
      <c r="AJ57" s="5"/>
      <c r="AK57" s="5"/>
      <c r="AL57" s="5"/>
      <c r="AM57" s="5"/>
      <c r="AN57" s="5"/>
    </row>
    <row r="58" spans="2:40" x14ac:dyDescent="0.3">
      <c r="B58" s="5"/>
      <c r="C58" s="5"/>
      <c r="D58" s="5"/>
      <c r="E58" s="5"/>
      <c r="F58" s="5"/>
      <c r="G58" s="5"/>
      <c r="H58" s="5"/>
      <c r="I58" s="5"/>
      <c r="J58" s="5"/>
      <c r="K58" s="5"/>
      <c r="L58" s="5"/>
      <c r="M58" s="5"/>
      <c r="N58" s="5"/>
      <c r="O58" s="5"/>
      <c r="P58" s="5"/>
      <c r="Q58" s="5"/>
      <c r="R58" s="5"/>
      <c r="S58" s="5"/>
      <c r="T58" s="5"/>
      <c r="U58" s="5"/>
      <c r="V58" s="5"/>
      <c r="W58" s="5"/>
      <c r="X58" s="5"/>
      <c r="Y58" s="5"/>
      <c r="Z58" s="5"/>
      <c r="AA58" s="5"/>
      <c r="AB58" s="5"/>
      <c r="AC58" s="5"/>
      <c r="AD58" s="5"/>
      <c r="AE58" s="5"/>
      <c r="AF58" s="5"/>
      <c r="AG58" s="5"/>
      <c r="AH58" s="5"/>
      <c r="AI58" s="5"/>
      <c r="AJ58" s="5"/>
      <c r="AK58" s="5"/>
      <c r="AL58" s="5"/>
      <c r="AM58" s="5"/>
      <c r="AN58" s="5"/>
    </row>
    <row r="59" spans="2:40" x14ac:dyDescent="0.3">
      <c r="B59" s="5"/>
      <c r="C59" s="5"/>
      <c r="D59" s="5"/>
      <c r="E59" s="5"/>
      <c r="F59" s="5"/>
      <c r="G59" s="5"/>
      <c r="H59" s="5"/>
      <c r="I59" s="5"/>
      <c r="J59" s="5"/>
      <c r="K59" s="5"/>
      <c r="L59" s="5"/>
      <c r="M59" s="5"/>
      <c r="N59" s="5"/>
      <c r="O59" s="5"/>
      <c r="P59" s="5"/>
      <c r="Q59" s="5"/>
      <c r="R59" s="5"/>
      <c r="S59" s="5"/>
      <c r="T59" s="5"/>
      <c r="U59" s="5"/>
      <c r="V59" s="5"/>
      <c r="W59" s="5"/>
      <c r="X59" s="5"/>
      <c r="Y59" s="5"/>
      <c r="Z59" s="5"/>
      <c r="AA59" s="5"/>
      <c r="AB59" s="5"/>
      <c r="AC59" s="5"/>
      <c r="AD59" s="5"/>
      <c r="AE59" s="5"/>
      <c r="AF59" s="5"/>
      <c r="AG59" s="5"/>
      <c r="AH59" s="5"/>
      <c r="AI59" s="5"/>
      <c r="AJ59" s="5"/>
      <c r="AK59" s="5"/>
      <c r="AL59" s="5"/>
      <c r="AM59" s="5"/>
      <c r="AN59" s="5"/>
    </row>
    <row r="60" spans="2:40" x14ac:dyDescent="0.3">
      <c r="B60" s="5"/>
      <c r="C60" s="5"/>
      <c r="D60" s="5"/>
      <c r="E60" s="5"/>
      <c r="F60" s="5"/>
      <c r="G60" s="5"/>
      <c r="H60" s="5"/>
      <c r="I60" s="5"/>
      <c r="J60" s="5"/>
      <c r="K60" s="5"/>
      <c r="L60" s="5"/>
      <c r="M60" s="5"/>
      <c r="N60" s="5"/>
      <c r="O60" s="5"/>
      <c r="P60" s="5"/>
      <c r="Q60" s="5"/>
      <c r="R60" s="5"/>
      <c r="S60" s="5"/>
      <c r="T60" s="5"/>
      <c r="U60" s="5"/>
      <c r="V60" s="5"/>
      <c r="W60" s="5"/>
      <c r="X60" s="5"/>
      <c r="Y60" s="5"/>
      <c r="Z60" s="5"/>
      <c r="AA60" s="5"/>
      <c r="AB60" s="5"/>
      <c r="AC60" s="5"/>
      <c r="AD60" s="5"/>
      <c r="AE60" s="5"/>
      <c r="AF60" s="5"/>
      <c r="AG60" s="5"/>
      <c r="AH60" s="5"/>
      <c r="AI60" s="5"/>
      <c r="AJ60" s="5"/>
      <c r="AK60" s="5"/>
      <c r="AL60" s="5"/>
      <c r="AM60" s="5"/>
      <c r="AN60" s="5"/>
    </row>
    <row r="61" spans="2:40" x14ac:dyDescent="0.3">
      <c r="B61" s="5"/>
      <c r="C61" s="5"/>
      <c r="D61" s="5"/>
      <c r="E61" s="5"/>
      <c r="F61" s="5"/>
      <c r="G61" s="5"/>
      <c r="H61" s="5"/>
      <c r="I61" s="5"/>
      <c r="J61" s="5"/>
      <c r="K61" s="5"/>
      <c r="L61" s="5"/>
      <c r="M61" s="5"/>
      <c r="N61" s="5"/>
      <c r="O61" s="5"/>
      <c r="P61" s="5"/>
      <c r="Q61" s="5"/>
      <c r="R61" s="5"/>
      <c r="S61" s="5"/>
      <c r="T61" s="5"/>
      <c r="U61" s="5"/>
      <c r="V61" s="5"/>
      <c r="W61" s="5"/>
      <c r="X61" s="5"/>
      <c r="Y61" s="5"/>
      <c r="Z61" s="5"/>
      <c r="AA61" s="5"/>
      <c r="AB61" s="5"/>
      <c r="AC61" s="5"/>
      <c r="AD61" s="5"/>
      <c r="AE61" s="5"/>
      <c r="AF61" s="5"/>
      <c r="AG61" s="5"/>
      <c r="AH61" s="5"/>
      <c r="AI61" s="5"/>
      <c r="AJ61" s="5"/>
      <c r="AK61" s="5"/>
      <c r="AL61" s="5"/>
      <c r="AM61" s="5"/>
      <c r="AN61" s="5"/>
    </row>
    <row r="62" spans="2:40" x14ac:dyDescent="0.3">
      <c r="B62" s="5"/>
      <c r="C62" s="5"/>
      <c r="D62" s="5"/>
      <c r="E62" s="5"/>
      <c r="F62" s="5"/>
      <c r="G62" s="5"/>
      <c r="H62" s="5"/>
      <c r="I62" s="5"/>
      <c r="J62" s="5"/>
      <c r="K62" s="5"/>
      <c r="L62" s="5"/>
      <c r="M62" s="5"/>
      <c r="N62" s="5"/>
      <c r="O62" s="5"/>
      <c r="P62" s="5"/>
      <c r="Q62" s="5"/>
      <c r="R62" s="5"/>
      <c r="S62" s="5"/>
      <c r="T62" s="5"/>
      <c r="U62" s="5"/>
      <c r="V62" s="5"/>
      <c r="W62" s="5"/>
      <c r="X62" s="5"/>
      <c r="Y62" s="5"/>
      <c r="Z62" s="5"/>
      <c r="AA62" s="5"/>
      <c r="AB62" s="5"/>
      <c r="AC62" s="5"/>
      <c r="AD62" s="5"/>
      <c r="AE62" s="5"/>
      <c r="AF62" s="5"/>
      <c r="AG62" s="5"/>
      <c r="AH62" s="5"/>
      <c r="AI62" s="5"/>
      <c r="AJ62" s="5"/>
      <c r="AK62" s="5"/>
      <c r="AL62" s="5"/>
      <c r="AM62" s="5"/>
      <c r="AN62" s="5"/>
    </row>
    <row r="63" spans="2:40" x14ac:dyDescent="0.3">
      <c r="B63" s="5"/>
      <c r="C63" s="5"/>
      <c r="D63" s="5"/>
      <c r="E63" s="5"/>
      <c r="F63" s="5"/>
      <c r="G63" s="5"/>
      <c r="H63" s="5"/>
      <c r="I63" s="5"/>
      <c r="J63" s="5"/>
      <c r="K63" s="5"/>
      <c r="L63" s="5"/>
      <c r="M63" s="5"/>
      <c r="N63" s="5"/>
      <c r="O63" s="5"/>
      <c r="P63" s="5"/>
      <c r="Q63" s="5"/>
      <c r="R63" s="5"/>
      <c r="S63" s="5"/>
      <c r="T63" s="5"/>
      <c r="U63" s="5"/>
      <c r="V63" s="5"/>
      <c r="W63" s="5"/>
      <c r="X63" s="5"/>
      <c r="Y63" s="5"/>
      <c r="Z63" s="5"/>
      <c r="AA63" s="5"/>
      <c r="AB63" s="5"/>
      <c r="AC63" s="5"/>
      <c r="AD63" s="5"/>
      <c r="AE63" s="5"/>
      <c r="AF63" s="5"/>
      <c r="AG63" s="5"/>
      <c r="AH63" s="5"/>
      <c r="AI63" s="5"/>
      <c r="AJ63" s="5"/>
      <c r="AK63" s="5"/>
      <c r="AL63" s="5"/>
      <c r="AM63" s="5"/>
      <c r="AN63" s="5"/>
    </row>
    <row r="64" spans="2:40" x14ac:dyDescent="0.3">
      <c r="B64" s="5"/>
      <c r="C64" s="5"/>
      <c r="D64" s="5"/>
      <c r="E64" s="5"/>
      <c r="F64" s="5"/>
      <c r="G64" s="5"/>
      <c r="H64" s="5"/>
      <c r="I64" s="5"/>
      <c r="J64" s="5"/>
      <c r="K64" s="5"/>
      <c r="L64" s="5"/>
      <c r="M64" s="5"/>
      <c r="N64" s="5"/>
      <c r="O64" s="5"/>
      <c r="P64" s="5"/>
      <c r="Q64" s="5"/>
      <c r="R64" s="5"/>
      <c r="S64" s="5"/>
      <c r="T64" s="5"/>
      <c r="U64" s="5"/>
      <c r="V64" s="5"/>
      <c r="W64" s="5"/>
      <c r="X64" s="5"/>
      <c r="Y64" s="5"/>
      <c r="Z64" s="5"/>
      <c r="AA64" s="5"/>
      <c r="AB64" s="5"/>
      <c r="AC64" s="5"/>
      <c r="AD64" s="5"/>
      <c r="AE64" s="5"/>
      <c r="AF64" s="5"/>
      <c r="AG64" s="5"/>
      <c r="AH64" s="5"/>
      <c r="AI64" s="5"/>
      <c r="AJ64" s="5"/>
      <c r="AK64" s="5"/>
      <c r="AL64" s="5"/>
      <c r="AM64" s="5"/>
      <c r="AN64" s="5"/>
    </row>
    <row r="65" spans="2:40" x14ac:dyDescent="0.3">
      <c r="B65" s="5"/>
      <c r="C65" s="5"/>
      <c r="D65" s="5"/>
      <c r="E65" s="5"/>
      <c r="F65" s="5"/>
      <c r="G65" s="5"/>
      <c r="H65" s="5"/>
      <c r="I65" s="5"/>
      <c r="J65" s="5"/>
      <c r="K65" s="5"/>
      <c r="L65" s="5"/>
      <c r="M65" s="5"/>
      <c r="N65" s="5"/>
      <c r="O65" s="5"/>
      <c r="P65" s="5"/>
      <c r="Q65" s="5"/>
      <c r="R65" s="5"/>
      <c r="S65" s="5"/>
      <c r="T65" s="5"/>
      <c r="U65" s="5"/>
      <c r="V65" s="5"/>
      <c r="W65" s="5"/>
      <c r="X65" s="5"/>
      <c r="Y65" s="5"/>
      <c r="Z65" s="5"/>
      <c r="AA65" s="5"/>
      <c r="AB65" s="5"/>
      <c r="AC65" s="5"/>
      <c r="AD65" s="5"/>
      <c r="AE65" s="5"/>
      <c r="AF65" s="5"/>
      <c r="AG65" s="5"/>
      <c r="AH65" s="5"/>
      <c r="AI65" s="5"/>
      <c r="AJ65" s="5"/>
      <c r="AK65" s="5"/>
      <c r="AL65" s="5"/>
      <c r="AM65" s="5"/>
      <c r="AN65" s="5"/>
    </row>
    <row r="66" spans="2:40" x14ac:dyDescent="0.3">
      <c r="B66" s="5"/>
      <c r="C66" s="5"/>
      <c r="D66" s="5"/>
      <c r="E66" s="5"/>
      <c r="F66" s="5"/>
      <c r="G66" s="5"/>
      <c r="H66" s="5"/>
      <c r="I66" s="5"/>
      <c r="J66" s="5"/>
      <c r="K66" s="5"/>
      <c r="L66" s="5"/>
      <c r="M66" s="5"/>
      <c r="N66" s="5"/>
      <c r="O66" s="5"/>
      <c r="P66" s="5"/>
      <c r="Q66" s="5"/>
      <c r="R66" s="5"/>
      <c r="S66" s="5"/>
      <c r="T66" s="5"/>
      <c r="U66" s="5"/>
      <c r="V66" s="5"/>
      <c r="W66" s="5"/>
      <c r="X66" s="5"/>
      <c r="Y66" s="5"/>
      <c r="Z66" s="5"/>
      <c r="AA66" s="5"/>
      <c r="AB66" s="5"/>
      <c r="AC66" s="5"/>
      <c r="AD66" s="5"/>
      <c r="AE66" s="5"/>
      <c r="AF66" s="5"/>
      <c r="AG66" s="5"/>
      <c r="AH66" s="5"/>
      <c r="AI66" s="5"/>
      <c r="AJ66" s="5"/>
      <c r="AK66" s="5"/>
      <c r="AL66" s="5"/>
      <c r="AM66" s="5"/>
      <c r="AN66" s="5"/>
    </row>
    <row r="67" spans="2:40" x14ac:dyDescent="0.3">
      <c r="B67" s="5"/>
      <c r="C67" s="5"/>
      <c r="D67" s="5"/>
      <c r="E67" s="5"/>
      <c r="F67" s="5"/>
      <c r="G67" s="5"/>
      <c r="H67" s="5"/>
      <c r="I67" s="5"/>
      <c r="J67" s="5"/>
      <c r="K67" s="5"/>
      <c r="L67" s="5"/>
      <c r="M67" s="5"/>
      <c r="N67" s="5"/>
      <c r="O67" s="5"/>
      <c r="P67" s="5"/>
      <c r="Q67" s="5"/>
      <c r="R67" s="5"/>
      <c r="S67" s="5"/>
      <c r="T67" s="5"/>
      <c r="U67" s="5"/>
      <c r="V67" s="5"/>
      <c r="W67" s="5"/>
      <c r="X67" s="5"/>
      <c r="Y67" s="5"/>
      <c r="Z67" s="5"/>
      <c r="AA67" s="5"/>
      <c r="AB67" s="5"/>
      <c r="AC67" s="5"/>
      <c r="AD67" s="5"/>
      <c r="AE67" s="5"/>
      <c r="AF67" s="5"/>
      <c r="AG67" s="5"/>
      <c r="AH67" s="5"/>
      <c r="AI67" s="5"/>
      <c r="AJ67" s="5"/>
      <c r="AK67" s="5"/>
      <c r="AL67" s="5"/>
      <c r="AM67" s="5"/>
      <c r="AN67" s="5"/>
    </row>
    <row r="68" spans="2:40" x14ac:dyDescent="0.3">
      <c r="B68" s="5"/>
      <c r="C68" s="5"/>
      <c r="D68" s="5"/>
      <c r="E68" s="5"/>
      <c r="F68" s="5"/>
      <c r="G68" s="5"/>
      <c r="H68" s="5"/>
      <c r="I68" s="5"/>
      <c r="J68" s="5"/>
      <c r="K68" s="5"/>
      <c r="L68" s="5"/>
      <c r="M68" s="5"/>
      <c r="N68" s="5"/>
      <c r="O68" s="5"/>
      <c r="P68" s="5"/>
      <c r="Q68" s="5"/>
      <c r="R68" s="5"/>
      <c r="S68" s="5"/>
      <c r="T68" s="5"/>
      <c r="U68" s="5"/>
      <c r="V68" s="5"/>
      <c r="W68" s="5"/>
      <c r="X68" s="5"/>
      <c r="Y68" s="5"/>
      <c r="Z68" s="5"/>
      <c r="AA68" s="5"/>
      <c r="AB68" s="5"/>
      <c r="AC68" s="5"/>
      <c r="AD68" s="5"/>
      <c r="AE68" s="5"/>
      <c r="AF68" s="5"/>
      <c r="AG68" s="5"/>
      <c r="AH68" s="5"/>
      <c r="AI68" s="5"/>
      <c r="AJ68" s="5"/>
      <c r="AK68" s="5"/>
      <c r="AL68" s="5"/>
      <c r="AM68" s="5"/>
      <c r="AN68" s="5"/>
    </row>
    <row r="69" spans="2:40" x14ac:dyDescent="0.3">
      <c r="B69" s="5"/>
      <c r="C69" s="5"/>
      <c r="D69" s="5"/>
      <c r="E69" s="5"/>
      <c r="F69" s="5"/>
      <c r="G69" s="5"/>
      <c r="H69" s="5"/>
      <c r="I69" s="5"/>
      <c r="J69" s="5"/>
      <c r="K69" s="5"/>
      <c r="L69" s="5"/>
      <c r="M69" s="5"/>
      <c r="N69" s="5"/>
      <c r="O69" s="5"/>
      <c r="P69" s="5"/>
      <c r="Q69" s="5"/>
      <c r="R69" s="5"/>
      <c r="S69" s="5"/>
      <c r="T69" s="5"/>
      <c r="U69" s="5"/>
      <c r="V69" s="5"/>
      <c r="W69" s="5"/>
      <c r="X69" s="5"/>
      <c r="Y69" s="5"/>
      <c r="Z69" s="5"/>
      <c r="AA69" s="5"/>
      <c r="AB69" s="5"/>
      <c r="AC69" s="5"/>
      <c r="AD69" s="5"/>
      <c r="AE69" s="5"/>
      <c r="AF69" s="5"/>
      <c r="AG69" s="5"/>
      <c r="AH69" s="5"/>
      <c r="AI69" s="5"/>
      <c r="AJ69" s="5"/>
      <c r="AK69" s="5"/>
      <c r="AL69" s="5"/>
      <c r="AM69" s="5"/>
      <c r="AN69" s="5"/>
    </row>
    <row r="70" spans="2:40" x14ac:dyDescent="0.3">
      <c r="B70" s="5"/>
      <c r="C70" s="5"/>
      <c r="D70" s="5"/>
      <c r="E70" s="5"/>
      <c r="F70" s="5"/>
      <c r="G70" s="5"/>
      <c r="H70" s="5"/>
      <c r="I70" s="5"/>
      <c r="J70" s="5"/>
      <c r="K70" s="5"/>
      <c r="L70" s="5"/>
      <c r="M70" s="5"/>
      <c r="N70" s="5"/>
      <c r="O70" s="5"/>
      <c r="P70" s="5"/>
      <c r="Q70" s="5"/>
      <c r="R70" s="5"/>
      <c r="S70" s="5"/>
      <c r="T70" s="5"/>
      <c r="U70" s="5"/>
      <c r="V70" s="5"/>
      <c r="W70" s="5"/>
      <c r="X70" s="5"/>
      <c r="Y70" s="5"/>
      <c r="Z70" s="5"/>
      <c r="AA70" s="5"/>
      <c r="AB70" s="5"/>
      <c r="AC70" s="5"/>
      <c r="AD70" s="5"/>
      <c r="AE70" s="5"/>
      <c r="AF70" s="5"/>
      <c r="AG70" s="5"/>
      <c r="AH70" s="5"/>
      <c r="AI70" s="5"/>
      <c r="AJ70" s="5"/>
      <c r="AK70" s="5"/>
      <c r="AL70" s="5"/>
      <c r="AM70" s="5"/>
      <c r="AN70" s="5"/>
    </row>
    <row r="71" spans="2:40" x14ac:dyDescent="0.3">
      <c r="B71" s="5"/>
      <c r="C71" s="5"/>
      <c r="D71" s="5"/>
      <c r="E71" s="5"/>
      <c r="F71" s="5"/>
      <c r="G71" s="5"/>
      <c r="H71" s="5"/>
      <c r="I71" s="5"/>
      <c r="J71" s="5"/>
      <c r="K71" s="5"/>
      <c r="L71" s="5"/>
      <c r="M71" s="5"/>
      <c r="N71" s="5"/>
      <c r="O71" s="5"/>
      <c r="P71" s="5"/>
      <c r="Q71" s="5"/>
      <c r="R71" s="5"/>
      <c r="S71" s="5"/>
      <c r="T71" s="5"/>
      <c r="U71" s="5"/>
      <c r="V71" s="5"/>
      <c r="W71" s="5"/>
      <c r="X71" s="5"/>
      <c r="Y71" s="5"/>
      <c r="Z71" s="5"/>
      <c r="AA71" s="5"/>
      <c r="AB71" s="5"/>
      <c r="AC71" s="5"/>
      <c r="AD71" s="5"/>
      <c r="AE71" s="5"/>
      <c r="AF71" s="5"/>
      <c r="AG71" s="5"/>
      <c r="AH71" s="5"/>
      <c r="AI71" s="5"/>
      <c r="AJ71" s="5"/>
      <c r="AK71" s="5"/>
      <c r="AL71" s="5"/>
      <c r="AM71" s="5"/>
      <c r="AN71" s="5"/>
    </row>
    <row r="72" spans="2:40" x14ac:dyDescent="0.3">
      <c r="B72" s="5"/>
      <c r="C72" s="5"/>
      <c r="D72" s="5"/>
      <c r="E72" s="5"/>
      <c r="F72" s="5"/>
      <c r="G72" s="5"/>
      <c r="H72" s="5"/>
      <c r="I72" s="5"/>
      <c r="J72" s="5"/>
      <c r="K72" s="5"/>
      <c r="L72" s="5"/>
      <c r="M72" s="5"/>
      <c r="N72" s="5"/>
      <c r="O72" s="5"/>
      <c r="P72" s="5"/>
      <c r="Q72" s="5"/>
      <c r="R72" s="5"/>
      <c r="S72" s="5"/>
      <c r="T72" s="5"/>
      <c r="U72" s="5"/>
      <c r="V72" s="5"/>
      <c r="W72" s="5"/>
      <c r="X72" s="5"/>
      <c r="Y72" s="5"/>
      <c r="Z72" s="5"/>
      <c r="AA72" s="5"/>
      <c r="AB72" s="5"/>
      <c r="AC72" s="5"/>
      <c r="AD72" s="5"/>
      <c r="AE72" s="5"/>
      <c r="AF72" s="5"/>
      <c r="AG72" s="5"/>
      <c r="AH72" s="5"/>
      <c r="AI72" s="5"/>
      <c r="AJ72" s="5"/>
      <c r="AK72" s="5"/>
      <c r="AL72" s="5"/>
      <c r="AM72" s="5"/>
      <c r="AN72" s="5"/>
    </row>
    <row r="73" spans="2:40" x14ac:dyDescent="0.3">
      <c r="B73" s="5"/>
      <c r="C73" s="5"/>
      <c r="D73" s="5"/>
      <c r="E73" s="5"/>
      <c r="F73" s="5"/>
      <c r="G73" s="5"/>
      <c r="H73" s="5"/>
      <c r="I73" s="5"/>
      <c r="J73" s="5"/>
      <c r="K73" s="5"/>
      <c r="L73" s="5"/>
      <c r="M73" s="5"/>
      <c r="N73" s="5"/>
      <c r="O73" s="5"/>
      <c r="P73" s="5"/>
      <c r="Q73" s="5"/>
      <c r="R73" s="5"/>
      <c r="S73" s="5"/>
      <c r="T73" s="5"/>
      <c r="U73" s="5"/>
      <c r="V73" s="5"/>
      <c r="W73" s="5"/>
      <c r="X73" s="5"/>
      <c r="Y73" s="5"/>
      <c r="Z73" s="5"/>
      <c r="AA73" s="5"/>
      <c r="AB73" s="5"/>
      <c r="AC73" s="5"/>
      <c r="AD73" s="5"/>
      <c r="AE73" s="5"/>
      <c r="AF73" s="5"/>
      <c r="AG73" s="5"/>
      <c r="AH73" s="5"/>
      <c r="AI73" s="5"/>
      <c r="AJ73" s="5"/>
      <c r="AK73" s="5"/>
      <c r="AL73" s="5"/>
      <c r="AM73" s="5"/>
      <c r="AN73" s="5"/>
    </row>
    <row r="74" spans="2:40" x14ac:dyDescent="0.3">
      <c r="B74" s="5"/>
      <c r="C74" s="5"/>
      <c r="D74" s="5"/>
      <c r="E74" s="5"/>
      <c r="F74" s="5"/>
      <c r="G74" s="5"/>
      <c r="H74" s="5"/>
      <c r="I74" s="5"/>
      <c r="J74" s="5"/>
      <c r="K74" s="5"/>
      <c r="L74" s="5"/>
      <c r="M74" s="5"/>
      <c r="N74" s="5"/>
      <c r="O74" s="5"/>
      <c r="P74" s="5"/>
      <c r="Q74" s="5"/>
      <c r="R74" s="5"/>
      <c r="S74" s="5"/>
      <c r="T74" s="5"/>
      <c r="U74" s="5"/>
      <c r="V74" s="5"/>
      <c r="W74" s="5"/>
      <c r="X74" s="5"/>
      <c r="Y74" s="5"/>
      <c r="Z74" s="5"/>
      <c r="AA74" s="5"/>
      <c r="AB74" s="5"/>
      <c r="AC74" s="5"/>
      <c r="AD74" s="5"/>
      <c r="AE74" s="5"/>
      <c r="AF74" s="5"/>
      <c r="AG74" s="5"/>
      <c r="AH74" s="5"/>
      <c r="AI74" s="5"/>
      <c r="AJ74" s="5"/>
      <c r="AK74" s="5"/>
      <c r="AL74" s="5"/>
      <c r="AM74" s="5"/>
      <c r="AN74" s="5"/>
    </row>
    <row r="75" spans="2:40" x14ac:dyDescent="0.3">
      <c r="B75" s="5"/>
      <c r="C75" s="5"/>
      <c r="D75" s="5"/>
      <c r="E75" s="5"/>
      <c r="F75" s="5"/>
      <c r="G75" s="5"/>
      <c r="H75" s="5"/>
      <c r="I75" s="5"/>
      <c r="J75" s="5"/>
      <c r="K75" s="5"/>
      <c r="L75" s="5"/>
      <c r="M75" s="5"/>
      <c r="N75" s="5"/>
      <c r="O75" s="5"/>
      <c r="P75" s="5"/>
      <c r="Q75" s="5"/>
      <c r="R75" s="5"/>
      <c r="S75" s="5"/>
      <c r="T75" s="5"/>
      <c r="U75" s="5"/>
      <c r="V75" s="5"/>
      <c r="W75" s="5"/>
      <c r="X75" s="5"/>
      <c r="Y75" s="5"/>
      <c r="Z75" s="5"/>
      <c r="AA75" s="5"/>
      <c r="AB75" s="5"/>
      <c r="AC75" s="5"/>
      <c r="AD75" s="5"/>
      <c r="AE75" s="5"/>
      <c r="AF75" s="5"/>
      <c r="AG75" s="5"/>
      <c r="AH75" s="5"/>
      <c r="AI75" s="5"/>
      <c r="AJ75" s="5"/>
      <c r="AK75" s="5"/>
      <c r="AL75" s="5"/>
      <c r="AM75" s="5"/>
      <c r="AN75" s="5"/>
    </row>
    <row r="76" spans="2:40" x14ac:dyDescent="0.3">
      <c r="B76" s="5"/>
      <c r="C76" s="5"/>
      <c r="D76" s="5"/>
      <c r="E76" s="5"/>
      <c r="F76" s="5"/>
      <c r="G76" s="5"/>
      <c r="H76" s="5"/>
      <c r="I76" s="5"/>
      <c r="J76" s="5"/>
      <c r="K76" s="5"/>
      <c r="L76" s="5"/>
      <c r="M76" s="5"/>
      <c r="N76" s="5"/>
      <c r="O76" s="5"/>
      <c r="P76" s="5"/>
      <c r="Q76" s="5"/>
      <c r="R76" s="5"/>
      <c r="S76" s="5"/>
      <c r="T76" s="5"/>
      <c r="U76" s="5"/>
      <c r="V76" s="5"/>
      <c r="W76" s="5"/>
      <c r="X76" s="5"/>
      <c r="Y76" s="5"/>
      <c r="Z76" s="5"/>
      <c r="AA76" s="5"/>
      <c r="AB76" s="5"/>
      <c r="AC76" s="5"/>
      <c r="AD76" s="5"/>
      <c r="AE76" s="5"/>
      <c r="AF76" s="5"/>
      <c r="AG76" s="5"/>
      <c r="AH76" s="5"/>
      <c r="AI76" s="5"/>
      <c r="AJ76" s="5"/>
      <c r="AK76" s="5"/>
      <c r="AL76" s="5"/>
      <c r="AM76" s="5"/>
      <c r="AN76" s="5"/>
    </row>
    <row r="77" spans="2:40" x14ac:dyDescent="0.3">
      <c r="B77" s="5"/>
      <c r="C77" s="5"/>
      <c r="D77" s="5"/>
      <c r="E77" s="5"/>
      <c r="F77" s="5"/>
      <c r="G77" s="5"/>
      <c r="H77" s="5"/>
      <c r="I77" s="5"/>
      <c r="J77" s="5"/>
      <c r="K77" s="5"/>
      <c r="L77" s="5"/>
      <c r="M77" s="5"/>
      <c r="N77" s="5"/>
      <c r="O77" s="5"/>
      <c r="P77" s="5"/>
      <c r="Q77" s="5"/>
      <c r="R77" s="5"/>
      <c r="S77" s="5"/>
      <c r="T77" s="5"/>
      <c r="U77" s="5"/>
      <c r="V77" s="5"/>
      <c r="W77" s="5"/>
      <c r="X77" s="5"/>
      <c r="Y77" s="5"/>
      <c r="Z77" s="5"/>
      <c r="AA77" s="5"/>
      <c r="AB77" s="5"/>
      <c r="AC77" s="5"/>
      <c r="AD77" s="5"/>
      <c r="AE77" s="5"/>
      <c r="AF77" s="5"/>
      <c r="AG77" s="5"/>
      <c r="AH77" s="5"/>
      <c r="AI77" s="5"/>
      <c r="AJ77" s="5"/>
      <c r="AK77" s="5"/>
      <c r="AL77" s="5"/>
      <c r="AM77" s="5"/>
      <c r="AN77" s="5"/>
    </row>
    <row r="78" spans="2:40" x14ac:dyDescent="0.3">
      <c r="B78" s="5"/>
      <c r="C78" s="5"/>
      <c r="D78" s="5"/>
      <c r="E78" s="5"/>
      <c r="F78" s="5"/>
      <c r="G78" s="5"/>
      <c r="H78" s="5"/>
      <c r="I78" s="5"/>
      <c r="J78" s="5"/>
      <c r="K78" s="5"/>
      <c r="L78" s="5"/>
      <c r="M78" s="5"/>
      <c r="N78" s="5"/>
      <c r="O78" s="5"/>
      <c r="P78" s="5"/>
      <c r="Q78" s="5"/>
      <c r="R78" s="5"/>
      <c r="S78" s="5"/>
      <c r="T78" s="5"/>
      <c r="U78" s="5"/>
      <c r="V78" s="5"/>
      <c r="W78" s="5"/>
      <c r="X78" s="5"/>
      <c r="Y78" s="5"/>
      <c r="Z78" s="5"/>
      <c r="AA78" s="5"/>
      <c r="AB78" s="5"/>
      <c r="AC78" s="5"/>
      <c r="AD78" s="5"/>
      <c r="AE78" s="5"/>
      <c r="AF78" s="5"/>
      <c r="AG78" s="5"/>
      <c r="AH78" s="5"/>
      <c r="AI78" s="5"/>
      <c r="AJ78" s="5"/>
      <c r="AK78" s="5"/>
      <c r="AL78" s="5"/>
      <c r="AM78" s="5"/>
      <c r="AN78" s="5"/>
    </row>
    <row r="79" spans="2:40" x14ac:dyDescent="0.3">
      <c r="B79" s="5"/>
      <c r="C79" s="5"/>
      <c r="D79" s="5"/>
      <c r="E79" s="5"/>
      <c r="F79" s="5"/>
      <c r="G79" s="5"/>
      <c r="H79" s="5"/>
      <c r="I79" s="5"/>
      <c r="J79" s="5"/>
      <c r="K79" s="5"/>
      <c r="L79" s="5"/>
      <c r="M79" s="5"/>
      <c r="N79" s="5"/>
      <c r="O79" s="5"/>
      <c r="P79" s="5"/>
      <c r="Q79" s="5"/>
      <c r="R79" s="5"/>
      <c r="S79" s="5"/>
      <c r="T79" s="5"/>
      <c r="U79" s="5"/>
      <c r="V79" s="5"/>
      <c r="W79" s="5"/>
      <c r="X79" s="5"/>
      <c r="Y79" s="5"/>
      <c r="Z79" s="5"/>
      <c r="AA79" s="5"/>
      <c r="AB79" s="5"/>
      <c r="AC79" s="5"/>
      <c r="AD79" s="5"/>
      <c r="AE79" s="5"/>
      <c r="AF79" s="5"/>
      <c r="AG79" s="5"/>
      <c r="AH79" s="5"/>
      <c r="AI79" s="5"/>
      <c r="AJ79" s="5"/>
      <c r="AK79" s="5"/>
      <c r="AL79" s="5"/>
      <c r="AM79" s="5"/>
      <c r="AN79" s="5"/>
    </row>
    <row r="80" spans="2:40" x14ac:dyDescent="0.3">
      <c r="B80" s="5"/>
      <c r="C80" s="5"/>
      <c r="D80" s="5"/>
      <c r="E80" s="5"/>
      <c r="F80" s="5"/>
      <c r="G80" s="5"/>
      <c r="H80" s="5"/>
      <c r="I80" s="5"/>
      <c r="J80" s="5"/>
      <c r="K80" s="5"/>
      <c r="L80" s="5"/>
      <c r="M80" s="5"/>
      <c r="N80" s="5"/>
      <c r="O80" s="5"/>
      <c r="P80" s="5"/>
      <c r="Q80" s="5"/>
      <c r="R80" s="5"/>
      <c r="S80" s="5"/>
      <c r="T80" s="5"/>
      <c r="U80" s="5"/>
      <c r="V80" s="5"/>
      <c r="W80" s="5"/>
      <c r="X80" s="5"/>
      <c r="Y80" s="5"/>
      <c r="Z80" s="5"/>
      <c r="AA80" s="5"/>
      <c r="AB80" s="5"/>
      <c r="AC80" s="5"/>
      <c r="AD80" s="5"/>
      <c r="AE80" s="5"/>
      <c r="AF80" s="5"/>
      <c r="AG80" s="5"/>
      <c r="AH80" s="5"/>
      <c r="AI80" s="5"/>
      <c r="AJ80" s="5"/>
      <c r="AK80" s="5"/>
      <c r="AL80" s="5"/>
      <c r="AM80" s="5"/>
      <c r="AN80" s="5"/>
    </row>
    <row r="81" spans="2:40" x14ac:dyDescent="0.3">
      <c r="B81" s="5"/>
      <c r="C81" s="5"/>
      <c r="D81" s="5"/>
      <c r="E81" s="5"/>
      <c r="F81" s="5"/>
      <c r="G81" s="5"/>
      <c r="H81" s="5"/>
      <c r="I81" s="5"/>
      <c r="J81" s="5"/>
      <c r="K81" s="5"/>
      <c r="L81" s="5"/>
      <c r="M81" s="5"/>
      <c r="N81" s="5"/>
      <c r="O81" s="5"/>
      <c r="P81" s="5"/>
      <c r="Q81" s="5"/>
      <c r="R81" s="5"/>
      <c r="S81" s="5"/>
      <c r="T81" s="5"/>
      <c r="U81" s="5"/>
      <c r="V81" s="5"/>
      <c r="W81" s="5"/>
      <c r="X81" s="5"/>
      <c r="Y81" s="5"/>
      <c r="Z81" s="5"/>
      <c r="AA81" s="5"/>
      <c r="AB81" s="5"/>
      <c r="AC81" s="5"/>
      <c r="AD81" s="5"/>
      <c r="AE81" s="5"/>
      <c r="AF81" s="5"/>
      <c r="AG81" s="5"/>
      <c r="AH81" s="5"/>
      <c r="AI81" s="5"/>
      <c r="AJ81" s="5"/>
      <c r="AK81" s="5"/>
      <c r="AL81" s="5"/>
      <c r="AM81" s="5"/>
      <c r="AN81" s="5"/>
    </row>
    <row r="82" spans="2:40" x14ac:dyDescent="0.3">
      <c r="B82" s="5"/>
      <c r="C82" s="5"/>
      <c r="D82" s="5"/>
      <c r="E82" s="5"/>
      <c r="F82" s="5"/>
      <c r="G82" s="5"/>
      <c r="H82" s="5"/>
      <c r="I82" s="5"/>
      <c r="J82" s="5"/>
      <c r="K82" s="5"/>
      <c r="L82" s="5"/>
      <c r="M82" s="5"/>
      <c r="N82" s="5"/>
      <c r="O82" s="5"/>
      <c r="P82" s="5"/>
      <c r="Q82" s="5"/>
      <c r="R82" s="5"/>
      <c r="S82" s="5"/>
      <c r="T82" s="5"/>
      <c r="U82" s="5"/>
      <c r="V82" s="5"/>
      <c r="W82" s="5"/>
      <c r="X82" s="5"/>
      <c r="Y82" s="5"/>
      <c r="Z82" s="5"/>
      <c r="AA82" s="5"/>
      <c r="AB82" s="5"/>
      <c r="AC82" s="5"/>
      <c r="AD82" s="5"/>
      <c r="AE82" s="5"/>
      <c r="AF82" s="5"/>
      <c r="AG82" s="5"/>
      <c r="AH82" s="5"/>
      <c r="AI82" s="5"/>
      <c r="AJ82" s="5"/>
      <c r="AK82" s="5"/>
      <c r="AL82" s="5"/>
      <c r="AM82" s="5"/>
      <c r="AN82" s="5"/>
    </row>
    <row r="83" spans="2:40" x14ac:dyDescent="0.3">
      <c r="B83" s="5"/>
      <c r="C83" s="5"/>
      <c r="D83" s="5"/>
      <c r="E83" s="5"/>
      <c r="F83" s="5"/>
      <c r="G83" s="5"/>
      <c r="H83" s="5"/>
      <c r="I83" s="5"/>
      <c r="J83" s="5"/>
      <c r="K83" s="5"/>
      <c r="L83" s="5"/>
      <c r="M83" s="5"/>
      <c r="N83" s="5"/>
      <c r="O83" s="5"/>
      <c r="P83" s="5"/>
      <c r="Q83" s="5"/>
      <c r="R83" s="5"/>
      <c r="S83" s="5"/>
      <c r="T83" s="5"/>
      <c r="U83" s="5"/>
      <c r="V83" s="5"/>
      <c r="W83" s="5"/>
      <c r="X83" s="5"/>
      <c r="Y83" s="5"/>
      <c r="Z83" s="5"/>
      <c r="AA83" s="5"/>
      <c r="AB83" s="5"/>
      <c r="AC83" s="5"/>
      <c r="AD83" s="5"/>
      <c r="AE83" s="5"/>
      <c r="AF83" s="5"/>
      <c r="AG83" s="5"/>
      <c r="AH83" s="5"/>
      <c r="AI83" s="5"/>
      <c r="AJ83" s="5"/>
      <c r="AK83" s="5"/>
      <c r="AL83" s="5"/>
      <c r="AM83" s="5"/>
      <c r="AN83" s="5"/>
    </row>
    <row r="84" spans="2:40" x14ac:dyDescent="0.3">
      <c r="B84" s="5"/>
      <c r="C84" s="5"/>
      <c r="D84" s="5"/>
      <c r="E84" s="5"/>
      <c r="F84" s="5"/>
      <c r="G84" s="5"/>
      <c r="H84" s="5"/>
      <c r="I84" s="5"/>
      <c r="J84" s="5"/>
      <c r="K84" s="5"/>
      <c r="L84" s="5"/>
      <c r="M84" s="5"/>
      <c r="N84" s="5"/>
      <c r="O84" s="5"/>
      <c r="P84" s="5"/>
      <c r="Q84" s="5"/>
      <c r="R84" s="5"/>
      <c r="S84" s="5"/>
      <c r="T84" s="5"/>
      <c r="U84" s="5"/>
      <c r="V84" s="5"/>
      <c r="W84" s="5"/>
      <c r="X84" s="5"/>
      <c r="Y84" s="5"/>
      <c r="Z84" s="5"/>
      <c r="AA84" s="5"/>
      <c r="AB84" s="5"/>
      <c r="AC84" s="5"/>
      <c r="AD84" s="5"/>
      <c r="AE84" s="5"/>
      <c r="AF84" s="5"/>
      <c r="AG84" s="5"/>
      <c r="AH84" s="5"/>
      <c r="AI84" s="5"/>
      <c r="AJ84" s="5"/>
      <c r="AK84" s="5"/>
      <c r="AL84" s="5"/>
      <c r="AM84" s="5"/>
      <c r="AN84" s="5"/>
    </row>
    <row r="85" spans="2:40" x14ac:dyDescent="0.3">
      <c r="B85" s="5"/>
      <c r="C85" s="5"/>
      <c r="D85" s="5"/>
      <c r="E85" s="5"/>
      <c r="F85" s="5"/>
      <c r="G85" s="5"/>
      <c r="H85" s="5"/>
      <c r="I85" s="5"/>
      <c r="J85" s="5"/>
      <c r="K85" s="5"/>
      <c r="L85" s="5"/>
      <c r="M85" s="5"/>
      <c r="N85" s="5"/>
      <c r="O85" s="5"/>
      <c r="P85" s="5"/>
      <c r="Q85" s="5"/>
      <c r="R85" s="5"/>
      <c r="S85" s="5"/>
      <c r="T85" s="5"/>
      <c r="U85" s="5"/>
      <c r="V85" s="5"/>
      <c r="W85" s="5"/>
      <c r="X85" s="5"/>
      <c r="Y85" s="5"/>
      <c r="Z85" s="5"/>
      <c r="AA85" s="5"/>
      <c r="AB85" s="5"/>
      <c r="AC85" s="5"/>
      <c r="AD85" s="5"/>
      <c r="AE85" s="5"/>
      <c r="AF85" s="5"/>
      <c r="AG85" s="5"/>
      <c r="AH85" s="5"/>
      <c r="AI85" s="5"/>
      <c r="AJ85" s="5"/>
      <c r="AK85" s="5"/>
      <c r="AL85" s="5"/>
      <c r="AM85" s="5"/>
      <c r="AN85" s="5"/>
    </row>
    <row r="86" spans="2:40" x14ac:dyDescent="0.3">
      <c r="B86" s="5"/>
      <c r="C86" s="5"/>
      <c r="D86" s="5"/>
      <c r="E86" s="5"/>
      <c r="F86" s="5"/>
      <c r="G86" s="5"/>
      <c r="H86" s="5"/>
      <c r="I86" s="5"/>
      <c r="J86" s="5"/>
      <c r="K86" s="5"/>
      <c r="L86" s="5"/>
      <c r="M86" s="5"/>
      <c r="N86" s="5"/>
      <c r="O86" s="5"/>
      <c r="P86" s="5"/>
      <c r="Q86" s="5"/>
      <c r="R86" s="5"/>
      <c r="S86" s="5"/>
      <c r="T86" s="5"/>
      <c r="U86" s="5"/>
      <c r="V86" s="5"/>
      <c r="W86" s="5"/>
      <c r="X86" s="5"/>
      <c r="Y86" s="5"/>
      <c r="Z86" s="5"/>
      <c r="AA86" s="5"/>
      <c r="AB86" s="5"/>
      <c r="AC86" s="5"/>
      <c r="AD86" s="5"/>
      <c r="AE86" s="5"/>
      <c r="AF86" s="5"/>
      <c r="AG86" s="5"/>
      <c r="AH86" s="5"/>
      <c r="AI86" s="5"/>
      <c r="AJ86" s="5"/>
      <c r="AK86" s="5"/>
      <c r="AL86" s="5"/>
      <c r="AM86" s="5"/>
      <c r="AN86" s="5"/>
    </row>
    <row r="87" spans="2:40" x14ac:dyDescent="0.3">
      <c r="B87" s="5"/>
      <c r="C87" s="5"/>
      <c r="D87" s="5"/>
      <c r="E87" s="5"/>
      <c r="F87" s="5"/>
      <c r="G87" s="5"/>
      <c r="H87" s="5"/>
      <c r="I87" s="5"/>
      <c r="J87" s="5"/>
      <c r="K87" s="5"/>
      <c r="L87" s="5"/>
      <c r="M87" s="5"/>
      <c r="N87" s="5"/>
      <c r="O87" s="5"/>
      <c r="P87" s="5"/>
      <c r="Q87" s="5"/>
      <c r="R87" s="5"/>
      <c r="S87" s="5"/>
      <c r="T87" s="5"/>
      <c r="U87" s="5"/>
      <c r="V87" s="5"/>
      <c r="W87" s="5"/>
      <c r="X87" s="5"/>
      <c r="Y87" s="5"/>
      <c r="Z87" s="5"/>
      <c r="AA87" s="5"/>
      <c r="AB87" s="5"/>
      <c r="AC87" s="5"/>
      <c r="AD87" s="5"/>
      <c r="AE87" s="5"/>
      <c r="AF87" s="5"/>
      <c r="AG87" s="5"/>
      <c r="AH87" s="5"/>
      <c r="AI87" s="5"/>
      <c r="AJ87" s="5"/>
      <c r="AK87" s="5"/>
      <c r="AL87" s="5"/>
      <c r="AM87" s="5"/>
      <c r="AN87" s="5"/>
    </row>
    <row r="88" spans="2:40" x14ac:dyDescent="0.3">
      <c r="B88" s="5"/>
      <c r="C88" s="5"/>
      <c r="D88" s="5"/>
      <c r="E88" s="5"/>
      <c r="F88" s="5"/>
      <c r="G88" s="5"/>
      <c r="H88" s="5"/>
      <c r="I88" s="5"/>
      <c r="J88" s="5"/>
      <c r="K88" s="5"/>
      <c r="L88" s="5"/>
      <c r="M88" s="5"/>
      <c r="N88" s="5"/>
      <c r="O88" s="5"/>
      <c r="P88" s="5"/>
      <c r="Q88" s="5"/>
      <c r="R88" s="5"/>
      <c r="S88" s="5"/>
      <c r="T88" s="5"/>
      <c r="U88" s="5"/>
      <c r="V88" s="5"/>
      <c r="W88" s="5"/>
      <c r="X88" s="5"/>
      <c r="Y88" s="5"/>
      <c r="Z88" s="5"/>
      <c r="AA88" s="5"/>
      <c r="AB88" s="5"/>
      <c r="AC88" s="5"/>
      <c r="AD88" s="5"/>
      <c r="AE88" s="5"/>
      <c r="AF88" s="5"/>
      <c r="AG88" s="5"/>
      <c r="AH88" s="5"/>
      <c r="AI88" s="5"/>
      <c r="AJ88" s="5"/>
      <c r="AK88" s="5"/>
      <c r="AL88" s="5"/>
      <c r="AM88" s="5"/>
      <c r="AN88" s="5"/>
    </row>
    <row r="89" spans="2:40" x14ac:dyDescent="0.3">
      <c r="B89" s="5"/>
      <c r="C89" s="5"/>
      <c r="D89" s="5"/>
      <c r="E89" s="5"/>
      <c r="F89" s="5"/>
      <c r="G89" s="5"/>
      <c r="H89" s="5"/>
      <c r="I89" s="5"/>
      <c r="J89" s="5"/>
      <c r="K89" s="5"/>
      <c r="L89" s="5"/>
      <c r="M89" s="5"/>
      <c r="N89" s="5"/>
      <c r="O89" s="5"/>
      <c r="P89" s="5"/>
      <c r="Q89" s="5"/>
      <c r="R89" s="5"/>
      <c r="S89" s="5"/>
      <c r="T89" s="5"/>
      <c r="U89" s="5"/>
      <c r="V89" s="5"/>
      <c r="W89" s="5"/>
      <c r="X89" s="5"/>
      <c r="Y89" s="5"/>
      <c r="Z89" s="5"/>
      <c r="AA89" s="5"/>
      <c r="AB89" s="5"/>
      <c r="AC89" s="5"/>
      <c r="AD89" s="5"/>
      <c r="AE89" s="5"/>
      <c r="AF89" s="5"/>
      <c r="AG89" s="5"/>
      <c r="AH89" s="5"/>
      <c r="AI89" s="5"/>
      <c r="AJ89" s="5"/>
      <c r="AK89" s="5"/>
      <c r="AL89" s="5"/>
      <c r="AM89" s="5"/>
      <c r="AN89" s="5"/>
    </row>
    <row r="90" spans="2:40" x14ac:dyDescent="0.3">
      <c r="B90" s="5"/>
      <c r="C90" s="5"/>
      <c r="D90" s="5"/>
      <c r="E90" s="5"/>
      <c r="F90" s="5"/>
      <c r="G90" s="5"/>
      <c r="H90" s="5"/>
      <c r="I90" s="5"/>
      <c r="J90" s="5"/>
      <c r="K90" s="5"/>
      <c r="L90" s="5"/>
      <c r="M90" s="5"/>
      <c r="N90" s="5"/>
      <c r="O90" s="5"/>
      <c r="P90" s="5"/>
      <c r="Q90" s="5"/>
      <c r="R90" s="5"/>
      <c r="S90" s="5"/>
      <c r="T90" s="5"/>
      <c r="U90" s="5"/>
      <c r="V90" s="5"/>
      <c r="W90" s="5"/>
      <c r="X90" s="5"/>
      <c r="Y90" s="5"/>
      <c r="Z90" s="5"/>
      <c r="AA90" s="5"/>
      <c r="AB90" s="5"/>
      <c r="AC90" s="5"/>
      <c r="AD90" s="5"/>
      <c r="AE90" s="5"/>
      <c r="AF90" s="5"/>
      <c r="AG90" s="5"/>
      <c r="AH90" s="5"/>
      <c r="AI90" s="5"/>
      <c r="AJ90" s="5"/>
      <c r="AK90" s="5"/>
      <c r="AL90" s="5"/>
      <c r="AM90" s="5"/>
      <c r="AN90" s="5"/>
    </row>
    <row r="91" spans="2:40" x14ac:dyDescent="0.3">
      <c r="B91" s="5"/>
      <c r="C91" s="5"/>
      <c r="D91" s="5"/>
      <c r="E91" s="5"/>
      <c r="F91" s="5"/>
      <c r="G91" s="5"/>
      <c r="H91" s="5"/>
      <c r="I91" s="5"/>
      <c r="J91" s="5"/>
      <c r="K91" s="5"/>
      <c r="L91" s="5"/>
      <c r="M91" s="5"/>
      <c r="N91" s="5"/>
      <c r="O91" s="5"/>
      <c r="P91" s="5"/>
      <c r="Q91" s="5"/>
      <c r="R91" s="5"/>
      <c r="S91" s="5"/>
      <c r="T91" s="5"/>
      <c r="U91" s="5"/>
      <c r="V91" s="5"/>
      <c r="W91" s="5"/>
      <c r="X91" s="5"/>
      <c r="Y91" s="5"/>
      <c r="Z91" s="5"/>
      <c r="AA91" s="5"/>
      <c r="AB91" s="5"/>
      <c r="AC91" s="5"/>
      <c r="AD91" s="5"/>
      <c r="AE91" s="5"/>
      <c r="AF91" s="5"/>
      <c r="AG91" s="5"/>
      <c r="AH91" s="5"/>
      <c r="AI91" s="5"/>
      <c r="AJ91" s="5"/>
      <c r="AK91" s="5"/>
      <c r="AL91" s="5"/>
      <c r="AM91" s="5"/>
      <c r="AN91" s="5"/>
    </row>
    <row r="92" spans="2:40" x14ac:dyDescent="0.3">
      <c r="B92" s="5"/>
      <c r="C92" s="5"/>
      <c r="D92" s="5"/>
      <c r="E92" s="5"/>
      <c r="F92" s="5"/>
      <c r="G92" s="5"/>
      <c r="H92" s="5"/>
      <c r="I92" s="5"/>
      <c r="J92" s="5"/>
      <c r="K92" s="5"/>
      <c r="L92" s="5"/>
      <c r="M92" s="5"/>
      <c r="N92" s="5"/>
      <c r="O92" s="5"/>
      <c r="P92" s="5"/>
      <c r="Q92" s="5"/>
      <c r="R92" s="5"/>
      <c r="S92" s="5"/>
      <c r="T92" s="5"/>
      <c r="U92" s="5"/>
      <c r="V92" s="5"/>
      <c r="W92" s="5"/>
      <c r="X92" s="5"/>
      <c r="Y92" s="5"/>
      <c r="Z92" s="5"/>
      <c r="AA92" s="5"/>
      <c r="AB92" s="5"/>
      <c r="AC92" s="5"/>
      <c r="AD92" s="5"/>
      <c r="AE92" s="5"/>
      <c r="AF92" s="5"/>
      <c r="AG92" s="5"/>
      <c r="AH92" s="5"/>
      <c r="AI92" s="5"/>
      <c r="AJ92" s="5"/>
      <c r="AK92" s="5"/>
      <c r="AL92" s="5"/>
      <c r="AM92" s="5"/>
      <c r="AN92" s="5"/>
    </row>
    <row r="93" spans="2:40" x14ac:dyDescent="0.3">
      <c r="B93" s="5"/>
      <c r="C93" s="5"/>
      <c r="D93" s="5"/>
      <c r="E93" s="5"/>
      <c r="F93" s="5"/>
      <c r="G93" s="5"/>
      <c r="H93" s="5"/>
      <c r="I93" s="5"/>
      <c r="J93" s="5"/>
      <c r="K93" s="5"/>
      <c r="L93" s="5"/>
      <c r="M93" s="5"/>
      <c r="N93" s="5"/>
      <c r="O93" s="5"/>
      <c r="P93" s="5"/>
      <c r="Q93" s="5"/>
      <c r="R93" s="5"/>
      <c r="S93" s="5"/>
      <c r="T93" s="5"/>
      <c r="U93" s="5"/>
      <c r="V93" s="5"/>
      <c r="W93" s="5"/>
      <c r="X93" s="5"/>
      <c r="Y93" s="5"/>
      <c r="Z93" s="5"/>
      <c r="AA93" s="5"/>
      <c r="AB93" s="5"/>
      <c r="AC93" s="5"/>
      <c r="AD93" s="5"/>
      <c r="AE93" s="5"/>
      <c r="AF93" s="5"/>
      <c r="AG93" s="5"/>
      <c r="AH93" s="5"/>
      <c r="AI93" s="5"/>
      <c r="AJ93" s="5"/>
      <c r="AK93" s="5"/>
      <c r="AL93" s="5"/>
      <c r="AM93" s="5"/>
      <c r="AN93" s="5"/>
    </row>
    <row r="94" spans="2:40" x14ac:dyDescent="0.3">
      <c r="B94" s="5"/>
      <c r="C94" s="5"/>
      <c r="D94" s="5"/>
      <c r="E94" s="5"/>
      <c r="F94" s="5"/>
      <c r="G94" s="5"/>
      <c r="H94" s="5"/>
      <c r="I94" s="5"/>
      <c r="J94" s="5"/>
      <c r="K94" s="5"/>
      <c r="L94" s="5"/>
      <c r="M94" s="5"/>
      <c r="N94" s="5"/>
      <c r="O94" s="5"/>
      <c r="P94" s="5"/>
      <c r="Q94" s="5"/>
      <c r="R94" s="5"/>
      <c r="S94" s="5"/>
      <c r="T94" s="5"/>
      <c r="U94" s="5"/>
      <c r="V94" s="5"/>
      <c r="W94" s="5"/>
      <c r="X94" s="5"/>
      <c r="Y94" s="5"/>
      <c r="Z94" s="5"/>
      <c r="AA94" s="5"/>
      <c r="AB94" s="5"/>
      <c r="AC94" s="5"/>
      <c r="AD94" s="5"/>
      <c r="AE94" s="5"/>
      <c r="AF94" s="5"/>
      <c r="AG94" s="5"/>
      <c r="AH94" s="5"/>
      <c r="AI94" s="5"/>
      <c r="AJ94" s="5"/>
      <c r="AK94" s="5"/>
      <c r="AL94" s="5"/>
      <c r="AM94" s="5"/>
      <c r="AN94" s="5"/>
    </row>
    <row r="95" spans="2:40" x14ac:dyDescent="0.3">
      <c r="B95" s="5"/>
      <c r="C95" s="5"/>
      <c r="D95" s="5"/>
      <c r="E95" s="5"/>
      <c r="F95" s="5"/>
      <c r="G95" s="5"/>
      <c r="H95" s="5"/>
      <c r="I95" s="5"/>
      <c r="J95" s="5"/>
      <c r="K95" s="5"/>
      <c r="L95" s="5"/>
      <c r="M95" s="5"/>
      <c r="N95" s="5"/>
      <c r="O95" s="5"/>
      <c r="P95" s="5"/>
      <c r="Q95" s="5"/>
      <c r="R95" s="5"/>
      <c r="S95" s="5"/>
      <c r="T95" s="5"/>
      <c r="U95" s="5"/>
      <c r="V95" s="5"/>
      <c r="W95" s="5"/>
      <c r="X95" s="5"/>
      <c r="Y95" s="5"/>
      <c r="Z95" s="5"/>
      <c r="AA95" s="5"/>
      <c r="AB95" s="5"/>
      <c r="AC95" s="5"/>
      <c r="AD95" s="5"/>
      <c r="AE95" s="5"/>
      <c r="AF95" s="5"/>
      <c r="AG95" s="5"/>
      <c r="AH95" s="5"/>
      <c r="AI95" s="5"/>
      <c r="AJ95" s="5"/>
      <c r="AK95" s="5"/>
      <c r="AL95" s="5"/>
      <c r="AM95" s="5"/>
      <c r="AN95" s="5"/>
    </row>
    <row r="96" spans="2:40" x14ac:dyDescent="0.3">
      <c r="B96" s="5"/>
      <c r="C96" s="5"/>
      <c r="D96" s="5"/>
      <c r="E96" s="5"/>
      <c r="F96" s="5"/>
      <c r="G96" s="5"/>
      <c r="H96" s="5"/>
      <c r="I96" s="5"/>
      <c r="J96" s="5"/>
      <c r="K96" s="5"/>
      <c r="L96" s="5"/>
      <c r="M96" s="5"/>
      <c r="N96" s="5"/>
      <c r="O96" s="5"/>
      <c r="P96" s="5"/>
      <c r="Q96" s="5"/>
      <c r="R96" s="5"/>
      <c r="S96" s="5"/>
      <c r="T96" s="5"/>
      <c r="U96" s="5"/>
      <c r="V96" s="5"/>
      <c r="W96" s="5"/>
      <c r="X96" s="5"/>
      <c r="Y96" s="5"/>
      <c r="Z96" s="5"/>
      <c r="AA96" s="5"/>
      <c r="AB96" s="5"/>
      <c r="AC96" s="5"/>
      <c r="AD96" s="5"/>
      <c r="AE96" s="5"/>
      <c r="AF96" s="5"/>
      <c r="AG96" s="5"/>
      <c r="AH96" s="5"/>
      <c r="AI96" s="5"/>
      <c r="AJ96" s="5"/>
      <c r="AK96" s="5"/>
      <c r="AL96" s="5"/>
      <c r="AM96" s="5"/>
      <c r="AN96" s="5"/>
    </row>
    <row r="97" spans="2:40" x14ac:dyDescent="0.3">
      <c r="B97" s="5"/>
      <c r="C97" s="5"/>
      <c r="D97" s="5"/>
      <c r="E97" s="5"/>
      <c r="F97" s="5"/>
      <c r="G97" s="5"/>
      <c r="H97" s="5"/>
      <c r="I97" s="5"/>
      <c r="J97" s="5"/>
      <c r="K97" s="5"/>
      <c r="L97" s="5"/>
      <c r="M97" s="5"/>
      <c r="N97" s="5"/>
      <c r="O97" s="5"/>
      <c r="P97" s="5"/>
      <c r="Q97" s="5"/>
      <c r="R97" s="5"/>
      <c r="S97" s="5"/>
      <c r="T97" s="5"/>
      <c r="U97" s="5"/>
      <c r="V97" s="5"/>
      <c r="W97" s="5"/>
      <c r="X97" s="5"/>
      <c r="Y97" s="5"/>
      <c r="Z97" s="5"/>
      <c r="AA97" s="5"/>
      <c r="AB97" s="5"/>
      <c r="AC97" s="5"/>
      <c r="AD97" s="5"/>
      <c r="AE97" s="5"/>
      <c r="AF97" s="5"/>
      <c r="AG97" s="5"/>
      <c r="AH97" s="5"/>
      <c r="AI97" s="5"/>
      <c r="AJ97" s="5"/>
      <c r="AK97" s="5"/>
      <c r="AL97" s="5"/>
      <c r="AM97" s="5"/>
      <c r="AN97" s="5"/>
    </row>
    <row r="98" spans="2:40" x14ac:dyDescent="0.3">
      <c r="B98" s="5"/>
      <c r="C98" s="5"/>
      <c r="D98" s="5"/>
      <c r="E98" s="5"/>
      <c r="F98" s="5"/>
      <c r="G98" s="5"/>
      <c r="H98" s="5"/>
      <c r="I98" s="5"/>
      <c r="J98" s="5"/>
      <c r="K98" s="5"/>
      <c r="L98" s="5"/>
      <c r="M98" s="5"/>
      <c r="N98" s="5"/>
      <c r="O98" s="5"/>
      <c r="P98" s="5"/>
      <c r="Q98" s="5"/>
      <c r="R98" s="5"/>
      <c r="S98" s="5"/>
      <c r="T98" s="5"/>
      <c r="U98" s="5"/>
      <c r="V98" s="5"/>
      <c r="W98" s="5"/>
      <c r="X98" s="5"/>
      <c r="Y98" s="5"/>
      <c r="Z98" s="5"/>
      <c r="AA98" s="5"/>
      <c r="AB98" s="5"/>
      <c r="AC98" s="5"/>
      <c r="AD98" s="5"/>
      <c r="AE98" s="5"/>
      <c r="AF98" s="5"/>
      <c r="AG98" s="5"/>
      <c r="AH98" s="5"/>
      <c r="AI98" s="5"/>
      <c r="AJ98" s="5"/>
      <c r="AK98" s="5"/>
      <c r="AL98" s="5"/>
      <c r="AM98" s="5"/>
      <c r="AN98" s="5"/>
    </row>
    <row r="99" spans="2:40" x14ac:dyDescent="0.3">
      <c r="B99" s="5"/>
      <c r="C99" s="5"/>
      <c r="D99" s="5"/>
      <c r="E99" s="5"/>
      <c r="F99" s="5"/>
      <c r="G99" s="5"/>
      <c r="H99" s="5"/>
      <c r="I99" s="5"/>
      <c r="J99" s="5"/>
      <c r="K99" s="5"/>
      <c r="L99" s="5"/>
      <c r="M99" s="5"/>
      <c r="N99" s="5"/>
      <c r="O99" s="5"/>
      <c r="P99" s="5"/>
      <c r="Q99" s="5"/>
      <c r="R99" s="5"/>
      <c r="S99" s="5"/>
      <c r="T99" s="5"/>
      <c r="U99" s="5"/>
      <c r="V99" s="5"/>
      <c r="W99" s="5"/>
      <c r="X99" s="5"/>
      <c r="Y99" s="5"/>
      <c r="Z99" s="5"/>
      <c r="AA99" s="5"/>
      <c r="AB99" s="5"/>
      <c r="AC99" s="5"/>
      <c r="AD99" s="5"/>
      <c r="AE99" s="5"/>
      <c r="AF99" s="5"/>
      <c r="AG99" s="5"/>
      <c r="AH99" s="5"/>
      <c r="AI99" s="5"/>
      <c r="AJ99" s="5"/>
      <c r="AK99" s="5"/>
      <c r="AL99" s="5"/>
      <c r="AM99" s="5"/>
      <c r="AN99" s="5"/>
    </row>
    <row r="100" spans="2:40" x14ac:dyDescent="0.3">
      <c r="B100" s="5"/>
      <c r="C100" s="5"/>
      <c r="D100" s="5"/>
      <c r="E100" s="5"/>
      <c r="F100" s="5"/>
      <c r="G100" s="5"/>
      <c r="H100" s="5"/>
      <c r="I100" s="5"/>
      <c r="J100" s="5"/>
      <c r="K100" s="5"/>
      <c r="L100" s="5"/>
      <c r="M100" s="5"/>
      <c r="N100" s="5"/>
      <c r="O100" s="5"/>
      <c r="P100" s="5"/>
      <c r="Q100" s="5"/>
      <c r="R100" s="5"/>
      <c r="S100" s="5"/>
      <c r="T100" s="5"/>
      <c r="U100" s="5"/>
      <c r="V100" s="5"/>
      <c r="W100" s="5"/>
      <c r="X100" s="5"/>
      <c r="Y100" s="5"/>
      <c r="Z100" s="5"/>
      <c r="AA100" s="5"/>
      <c r="AB100" s="5"/>
      <c r="AC100" s="5"/>
      <c r="AD100" s="5"/>
      <c r="AE100" s="5"/>
      <c r="AF100" s="5"/>
      <c r="AG100" s="5"/>
      <c r="AH100" s="5"/>
      <c r="AI100" s="5"/>
      <c r="AJ100" s="5"/>
      <c r="AK100" s="5"/>
      <c r="AL100" s="5"/>
      <c r="AM100" s="5"/>
      <c r="AN100" s="5"/>
    </row>
  </sheetData>
  <pageMargins left="0.7" right="0.7" top="0.75" bottom="0.75" header="0.3" footer="0.3"/>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E7E4E4-29E0-4898-914A-EE25819C61E0}">
  <sheetPr>
    <tabColor rgb="FF2E8B8B"/>
  </sheetPr>
  <dimension ref="A1:AN100"/>
  <sheetViews>
    <sheetView workbookViewId="0">
      <pane xSplit="1" ySplit="2" topLeftCell="AL3" activePane="bottomRight" state="frozen"/>
      <selection pane="topRight" activeCell="B1" sqref="B1"/>
      <selection pane="bottomLeft" activeCell="A3" sqref="A3"/>
      <selection pane="bottomRight" activeCell="AQ9" sqref="AQ9"/>
    </sheetView>
  </sheetViews>
  <sheetFormatPr defaultRowHeight="14.4" x14ac:dyDescent="0.3"/>
  <cols>
    <col min="1" max="1" width="33.33203125" customWidth="1"/>
    <col min="2" max="40" width="12" customWidth="1"/>
  </cols>
  <sheetData>
    <row r="1" spans="1:40" ht="24" customHeight="1" thickBot="1" x14ac:dyDescent="0.35">
      <c r="A1" s="445" t="str" cm="1">
        <f t="array" ref="A1:AK2">'23_Time'!A1:AK2</f>
        <v>Month Index</v>
      </c>
      <c r="B1" s="446">
        <v>1</v>
      </c>
      <c r="C1" s="446">
        <v>2</v>
      </c>
      <c r="D1" s="446">
        <v>3</v>
      </c>
      <c r="E1" s="446">
        <v>4</v>
      </c>
      <c r="F1" s="446">
        <v>5</v>
      </c>
      <c r="G1" s="446">
        <v>6</v>
      </c>
      <c r="H1" s="446">
        <v>7</v>
      </c>
      <c r="I1" s="446">
        <v>8</v>
      </c>
      <c r="J1" s="446">
        <v>9</v>
      </c>
      <c r="K1" s="446">
        <v>10</v>
      </c>
      <c r="L1" s="446">
        <v>11</v>
      </c>
      <c r="M1" s="446">
        <v>12</v>
      </c>
      <c r="N1" s="446">
        <v>13</v>
      </c>
      <c r="O1" s="446">
        <v>14</v>
      </c>
      <c r="P1" s="446">
        <v>15</v>
      </c>
      <c r="Q1" s="446">
        <v>16</v>
      </c>
      <c r="R1" s="446">
        <v>17</v>
      </c>
      <c r="S1" s="446">
        <v>18</v>
      </c>
      <c r="T1" s="446">
        <v>19</v>
      </c>
      <c r="U1" s="446">
        <v>20</v>
      </c>
      <c r="V1" s="446">
        <v>21</v>
      </c>
      <c r="W1" s="446">
        <v>22</v>
      </c>
      <c r="X1" s="446">
        <v>23</v>
      </c>
      <c r="Y1" s="446">
        <v>24</v>
      </c>
      <c r="Z1" s="446">
        <v>25</v>
      </c>
      <c r="AA1" s="446">
        <v>26</v>
      </c>
      <c r="AB1" s="446">
        <v>27</v>
      </c>
      <c r="AC1" s="446">
        <v>28</v>
      </c>
      <c r="AD1" s="446">
        <v>29</v>
      </c>
      <c r="AE1" s="446">
        <v>30</v>
      </c>
      <c r="AF1" s="446">
        <v>31</v>
      </c>
      <c r="AG1" s="446">
        <v>32</v>
      </c>
      <c r="AH1" s="446">
        <v>33</v>
      </c>
      <c r="AI1" s="446">
        <v>34</v>
      </c>
      <c r="AJ1" s="446">
        <v>35</v>
      </c>
      <c r="AK1" s="447">
        <v>36</v>
      </c>
      <c r="AL1" s="448"/>
      <c r="AM1" s="449"/>
      <c r="AN1" s="450"/>
    </row>
    <row r="2" spans="1:40" ht="15" thickBot="1" x14ac:dyDescent="0.35">
      <c r="A2" s="293" t="str">
        <v>Month Label</v>
      </c>
      <c r="B2" s="294" t="str">
        <v>M1</v>
      </c>
      <c r="C2" s="294" t="str">
        <v>M2</v>
      </c>
      <c r="D2" s="294" t="str">
        <v>M3</v>
      </c>
      <c r="E2" s="294" t="str">
        <v>M4</v>
      </c>
      <c r="F2" s="294" t="str">
        <v>M5</v>
      </c>
      <c r="G2" s="294" t="str">
        <v>M6</v>
      </c>
      <c r="H2" s="294" t="str">
        <v>M7</v>
      </c>
      <c r="I2" s="294" t="str">
        <v>M8</v>
      </c>
      <c r="J2" s="294" t="str">
        <v>M9</v>
      </c>
      <c r="K2" s="294" t="str">
        <v>M10</v>
      </c>
      <c r="L2" s="294" t="str">
        <v>M11</v>
      </c>
      <c r="M2" s="294" t="str">
        <v>M12</v>
      </c>
      <c r="N2" s="294" t="str">
        <v>M13</v>
      </c>
      <c r="O2" s="294" t="str">
        <v>M14</v>
      </c>
      <c r="P2" s="294" t="str">
        <v>M15</v>
      </c>
      <c r="Q2" s="294" t="str">
        <v>M16</v>
      </c>
      <c r="R2" s="294" t="str">
        <v>M17</v>
      </c>
      <c r="S2" s="294" t="str">
        <v>M18</v>
      </c>
      <c r="T2" s="294" t="str">
        <v>M19</v>
      </c>
      <c r="U2" s="294" t="str">
        <v>M20</v>
      </c>
      <c r="V2" s="294" t="str">
        <v>M21</v>
      </c>
      <c r="W2" s="294" t="str">
        <v>M22</v>
      </c>
      <c r="X2" s="294" t="str">
        <v>M23</v>
      </c>
      <c r="Y2" s="294" t="str">
        <v>M24</v>
      </c>
      <c r="Z2" s="294" t="str">
        <v>M25</v>
      </c>
      <c r="AA2" s="294" t="str">
        <v>M26</v>
      </c>
      <c r="AB2" s="294" t="str">
        <v>M27</v>
      </c>
      <c r="AC2" s="294" t="str">
        <v>M28</v>
      </c>
      <c r="AD2" s="294" t="str">
        <v>M29</v>
      </c>
      <c r="AE2" s="294" t="str">
        <v>M30</v>
      </c>
      <c r="AF2" s="294" t="str">
        <v>M31</v>
      </c>
      <c r="AG2" s="294" t="str">
        <v>M32</v>
      </c>
      <c r="AH2" s="294" t="str">
        <v>M33</v>
      </c>
      <c r="AI2" s="294" t="str">
        <v>M34</v>
      </c>
      <c r="AJ2" s="294" t="str">
        <v>M35</v>
      </c>
      <c r="AK2" s="294" t="str">
        <v>M36</v>
      </c>
      <c r="AL2" s="206" t="s">
        <v>72</v>
      </c>
      <c r="AM2" s="207" t="s">
        <v>73</v>
      </c>
      <c r="AN2" s="208" t="s">
        <v>74</v>
      </c>
    </row>
    <row r="3" spans="1:40" x14ac:dyDescent="0.3">
      <c r="A3" s="291" t="s">
        <v>179</v>
      </c>
      <c r="B3" s="186">
        <v>0</v>
      </c>
      <c r="C3" s="186">
        <f>B5</f>
        <v>0</v>
      </c>
      <c r="D3" s="186">
        <f t="shared" ref="D3:AK3" si="0">C5</f>
        <v>0</v>
      </c>
      <c r="E3" s="186">
        <f t="shared" si="0"/>
        <v>0</v>
      </c>
      <c r="F3" s="186">
        <f t="shared" si="0"/>
        <v>1000000</v>
      </c>
      <c r="G3" s="186">
        <f t="shared" si="0"/>
        <v>3000000</v>
      </c>
      <c r="H3" s="186">
        <f t="shared" si="0"/>
        <v>3000000</v>
      </c>
      <c r="I3" s="186">
        <f t="shared" si="0"/>
        <v>4000000</v>
      </c>
      <c r="J3" s="186">
        <f t="shared" si="0"/>
        <v>4000000</v>
      </c>
      <c r="K3" s="186">
        <f t="shared" si="0"/>
        <v>4000000</v>
      </c>
      <c r="L3" s="186">
        <f t="shared" si="0"/>
        <v>4000000</v>
      </c>
      <c r="M3" s="186">
        <f t="shared" si="0"/>
        <v>4000000</v>
      </c>
      <c r="N3" s="186">
        <f t="shared" si="0"/>
        <v>4000000</v>
      </c>
      <c r="O3" s="186">
        <f t="shared" si="0"/>
        <v>4000000</v>
      </c>
      <c r="P3" s="186">
        <f t="shared" si="0"/>
        <v>4000000</v>
      </c>
      <c r="Q3" s="186">
        <f t="shared" si="0"/>
        <v>4000000</v>
      </c>
      <c r="R3" s="186">
        <f t="shared" si="0"/>
        <v>4000000</v>
      </c>
      <c r="S3" s="186">
        <f t="shared" si="0"/>
        <v>4000000</v>
      </c>
      <c r="T3" s="186">
        <f t="shared" si="0"/>
        <v>4000000</v>
      </c>
      <c r="U3" s="186">
        <f t="shared" si="0"/>
        <v>4000000</v>
      </c>
      <c r="V3" s="186">
        <f t="shared" si="0"/>
        <v>4000000</v>
      </c>
      <c r="W3" s="186">
        <f t="shared" si="0"/>
        <v>4000000</v>
      </c>
      <c r="X3" s="186">
        <f t="shared" si="0"/>
        <v>4000000</v>
      </c>
      <c r="Y3" s="186">
        <f t="shared" si="0"/>
        <v>4000000</v>
      </c>
      <c r="Z3" s="186">
        <f t="shared" si="0"/>
        <v>4000000</v>
      </c>
      <c r="AA3" s="186">
        <f t="shared" si="0"/>
        <v>4000000</v>
      </c>
      <c r="AB3" s="186">
        <f t="shared" si="0"/>
        <v>4000000</v>
      </c>
      <c r="AC3" s="186">
        <f t="shared" si="0"/>
        <v>4000000</v>
      </c>
      <c r="AD3" s="186">
        <f t="shared" si="0"/>
        <v>4000000</v>
      </c>
      <c r="AE3" s="186">
        <f t="shared" si="0"/>
        <v>4000000</v>
      </c>
      <c r="AF3" s="186">
        <f t="shared" si="0"/>
        <v>4000000</v>
      </c>
      <c r="AG3" s="186">
        <f t="shared" si="0"/>
        <v>4000000</v>
      </c>
      <c r="AH3" s="186">
        <f t="shared" si="0"/>
        <v>4000000</v>
      </c>
      <c r="AI3" s="186">
        <f t="shared" si="0"/>
        <v>4000000</v>
      </c>
      <c r="AJ3" s="186">
        <f t="shared" si="0"/>
        <v>4000000</v>
      </c>
      <c r="AK3" s="186">
        <f t="shared" si="0"/>
        <v>4000000</v>
      </c>
      <c r="AL3" s="185">
        <f>B3</f>
        <v>0</v>
      </c>
      <c r="AM3" s="186">
        <f>N3</f>
        <v>4000000</v>
      </c>
      <c r="AN3" s="187">
        <f>Z3</f>
        <v>4000000</v>
      </c>
    </row>
    <row r="4" spans="1:40" x14ac:dyDescent="0.3">
      <c r="A4" s="290" t="s">
        <v>180</v>
      </c>
      <c r="B4" s="189">
        <f>IF(B$1='36_Inputs_Funding'!$B$6,'36_Inputs_Funding'!$B$7,0)+IF(B$1='36_Inputs_Funding'!$B$8,'36_Inputs_Funding'!$B$9,0)+IF(B$1='36_Inputs_Funding'!$B$3,'36_Inputs_Funding'!$C$3,0)</f>
        <v>0</v>
      </c>
      <c r="C4" s="189">
        <f>IF(C$1='36_Inputs_Funding'!$B$6,'36_Inputs_Funding'!$B$7,0)+IF(C$1='36_Inputs_Funding'!$B$8,'36_Inputs_Funding'!$B$9,0)+IF(C$1='36_Inputs_Funding'!$B$3,'36_Inputs_Funding'!$C$3,0)</f>
        <v>0</v>
      </c>
      <c r="D4" s="189">
        <f>IF(D$1='36_Inputs_Funding'!$B$6,'36_Inputs_Funding'!$B$7,0)+IF(D$1='36_Inputs_Funding'!$B$8,'36_Inputs_Funding'!$B$9,0)+IF(D$1='36_Inputs_Funding'!$B$3,'36_Inputs_Funding'!$C$3,0)</f>
        <v>0</v>
      </c>
      <c r="E4" s="189">
        <f>IF(E$1='36_Inputs_Funding'!$B$6,'36_Inputs_Funding'!$B$7,0)+IF(E$1='36_Inputs_Funding'!$B$8,'36_Inputs_Funding'!$B$9,0)+IF(E$1='36_Inputs_Funding'!$B$3,'36_Inputs_Funding'!$C$3,0)</f>
        <v>1000000</v>
      </c>
      <c r="F4" s="189">
        <f>IF(F$1='36_Inputs_Funding'!$B$6,'36_Inputs_Funding'!$B$7,0)+IF(F$1='36_Inputs_Funding'!$B$8,'36_Inputs_Funding'!$B$9,0)+IF(F$1='36_Inputs_Funding'!$B$3,'36_Inputs_Funding'!$C$3,0)</f>
        <v>2000000</v>
      </c>
      <c r="G4" s="189">
        <f>IF(G$1='36_Inputs_Funding'!$B$6,'36_Inputs_Funding'!$B$7,0)+IF(G$1='36_Inputs_Funding'!$B$8,'36_Inputs_Funding'!$B$9,0)+IF(G$1='36_Inputs_Funding'!$B$3,'36_Inputs_Funding'!$C$3,0)</f>
        <v>0</v>
      </c>
      <c r="H4" s="189">
        <f>IF(H$1='36_Inputs_Funding'!$B$6,'36_Inputs_Funding'!$B$7,0)+IF(H$1='36_Inputs_Funding'!$B$8,'36_Inputs_Funding'!$B$9,0)+IF(H$1='36_Inputs_Funding'!$B$3,'36_Inputs_Funding'!$C$3,0)</f>
        <v>1000000</v>
      </c>
      <c r="I4" s="189">
        <f>IF(I$1='36_Inputs_Funding'!$B$6,'36_Inputs_Funding'!$B$7,0)+IF(I$1='36_Inputs_Funding'!$B$8,'36_Inputs_Funding'!$B$9,0)+IF(I$1='36_Inputs_Funding'!$B$3,'36_Inputs_Funding'!$C$3,0)</f>
        <v>0</v>
      </c>
      <c r="J4" s="189">
        <f>IF(J$1='36_Inputs_Funding'!$B$6,'36_Inputs_Funding'!$B$7,0)+IF(J$1='36_Inputs_Funding'!$B$8,'36_Inputs_Funding'!$B$9,0)+IF(J$1='36_Inputs_Funding'!$B$3,'36_Inputs_Funding'!$C$3,0)</f>
        <v>0</v>
      </c>
      <c r="K4" s="189">
        <f>IF(K$1='36_Inputs_Funding'!$B$6,'36_Inputs_Funding'!$B$7,0)+IF(K$1='36_Inputs_Funding'!$B$8,'36_Inputs_Funding'!$B$9,0)+IF(K$1='36_Inputs_Funding'!$B$3,'36_Inputs_Funding'!$C$3,0)</f>
        <v>0</v>
      </c>
      <c r="L4" s="189">
        <f>IF(L$1='36_Inputs_Funding'!$B$6,'36_Inputs_Funding'!$B$7,0)+IF(L$1='36_Inputs_Funding'!$B$8,'36_Inputs_Funding'!$B$9,0)+IF(L$1='36_Inputs_Funding'!$B$3,'36_Inputs_Funding'!$C$3,0)</f>
        <v>0</v>
      </c>
      <c r="M4" s="189">
        <f>IF(M$1='36_Inputs_Funding'!$B$6,'36_Inputs_Funding'!$B$7,0)+IF(M$1='36_Inputs_Funding'!$B$8,'36_Inputs_Funding'!$B$9,0)+IF(M$1='36_Inputs_Funding'!$B$3,'36_Inputs_Funding'!$C$3,0)</f>
        <v>0</v>
      </c>
      <c r="N4" s="189">
        <f>IF(N$1='36_Inputs_Funding'!$B$6,'36_Inputs_Funding'!$B$7,0)+IF(N$1='36_Inputs_Funding'!$B$8,'36_Inputs_Funding'!$B$9,0)+IF(N$1='36_Inputs_Funding'!$B$3,'36_Inputs_Funding'!$C$3,0)</f>
        <v>0</v>
      </c>
      <c r="O4" s="189">
        <f>IF(O$1='36_Inputs_Funding'!$B$6,'36_Inputs_Funding'!$B$7,0)+IF(O$1='36_Inputs_Funding'!$B$8,'36_Inputs_Funding'!$B$9,0)+IF(O$1='36_Inputs_Funding'!$B$3,'36_Inputs_Funding'!$C$3,0)</f>
        <v>0</v>
      </c>
      <c r="P4" s="189">
        <f>IF(P$1='36_Inputs_Funding'!$B$6,'36_Inputs_Funding'!$B$7,0)+IF(P$1='36_Inputs_Funding'!$B$8,'36_Inputs_Funding'!$B$9,0)+IF(P$1='36_Inputs_Funding'!$B$3,'36_Inputs_Funding'!$C$3,0)</f>
        <v>0</v>
      </c>
      <c r="Q4" s="189">
        <f>IF(Q$1='36_Inputs_Funding'!$B$6,'36_Inputs_Funding'!$B$7,0)+IF(Q$1='36_Inputs_Funding'!$B$8,'36_Inputs_Funding'!$B$9,0)+IF(Q$1='36_Inputs_Funding'!$B$3,'36_Inputs_Funding'!$C$3,0)</f>
        <v>0</v>
      </c>
      <c r="R4" s="189">
        <f>IF(R$1='36_Inputs_Funding'!$B$6,'36_Inputs_Funding'!$B$7,0)+IF(R$1='36_Inputs_Funding'!$B$8,'36_Inputs_Funding'!$B$9,0)+IF(R$1='36_Inputs_Funding'!$B$3,'36_Inputs_Funding'!$C$3,0)</f>
        <v>0</v>
      </c>
      <c r="S4" s="189">
        <f>IF(S$1='36_Inputs_Funding'!$B$6,'36_Inputs_Funding'!$B$7,0)+IF(S$1='36_Inputs_Funding'!$B$8,'36_Inputs_Funding'!$B$9,0)+IF(S$1='36_Inputs_Funding'!$B$3,'36_Inputs_Funding'!$C$3,0)</f>
        <v>0</v>
      </c>
      <c r="T4" s="189">
        <f>IF(T$1='36_Inputs_Funding'!$B$6,'36_Inputs_Funding'!$B$7,0)+IF(T$1='36_Inputs_Funding'!$B$8,'36_Inputs_Funding'!$B$9,0)+IF(T$1='36_Inputs_Funding'!$B$3,'36_Inputs_Funding'!$C$3,0)</f>
        <v>0</v>
      </c>
      <c r="U4" s="189">
        <f>IF(U$1='36_Inputs_Funding'!$B$6,'36_Inputs_Funding'!$B$7,0)+IF(U$1='36_Inputs_Funding'!$B$8,'36_Inputs_Funding'!$B$9,0)+IF(U$1='36_Inputs_Funding'!$B$3,'36_Inputs_Funding'!$C$3,0)</f>
        <v>0</v>
      </c>
      <c r="V4" s="189">
        <f>IF(V$1='36_Inputs_Funding'!$B$6,'36_Inputs_Funding'!$B$7,0)+IF(V$1='36_Inputs_Funding'!$B$8,'36_Inputs_Funding'!$B$9,0)+IF(V$1='36_Inputs_Funding'!$B$3,'36_Inputs_Funding'!$C$3,0)</f>
        <v>0</v>
      </c>
      <c r="W4" s="189">
        <f>IF(W$1='36_Inputs_Funding'!$B$6,'36_Inputs_Funding'!$B$7,0)+IF(W$1='36_Inputs_Funding'!$B$8,'36_Inputs_Funding'!$B$9,0)+IF(W$1='36_Inputs_Funding'!$B$3,'36_Inputs_Funding'!$C$3,0)</f>
        <v>0</v>
      </c>
      <c r="X4" s="189">
        <f>IF(X$1='36_Inputs_Funding'!$B$6,'36_Inputs_Funding'!$B$7,0)+IF(X$1='36_Inputs_Funding'!$B$8,'36_Inputs_Funding'!$B$9,0)+IF(X$1='36_Inputs_Funding'!$B$3,'36_Inputs_Funding'!$C$3,0)</f>
        <v>0</v>
      </c>
      <c r="Y4" s="189">
        <f>IF(Y$1='36_Inputs_Funding'!$B$6,'36_Inputs_Funding'!$B$7,0)+IF(Y$1='36_Inputs_Funding'!$B$8,'36_Inputs_Funding'!$B$9,0)+IF(Y$1='36_Inputs_Funding'!$B$3,'36_Inputs_Funding'!$C$3,0)</f>
        <v>0</v>
      </c>
      <c r="Z4" s="189">
        <f>IF(Z$1='36_Inputs_Funding'!$B$6,'36_Inputs_Funding'!$B$7,0)+IF(Z$1='36_Inputs_Funding'!$B$8,'36_Inputs_Funding'!$B$9,0)+IF(Z$1='36_Inputs_Funding'!$B$3,'36_Inputs_Funding'!$C$3,0)</f>
        <v>0</v>
      </c>
      <c r="AA4" s="189">
        <f>IF(AA$1='36_Inputs_Funding'!$B$6,'36_Inputs_Funding'!$B$7,0)+IF(AA$1='36_Inputs_Funding'!$B$8,'36_Inputs_Funding'!$B$9,0)+IF(AA$1='36_Inputs_Funding'!$B$3,'36_Inputs_Funding'!$C$3,0)</f>
        <v>0</v>
      </c>
      <c r="AB4" s="189">
        <f>IF(AB$1='36_Inputs_Funding'!$B$6,'36_Inputs_Funding'!$B$7,0)+IF(AB$1='36_Inputs_Funding'!$B$8,'36_Inputs_Funding'!$B$9,0)+IF(AB$1='36_Inputs_Funding'!$B$3,'36_Inputs_Funding'!$C$3,0)</f>
        <v>0</v>
      </c>
      <c r="AC4" s="189">
        <f>IF(AC$1='36_Inputs_Funding'!$B$6,'36_Inputs_Funding'!$B$7,0)+IF(AC$1='36_Inputs_Funding'!$B$8,'36_Inputs_Funding'!$B$9,0)+IF(AC$1='36_Inputs_Funding'!$B$3,'36_Inputs_Funding'!$C$3,0)</f>
        <v>0</v>
      </c>
      <c r="AD4" s="189">
        <f>IF(AD$1='36_Inputs_Funding'!$B$6,'36_Inputs_Funding'!$B$7,0)+IF(AD$1='36_Inputs_Funding'!$B$8,'36_Inputs_Funding'!$B$9,0)+IF(AD$1='36_Inputs_Funding'!$B$3,'36_Inputs_Funding'!$C$3,0)</f>
        <v>0</v>
      </c>
      <c r="AE4" s="189">
        <f>IF(AE$1='36_Inputs_Funding'!$B$6,'36_Inputs_Funding'!$B$7,0)+IF(AE$1='36_Inputs_Funding'!$B$8,'36_Inputs_Funding'!$B$9,0)+IF(AE$1='36_Inputs_Funding'!$B$3,'36_Inputs_Funding'!$C$3,0)</f>
        <v>0</v>
      </c>
      <c r="AF4" s="189">
        <f>IF(AF$1='36_Inputs_Funding'!$B$6,'36_Inputs_Funding'!$B$7,0)+IF(AF$1='36_Inputs_Funding'!$B$8,'36_Inputs_Funding'!$B$9,0)+IF(AF$1='36_Inputs_Funding'!$B$3,'36_Inputs_Funding'!$C$3,0)</f>
        <v>0</v>
      </c>
      <c r="AG4" s="189">
        <f>IF(AG$1='36_Inputs_Funding'!$B$6,'36_Inputs_Funding'!$B$7,0)+IF(AG$1='36_Inputs_Funding'!$B$8,'36_Inputs_Funding'!$B$9,0)+IF(AG$1='36_Inputs_Funding'!$B$3,'36_Inputs_Funding'!$C$3,0)</f>
        <v>0</v>
      </c>
      <c r="AH4" s="189">
        <f>IF(AH$1='36_Inputs_Funding'!$B$6,'36_Inputs_Funding'!$B$7,0)+IF(AH$1='36_Inputs_Funding'!$B$8,'36_Inputs_Funding'!$B$9,0)+IF(AH$1='36_Inputs_Funding'!$B$3,'36_Inputs_Funding'!$C$3,0)</f>
        <v>0</v>
      </c>
      <c r="AI4" s="189">
        <f>IF(AI$1='36_Inputs_Funding'!$B$6,'36_Inputs_Funding'!$B$7,0)+IF(AI$1='36_Inputs_Funding'!$B$8,'36_Inputs_Funding'!$B$9,0)+IF(AI$1='36_Inputs_Funding'!$B$3,'36_Inputs_Funding'!$C$3,0)</f>
        <v>0</v>
      </c>
      <c r="AJ4" s="189">
        <f>IF(AJ$1='36_Inputs_Funding'!$B$6,'36_Inputs_Funding'!$B$7,0)+IF(AJ$1='36_Inputs_Funding'!$B$8,'36_Inputs_Funding'!$B$9,0)+IF(AJ$1='36_Inputs_Funding'!$B$3,'36_Inputs_Funding'!$C$3,0)</f>
        <v>0</v>
      </c>
      <c r="AK4" s="189">
        <f>IF(AK$1='36_Inputs_Funding'!$B$6,'36_Inputs_Funding'!$B$7,0)+IF(AK$1='36_Inputs_Funding'!$B$8,'36_Inputs_Funding'!$B$9,0)+IF(AK$1='36_Inputs_Funding'!$B$3,'36_Inputs_Funding'!$C$3,0)</f>
        <v>0</v>
      </c>
      <c r="AL4" s="188">
        <f>SUMIF('23_Time'!$B$3:$AK$3, 1,B4:AK4)</f>
        <v>4000000</v>
      </c>
      <c r="AM4" s="189">
        <f>SUMIF('23_Time'!$B$3:$AK$3, 2,B4:AK4)</f>
        <v>0</v>
      </c>
      <c r="AN4" s="190">
        <f>SUMIF('23_Time'!$B$3:$AK$3, 3,B4:AK4)</f>
        <v>0</v>
      </c>
    </row>
    <row r="5" spans="1:40" x14ac:dyDescent="0.3">
      <c r="A5" s="290" t="s">
        <v>181</v>
      </c>
      <c r="B5" s="189">
        <f t="shared" ref="B5:AK5" si="1">B3+B4</f>
        <v>0</v>
      </c>
      <c r="C5" s="189">
        <f t="shared" si="1"/>
        <v>0</v>
      </c>
      <c r="D5" s="189">
        <f t="shared" si="1"/>
        <v>0</v>
      </c>
      <c r="E5" s="189">
        <f t="shared" si="1"/>
        <v>1000000</v>
      </c>
      <c r="F5" s="189">
        <f t="shared" si="1"/>
        <v>3000000</v>
      </c>
      <c r="G5" s="189">
        <f t="shared" si="1"/>
        <v>3000000</v>
      </c>
      <c r="H5" s="189">
        <f t="shared" si="1"/>
        <v>4000000</v>
      </c>
      <c r="I5" s="189">
        <f t="shared" si="1"/>
        <v>4000000</v>
      </c>
      <c r="J5" s="189">
        <f t="shared" si="1"/>
        <v>4000000</v>
      </c>
      <c r="K5" s="189">
        <f t="shared" si="1"/>
        <v>4000000</v>
      </c>
      <c r="L5" s="189">
        <f t="shared" si="1"/>
        <v>4000000</v>
      </c>
      <c r="M5" s="189">
        <f t="shared" si="1"/>
        <v>4000000</v>
      </c>
      <c r="N5" s="189">
        <f t="shared" si="1"/>
        <v>4000000</v>
      </c>
      <c r="O5" s="189">
        <f t="shared" si="1"/>
        <v>4000000</v>
      </c>
      <c r="P5" s="189">
        <f t="shared" si="1"/>
        <v>4000000</v>
      </c>
      <c r="Q5" s="189">
        <f t="shared" si="1"/>
        <v>4000000</v>
      </c>
      <c r="R5" s="189">
        <f t="shared" si="1"/>
        <v>4000000</v>
      </c>
      <c r="S5" s="189">
        <f t="shared" si="1"/>
        <v>4000000</v>
      </c>
      <c r="T5" s="189">
        <f t="shared" si="1"/>
        <v>4000000</v>
      </c>
      <c r="U5" s="189">
        <f t="shared" si="1"/>
        <v>4000000</v>
      </c>
      <c r="V5" s="189">
        <f t="shared" si="1"/>
        <v>4000000</v>
      </c>
      <c r="W5" s="189">
        <f t="shared" si="1"/>
        <v>4000000</v>
      </c>
      <c r="X5" s="189">
        <f t="shared" si="1"/>
        <v>4000000</v>
      </c>
      <c r="Y5" s="189">
        <f t="shared" si="1"/>
        <v>4000000</v>
      </c>
      <c r="Z5" s="189">
        <f t="shared" si="1"/>
        <v>4000000</v>
      </c>
      <c r="AA5" s="189">
        <f t="shared" si="1"/>
        <v>4000000</v>
      </c>
      <c r="AB5" s="189">
        <f t="shared" si="1"/>
        <v>4000000</v>
      </c>
      <c r="AC5" s="189">
        <f t="shared" si="1"/>
        <v>4000000</v>
      </c>
      <c r="AD5" s="189">
        <f t="shared" si="1"/>
        <v>4000000</v>
      </c>
      <c r="AE5" s="189">
        <f t="shared" si="1"/>
        <v>4000000</v>
      </c>
      <c r="AF5" s="189">
        <f t="shared" si="1"/>
        <v>4000000</v>
      </c>
      <c r="AG5" s="189">
        <f t="shared" si="1"/>
        <v>4000000</v>
      </c>
      <c r="AH5" s="189">
        <f t="shared" si="1"/>
        <v>4000000</v>
      </c>
      <c r="AI5" s="189">
        <f t="shared" si="1"/>
        <v>4000000</v>
      </c>
      <c r="AJ5" s="189">
        <f t="shared" si="1"/>
        <v>4000000</v>
      </c>
      <c r="AK5" s="189">
        <f t="shared" si="1"/>
        <v>4000000</v>
      </c>
      <c r="AL5" s="188">
        <f>M5</f>
        <v>4000000</v>
      </c>
      <c r="AM5" s="189">
        <f>Y5</f>
        <v>4000000</v>
      </c>
      <c r="AN5" s="190">
        <f>AK5</f>
        <v>4000000</v>
      </c>
    </row>
    <row r="6" spans="1:40" ht="15" thickBot="1" x14ac:dyDescent="0.35">
      <c r="A6" s="292" t="s">
        <v>178</v>
      </c>
      <c r="B6" s="193">
        <f>(B5+B3)*'36_Inputs_Funding'!$B$10/24</f>
        <v>0</v>
      </c>
      <c r="C6" s="193">
        <f>(C5+C3)*'36_Inputs_Funding'!$B$10/24</f>
        <v>0</v>
      </c>
      <c r="D6" s="193">
        <f>(D5+D3)*'36_Inputs_Funding'!$B$10/24</f>
        <v>0</v>
      </c>
      <c r="E6" s="193">
        <f>(E5+E3)*'36_Inputs_Funding'!$B$10/24</f>
        <v>4166.666666666667</v>
      </c>
      <c r="F6" s="193">
        <f>(F5+F3)*'36_Inputs_Funding'!$B$10/24</f>
        <v>16666.666666666668</v>
      </c>
      <c r="G6" s="193">
        <f>(G5+G3)*'36_Inputs_Funding'!$B$10/24</f>
        <v>25000</v>
      </c>
      <c r="H6" s="193">
        <f>(H5+H3)*'36_Inputs_Funding'!$B$10/24</f>
        <v>29166.666666666668</v>
      </c>
      <c r="I6" s="193">
        <f>(I5+I3)*'36_Inputs_Funding'!$B$10/24</f>
        <v>33333.333333333336</v>
      </c>
      <c r="J6" s="193">
        <f>(J5+J3)*'36_Inputs_Funding'!$B$10/24</f>
        <v>33333.333333333336</v>
      </c>
      <c r="K6" s="193">
        <f>(K5+K3)*'36_Inputs_Funding'!$B$10/24</f>
        <v>33333.333333333336</v>
      </c>
      <c r="L6" s="193">
        <f>(L5+L3)*'36_Inputs_Funding'!$B$10/24</f>
        <v>33333.333333333336</v>
      </c>
      <c r="M6" s="193">
        <f>(M5+M3)*'36_Inputs_Funding'!$B$10/24</f>
        <v>33333.333333333336</v>
      </c>
      <c r="N6" s="193">
        <f>(N5+N3)*'36_Inputs_Funding'!$B$10/24</f>
        <v>33333.333333333336</v>
      </c>
      <c r="O6" s="193">
        <f>(O5+O3)*'36_Inputs_Funding'!$B$10/24</f>
        <v>33333.333333333336</v>
      </c>
      <c r="P6" s="193">
        <f>(P5+P3)*'36_Inputs_Funding'!$B$10/24</f>
        <v>33333.333333333336</v>
      </c>
      <c r="Q6" s="193">
        <f>(Q5+Q3)*'36_Inputs_Funding'!$B$10/24</f>
        <v>33333.333333333336</v>
      </c>
      <c r="R6" s="193">
        <f>(R5+R3)*'36_Inputs_Funding'!$B$10/24</f>
        <v>33333.333333333336</v>
      </c>
      <c r="S6" s="193">
        <f>(S5+S3)*'36_Inputs_Funding'!$B$10/24</f>
        <v>33333.333333333336</v>
      </c>
      <c r="T6" s="193">
        <f>(T5+T3)*'36_Inputs_Funding'!$B$10/24</f>
        <v>33333.333333333336</v>
      </c>
      <c r="U6" s="193">
        <f>(U5+U3)*'36_Inputs_Funding'!$B$10/24</f>
        <v>33333.333333333336</v>
      </c>
      <c r="V6" s="193">
        <f>(V5+V3)*'36_Inputs_Funding'!$B$10/24</f>
        <v>33333.333333333336</v>
      </c>
      <c r="W6" s="193">
        <f>(W5+W3)*'36_Inputs_Funding'!$B$10/24</f>
        <v>33333.333333333336</v>
      </c>
      <c r="X6" s="193">
        <f>(X5+X3)*'36_Inputs_Funding'!$B$10/24</f>
        <v>33333.333333333336</v>
      </c>
      <c r="Y6" s="193">
        <f>(Y5+Y3)*'36_Inputs_Funding'!$B$10/24</f>
        <v>33333.333333333336</v>
      </c>
      <c r="Z6" s="193">
        <f>(Z5+Z3)*'36_Inputs_Funding'!$B$10/24</f>
        <v>33333.333333333336</v>
      </c>
      <c r="AA6" s="193">
        <f>(AA5+AA3)*'36_Inputs_Funding'!$B$10/24</f>
        <v>33333.333333333336</v>
      </c>
      <c r="AB6" s="193">
        <f>(AB5+AB3)*'36_Inputs_Funding'!$B$10/24</f>
        <v>33333.333333333336</v>
      </c>
      <c r="AC6" s="193">
        <f>(AC5+AC3)*'36_Inputs_Funding'!$B$10/24</f>
        <v>33333.333333333336</v>
      </c>
      <c r="AD6" s="193">
        <f>(AD5+AD3)*'36_Inputs_Funding'!$B$10/24</f>
        <v>33333.333333333336</v>
      </c>
      <c r="AE6" s="193">
        <f>(AE5+AE3)*'36_Inputs_Funding'!$B$10/24</f>
        <v>33333.333333333336</v>
      </c>
      <c r="AF6" s="193">
        <f>(AF5+AF3)*'36_Inputs_Funding'!$B$10/24</f>
        <v>33333.333333333336</v>
      </c>
      <c r="AG6" s="193">
        <f>(AG5+AG3)*'36_Inputs_Funding'!$B$10/24</f>
        <v>33333.333333333336</v>
      </c>
      <c r="AH6" s="193">
        <f>(AH5+AH3)*'36_Inputs_Funding'!$B$10/24</f>
        <v>33333.333333333336</v>
      </c>
      <c r="AI6" s="193">
        <f>(AI5+AI3)*'36_Inputs_Funding'!$B$10/24</f>
        <v>33333.333333333336</v>
      </c>
      <c r="AJ6" s="193">
        <f>(AJ5+AJ3)*'36_Inputs_Funding'!$B$10/24</f>
        <v>33333.333333333336</v>
      </c>
      <c r="AK6" s="193">
        <f>(AK5+AK3)*'36_Inputs_Funding'!$B$10/24</f>
        <v>33333.333333333336</v>
      </c>
      <c r="AL6" s="192">
        <f>SUMIF('23_Time'!$B$3:$AK$3, 1,B6:AK6)</f>
        <v>241666.66666666672</v>
      </c>
      <c r="AM6" s="193">
        <f>SUMIF('23_Time'!$B$3:$AK$3, 2,B6:AK6)</f>
        <v>399999.99999999994</v>
      </c>
      <c r="AN6" s="194">
        <f>SUMIF('23_Time'!$B$3:$AK$3, 3,B6:AK6)</f>
        <v>399999.99999999994</v>
      </c>
    </row>
    <row r="7" spans="1:40" ht="15" thickBot="1" x14ac:dyDescent="0.35">
      <c r="A7" s="293" t="s">
        <v>182</v>
      </c>
      <c r="B7" s="294">
        <f>SUMIFS('36_Inputs_Funding'!$C$13:$C$14,'36_Inputs_Funding'!$B$13:$B$14,B$1)</f>
        <v>0</v>
      </c>
      <c r="C7" s="294">
        <f>SUMIFS('36_Inputs_Funding'!$C$13:$C$14,'36_Inputs_Funding'!$B$13:$B$14,C$1)</f>
        <v>0</v>
      </c>
      <c r="D7" s="294">
        <f>SUMIFS('36_Inputs_Funding'!$C$13:$C$14,'36_Inputs_Funding'!$B$13:$B$14,D$1)</f>
        <v>0</v>
      </c>
      <c r="E7" s="294">
        <f>SUMIFS('36_Inputs_Funding'!$C$13:$C$14,'36_Inputs_Funding'!$B$13:$B$14,E$1)</f>
        <v>0</v>
      </c>
      <c r="F7" s="294">
        <f>SUMIFS('36_Inputs_Funding'!$C$13:$C$14,'36_Inputs_Funding'!$B$13:$B$14,F$1)</f>
        <v>0</v>
      </c>
      <c r="G7" s="294">
        <f>SUMIFS('36_Inputs_Funding'!$C$13:$C$14,'36_Inputs_Funding'!$B$13:$B$14,G$1)</f>
        <v>0</v>
      </c>
      <c r="H7" s="294">
        <f>SUMIFS('36_Inputs_Funding'!$C$13:$C$14,'36_Inputs_Funding'!$B$13:$B$14,H$1)</f>
        <v>0</v>
      </c>
      <c r="I7" s="294">
        <f>SUMIFS('36_Inputs_Funding'!$C$13:$C$14,'36_Inputs_Funding'!$B$13:$B$14,I$1)</f>
        <v>0</v>
      </c>
      <c r="J7" s="294">
        <f>SUMIFS('36_Inputs_Funding'!$C$13:$C$14,'36_Inputs_Funding'!$B$13:$B$14,J$1)</f>
        <v>0</v>
      </c>
      <c r="K7" s="294">
        <f>SUMIFS('36_Inputs_Funding'!$C$13:$C$14,'36_Inputs_Funding'!$B$13:$B$14,K$1)</f>
        <v>0</v>
      </c>
      <c r="L7" s="294">
        <f>SUMIFS('36_Inputs_Funding'!$C$13:$C$14,'36_Inputs_Funding'!$B$13:$B$14,L$1)</f>
        <v>0</v>
      </c>
      <c r="M7" s="294">
        <f>SUMIFS('36_Inputs_Funding'!$C$13:$C$14,'36_Inputs_Funding'!$B$13:$B$14,M$1)</f>
        <v>10000000</v>
      </c>
      <c r="N7" s="294">
        <f>SUMIFS('36_Inputs_Funding'!$C$13:$C$14,'36_Inputs_Funding'!$B$13:$B$14,N$1)</f>
        <v>0</v>
      </c>
      <c r="O7" s="294">
        <f>SUMIFS('36_Inputs_Funding'!$C$13:$C$14,'36_Inputs_Funding'!$B$13:$B$14,O$1)</f>
        <v>0</v>
      </c>
      <c r="P7" s="294">
        <f>SUMIFS('36_Inputs_Funding'!$C$13:$C$14,'36_Inputs_Funding'!$B$13:$B$14,P$1)</f>
        <v>0</v>
      </c>
      <c r="Q7" s="294">
        <f>SUMIFS('36_Inputs_Funding'!$C$13:$C$14,'36_Inputs_Funding'!$B$13:$B$14,Q$1)</f>
        <v>0</v>
      </c>
      <c r="R7" s="294">
        <f>SUMIFS('36_Inputs_Funding'!$C$13:$C$14,'36_Inputs_Funding'!$B$13:$B$14,R$1)</f>
        <v>0</v>
      </c>
      <c r="S7" s="294">
        <f>SUMIFS('36_Inputs_Funding'!$C$13:$C$14,'36_Inputs_Funding'!$B$13:$B$14,S$1)</f>
        <v>0</v>
      </c>
      <c r="T7" s="294">
        <f>SUMIFS('36_Inputs_Funding'!$C$13:$C$14,'36_Inputs_Funding'!$B$13:$B$14,T$1)</f>
        <v>40000000</v>
      </c>
      <c r="U7" s="294">
        <f>SUMIFS('36_Inputs_Funding'!$C$13:$C$14,'36_Inputs_Funding'!$B$13:$B$14,U$1)</f>
        <v>0</v>
      </c>
      <c r="V7" s="294">
        <f>SUMIFS('36_Inputs_Funding'!$C$13:$C$14,'36_Inputs_Funding'!$B$13:$B$14,V$1)</f>
        <v>0</v>
      </c>
      <c r="W7" s="294">
        <f>SUMIFS('36_Inputs_Funding'!$C$13:$C$14,'36_Inputs_Funding'!$B$13:$B$14,W$1)</f>
        <v>0</v>
      </c>
      <c r="X7" s="294">
        <f>SUMIFS('36_Inputs_Funding'!$C$13:$C$14,'36_Inputs_Funding'!$B$13:$B$14,X$1)</f>
        <v>0</v>
      </c>
      <c r="Y7" s="294">
        <f>SUMIFS('36_Inputs_Funding'!$C$13:$C$14,'36_Inputs_Funding'!$B$13:$B$14,Y$1)</f>
        <v>0</v>
      </c>
      <c r="Z7" s="294">
        <f>SUMIFS('36_Inputs_Funding'!$C$13:$C$14,'36_Inputs_Funding'!$B$13:$B$14,Z$1)</f>
        <v>0</v>
      </c>
      <c r="AA7" s="294">
        <f>SUMIFS('36_Inputs_Funding'!$C$13:$C$14,'36_Inputs_Funding'!$B$13:$B$14,AA$1)</f>
        <v>0</v>
      </c>
      <c r="AB7" s="294">
        <f>SUMIFS('36_Inputs_Funding'!$C$13:$C$14,'36_Inputs_Funding'!$B$13:$B$14,AB$1)</f>
        <v>0</v>
      </c>
      <c r="AC7" s="294">
        <f>SUMIFS('36_Inputs_Funding'!$C$13:$C$14,'36_Inputs_Funding'!$B$13:$B$14,AC$1)</f>
        <v>0</v>
      </c>
      <c r="AD7" s="294">
        <f>SUMIFS('36_Inputs_Funding'!$C$13:$C$14,'36_Inputs_Funding'!$B$13:$B$14,AD$1)</f>
        <v>0</v>
      </c>
      <c r="AE7" s="294">
        <f>SUMIFS('36_Inputs_Funding'!$C$13:$C$14,'36_Inputs_Funding'!$B$13:$B$14,AE$1)</f>
        <v>0</v>
      </c>
      <c r="AF7" s="294">
        <f>SUMIFS('36_Inputs_Funding'!$C$13:$C$14,'36_Inputs_Funding'!$B$13:$B$14,AF$1)</f>
        <v>0</v>
      </c>
      <c r="AG7" s="294">
        <f>SUMIFS('36_Inputs_Funding'!$C$13:$C$14,'36_Inputs_Funding'!$B$13:$B$14,AG$1)</f>
        <v>0</v>
      </c>
      <c r="AH7" s="294">
        <f>SUMIFS('36_Inputs_Funding'!$C$13:$C$14,'36_Inputs_Funding'!$B$13:$B$14,AH$1)</f>
        <v>0</v>
      </c>
      <c r="AI7" s="294">
        <f>SUMIFS('36_Inputs_Funding'!$C$13:$C$14,'36_Inputs_Funding'!$B$13:$B$14,AI$1)</f>
        <v>0</v>
      </c>
      <c r="AJ7" s="294">
        <f>SUMIFS('36_Inputs_Funding'!$C$13:$C$14,'36_Inputs_Funding'!$B$13:$B$14,AJ$1)</f>
        <v>0</v>
      </c>
      <c r="AK7" s="294">
        <f>SUMIFS('36_Inputs_Funding'!$C$13:$C$14,'36_Inputs_Funding'!$B$13:$B$14,AK$1)</f>
        <v>0</v>
      </c>
      <c r="AL7" s="295">
        <f>SUMIF('23_Time'!$B$3:$AK$3, 1,B7:AK7)</f>
        <v>10000000</v>
      </c>
      <c r="AM7" s="294">
        <f>SUMIF('23_Time'!$B$3:$AK$3, 2,B7:AK7)</f>
        <v>40000000</v>
      </c>
      <c r="AN7" s="296">
        <f>SUMIF('23_Time'!$B$3:$AK$3, 3,B7:AK7)</f>
        <v>0</v>
      </c>
    </row>
    <row r="8" spans="1:40" x14ac:dyDescent="0.3">
      <c r="B8" s="5"/>
      <c r="C8" s="5"/>
      <c r="D8" s="5"/>
      <c r="E8" s="5"/>
      <c r="F8" s="5"/>
      <c r="G8" s="5"/>
      <c r="H8" s="5"/>
      <c r="I8" s="5"/>
      <c r="J8" s="5"/>
      <c r="K8" s="5"/>
      <c r="L8" s="5"/>
      <c r="M8" s="5"/>
      <c r="N8" s="5"/>
      <c r="O8" s="5"/>
      <c r="P8" s="5"/>
      <c r="Q8" s="5"/>
      <c r="R8" s="5"/>
      <c r="S8" s="5"/>
      <c r="T8" s="5"/>
      <c r="U8" s="5"/>
      <c r="V8" s="5"/>
      <c r="W8" s="5"/>
      <c r="X8" s="5"/>
      <c r="Y8" s="5"/>
      <c r="Z8" s="5"/>
      <c r="AA8" s="5"/>
      <c r="AB8" s="5"/>
      <c r="AC8" s="5"/>
      <c r="AD8" s="5"/>
      <c r="AE8" s="5"/>
      <c r="AF8" s="5"/>
      <c r="AG8" s="5"/>
      <c r="AH8" s="5"/>
      <c r="AI8" s="5"/>
      <c r="AJ8" s="5"/>
      <c r="AK8" s="5"/>
      <c r="AL8" s="5"/>
      <c r="AM8" s="5"/>
      <c r="AN8" s="5"/>
    </row>
    <row r="9" spans="1:40" x14ac:dyDescent="0.3">
      <c r="B9" s="5"/>
      <c r="C9" s="5"/>
      <c r="D9" s="5"/>
      <c r="E9" s="5"/>
      <c r="F9" s="5"/>
      <c r="G9" s="5"/>
      <c r="H9" s="5"/>
      <c r="I9" s="5"/>
      <c r="J9" s="5"/>
      <c r="K9" s="5"/>
      <c r="L9" s="5"/>
      <c r="M9" s="5"/>
      <c r="N9" s="5"/>
      <c r="O9" s="5"/>
      <c r="P9" s="5"/>
      <c r="Q9" s="5"/>
      <c r="R9" s="5"/>
      <c r="S9" s="5"/>
      <c r="T9" s="5"/>
      <c r="U9" s="5"/>
      <c r="V9" s="5"/>
      <c r="W9" s="5"/>
      <c r="X9" s="5"/>
      <c r="Y9" s="5"/>
      <c r="Z9" s="5"/>
      <c r="AA9" s="5"/>
      <c r="AB9" s="5"/>
      <c r="AC9" s="5"/>
      <c r="AD9" s="5"/>
      <c r="AE9" s="5"/>
      <c r="AF9" s="5"/>
      <c r="AG9" s="5"/>
      <c r="AH9" s="5"/>
      <c r="AI9" s="5"/>
      <c r="AJ9" s="5"/>
      <c r="AK9" s="5"/>
      <c r="AL9" s="5"/>
      <c r="AM9" s="5"/>
      <c r="AN9" s="5"/>
    </row>
    <row r="10" spans="1:40" x14ac:dyDescent="0.3">
      <c r="B10" s="5"/>
      <c r="C10" s="5"/>
      <c r="D10" s="5"/>
      <c r="E10" s="5"/>
      <c r="F10" s="5"/>
      <c r="G10" s="5"/>
      <c r="H10" s="5"/>
      <c r="I10" s="5"/>
      <c r="J10" s="5"/>
      <c r="K10" s="5"/>
      <c r="L10" s="5"/>
      <c r="M10" s="5"/>
      <c r="N10" s="5"/>
      <c r="O10" s="5"/>
      <c r="P10" s="5"/>
      <c r="Q10" s="5"/>
      <c r="R10" s="5"/>
      <c r="S10" s="5"/>
      <c r="T10" s="5"/>
      <c r="U10" s="5"/>
      <c r="V10" s="5"/>
      <c r="W10" s="5"/>
      <c r="X10" s="5"/>
      <c r="Y10" s="5"/>
      <c r="Z10" s="5"/>
      <c r="AA10" s="5"/>
      <c r="AB10" s="5"/>
      <c r="AC10" s="5"/>
      <c r="AD10" s="5"/>
      <c r="AE10" s="5"/>
      <c r="AF10" s="5"/>
      <c r="AG10" s="5"/>
      <c r="AH10" s="5"/>
      <c r="AI10" s="5"/>
      <c r="AJ10" s="5"/>
      <c r="AK10" s="5"/>
      <c r="AL10" s="5"/>
      <c r="AM10" s="5"/>
      <c r="AN10" s="5"/>
    </row>
    <row r="11" spans="1:40" x14ac:dyDescent="0.3">
      <c r="B11" s="5"/>
      <c r="C11" s="5"/>
      <c r="D11" s="5"/>
      <c r="E11" s="5"/>
      <c r="F11" s="5"/>
      <c r="G11" s="5"/>
      <c r="H11" s="5"/>
      <c r="I11" s="5"/>
      <c r="J11" s="5"/>
      <c r="K11" s="5"/>
      <c r="L11" s="5"/>
      <c r="M11" s="5"/>
      <c r="N11" s="5"/>
      <c r="O11" s="5"/>
      <c r="P11" s="5"/>
      <c r="Q11" s="5"/>
      <c r="R11" s="5"/>
      <c r="S11" s="5"/>
      <c r="T11" s="5"/>
      <c r="U11" s="5"/>
      <c r="V11" s="5"/>
      <c r="W11" s="5"/>
      <c r="X11" s="5"/>
      <c r="Y11" s="5"/>
      <c r="Z11" s="5"/>
      <c r="AA11" s="5"/>
      <c r="AB11" s="5"/>
      <c r="AC11" s="5"/>
      <c r="AD11" s="5"/>
      <c r="AE11" s="5"/>
      <c r="AF11" s="5"/>
      <c r="AG11" s="5"/>
      <c r="AH11" s="5"/>
      <c r="AI11" s="5"/>
      <c r="AJ11" s="5"/>
      <c r="AK11" s="5"/>
      <c r="AL11" s="5"/>
      <c r="AM11" s="5"/>
      <c r="AN11" s="5"/>
    </row>
    <row r="12" spans="1:40" x14ac:dyDescent="0.3">
      <c r="B12" s="5"/>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c r="AL12" s="5"/>
      <c r="AM12" s="5"/>
      <c r="AN12" s="5"/>
    </row>
    <row r="13" spans="1:40" x14ac:dyDescent="0.3">
      <c r="B13" s="5"/>
      <c r="C13" s="5"/>
      <c r="D13" s="5"/>
      <c r="E13" s="5"/>
      <c r="F13" s="5"/>
      <c r="G13" s="5"/>
      <c r="H13" s="5"/>
      <c r="I13" s="5"/>
      <c r="J13" s="5"/>
      <c r="K13" s="5"/>
      <c r="L13" s="5"/>
      <c r="M13" s="5"/>
      <c r="N13" s="5"/>
      <c r="O13" s="5"/>
      <c r="P13" s="5"/>
      <c r="Q13" s="5"/>
      <c r="R13" s="5"/>
      <c r="S13" s="5"/>
      <c r="T13" s="5"/>
      <c r="U13" s="5"/>
      <c r="V13" s="5"/>
      <c r="W13" s="5"/>
      <c r="X13" s="5"/>
      <c r="Y13" s="5"/>
      <c r="Z13" s="5"/>
      <c r="AA13" s="5"/>
      <c r="AB13" s="5"/>
      <c r="AC13" s="5"/>
      <c r="AD13" s="5"/>
      <c r="AE13" s="5"/>
      <c r="AF13" s="5"/>
      <c r="AG13" s="5"/>
      <c r="AH13" s="5"/>
      <c r="AI13" s="5"/>
      <c r="AJ13" s="5"/>
      <c r="AK13" s="5"/>
      <c r="AL13" s="5"/>
      <c r="AM13" s="5"/>
      <c r="AN13" s="5"/>
    </row>
    <row r="14" spans="1:40" x14ac:dyDescent="0.3">
      <c r="B14" s="5"/>
      <c r="C14" s="5"/>
      <c r="D14" s="5"/>
      <c r="E14" s="5"/>
      <c r="F14" s="5"/>
      <c r="G14" s="5"/>
      <c r="H14" s="5"/>
      <c r="I14" s="5"/>
      <c r="J14" s="5"/>
      <c r="K14" s="5"/>
      <c r="L14" s="5"/>
      <c r="M14" s="5"/>
      <c r="N14" s="5"/>
      <c r="O14" s="5"/>
      <c r="P14" s="5"/>
      <c r="Q14" s="5"/>
      <c r="R14" s="5"/>
      <c r="S14" s="5"/>
      <c r="T14" s="5"/>
      <c r="U14" s="5"/>
      <c r="V14" s="5"/>
      <c r="W14" s="5"/>
      <c r="X14" s="5"/>
      <c r="Y14" s="5"/>
      <c r="Z14" s="5"/>
      <c r="AA14" s="5"/>
      <c r="AB14" s="5"/>
      <c r="AC14" s="5"/>
      <c r="AD14" s="5"/>
      <c r="AE14" s="5"/>
      <c r="AF14" s="5"/>
      <c r="AG14" s="5"/>
      <c r="AH14" s="5"/>
      <c r="AI14" s="5"/>
      <c r="AJ14" s="5"/>
      <c r="AK14" s="5"/>
      <c r="AL14" s="5"/>
      <c r="AM14" s="5"/>
      <c r="AN14" s="5"/>
    </row>
    <row r="15" spans="1:40" x14ac:dyDescent="0.3">
      <c r="B15" s="5"/>
      <c r="C15" s="5"/>
      <c r="D15" s="5"/>
      <c r="E15" s="5"/>
      <c r="F15" s="5"/>
      <c r="G15" s="5"/>
      <c r="H15" s="5"/>
      <c r="I15" s="5"/>
      <c r="J15" s="5"/>
      <c r="K15" s="5"/>
      <c r="L15" s="5"/>
      <c r="M15" s="5"/>
      <c r="N15" s="5"/>
      <c r="O15" s="5"/>
      <c r="P15" s="5"/>
      <c r="Q15" s="5"/>
      <c r="R15" s="5"/>
      <c r="S15" s="5"/>
      <c r="T15" s="5"/>
      <c r="U15" s="5"/>
      <c r="V15" s="5"/>
      <c r="W15" s="5"/>
      <c r="X15" s="5"/>
      <c r="Y15" s="5"/>
      <c r="Z15" s="5"/>
      <c r="AA15" s="5"/>
      <c r="AB15" s="5"/>
      <c r="AC15" s="5"/>
      <c r="AD15" s="5"/>
      <c r="AE15" s="5"/>
      <c r="AF15" s="5"/>
      <c r="AG15" s="5"/>
      <c r="AH15" s="5"/>
      <c r="AI15" s="5"/>
      <c r="AJ15" s="5"/>
      <c r="AK15" s="5"/>
      <c r="AL15" s="5"/>
      <c r="AM15" s="5"/>
      <c r="AN15" s="5"/>
    </row>
    <row r="16" spans="1:40" x14ac:dyDescent="0.3">
      <c r="B16" s="5"/>
      <c r="C16" s="5"/>
      <c r="D16" s="5"/>
      <c r="E16" s="5"/>
      <c r="F16" s="5"/>
      <c r="G16" s="5"/>
      <c r="H16" s="5"/>
      <c r="I16" s="5"/>
      <c r="J16" s="5"/>
      <c r="K16" s="5"/>
      <c r="L16" s="5"/>
      <c r="M16" s="5"/>
      <c r="N16" s="5"/>
      <c r="O16" s="5"/>
      <c r="P16" s="5"/>
      <c r="Q16" s="5"/>
      <c r="R16" s="5"/>
      <c r="S16" s="5"/>
      <c r="T16" s="5"/>
      <c r="U16" s="5"/>
      <c r="V16" s="5"/>
      <c r="W16" s="5"/>
      <c r="X16" s="5"/>
      <c r="Y16" s="5"/>
      <c r="Z16" s="5"/>
      <c r="AA16" s="5"/>
      <c r="AB16" s="5"/>
      <c r="AC16" s="5"/>
      <c r="AD16" s="5"/>
      <c r="AE16" s="5"/>
      <c r="AF16" s="5"/>
      <c r="AG16" s="5"/>
      <c r="AH16" s="5"/>
      <c r="AI16" s="5"/>
      <c r="AJ16" s="5"/>
      <c r="AK16" s="5"/>
      <c r="AL16" s="5"/>
      <c r="AM16" s="5"/>
      <c r="AN16" s="5"/>
    </row>
    <row r="17" spans="2:40" x14ac:dyDescent="0.3">
      <c r="B17" s="5"/>
      <c r="C17" s="5"/>
      <c r="D17" s="5"/>
      <c r="E17" s="5"/>
      <c r="F17" s="5"/>
      <c r="G17" s="5"/>
      <c r="H17" s="5"/>
      <c r="I17" s="5"/>
      <c r="J17" s="5"/>
      <c r="K17" s="5"/>
      <c r="L17" s="5"/>
      <c r="M17" s="5"/>
      <c r="N17" s="5"/>
      <c r="O17" s="5"/>
      <c r="P17" s="5"/>
      <c r="Q17" s="5"/>
      <c r="R17" s="5"/>
      <c r="S17" s="5"/>
      <c r="T17" s="5"/>
      <c r="U17" s="5"/>
      <c r="V17" s="5"/>
      <c r="W17" s="5"/>
      <c r="X17" s="5"/>
      <c r="Y17" s="5"/>
      <c r="Z17" s="5"/>
      <c r="AA17" s="5"/>
      <c r="AB17" s="5"/>
      <c r="AC17" s="5"/>
      <c r="AD17" s="5"/>
      <c r="AE17" s="5"/>
      <c r="AF17" s="5"/>
      <c r="AG17" s="5"/>
      <c r="AH17" s="5"/>
      <c r="AI17" s="5"/>
      <c r="AJ17" s="5"/>
      <c r="AK17" s="5"/>
      <c r="AL17" s="5"/>
      <c r="AM17" s="5"/>
      <c r="AN17" s="5"/>
    </row>
    <row r="18" spans="2:40" x14ac:dyDescent="0.3">
      <c r="B18" s="5"/>
      <c r="C18" s="5"/>
      <c r="D18" s="5"/>
      <c r="E18" s="5"/>
      <c r="F18" s="5"/>
      <c r="G18" s="5"/>
      <c r="H18" s="5"/>
      <c r="I18" s="5"/>
      <c r="J18" s="5"/>
      <c r="K18" s="5"/>
      <c r="L18" s="5"/>
      <c r="M18" s="5"/>
      <c r="N18" s="5"/>
      <c r="O18" s="5"/>
      <c r="P18" s="5"/>
      <c r="Q18" s="5"/>
      <c r="R18" s="5"/>
      <c r="S18" s="5"/>
      <c r="T18" s="5"/>
      <c r="U18" s="5"/>
      <c r="V18" s="5"/>
      <c r="W18" s="5"/>
      <c r="X18" s="5"/>
      <c r="Y18" s="5"/>
      <c r="Z18" s="5"/>
      <c r="AA18" s="5"/>
      <c r="AB18" s="5"/>
      <c r="AC18" s="5"/>
      <c r="AD18" s="5"/>
      <c r="AE18" s="5"/>
      <c r="AF18" s="5"/>
      <c r="AG18" s="5"/>
      <c r="AH18" s="5"/>
      <c r="AI18" s="5"/>
      <c r="AJ18" s="5"/>
      <c r="AK18" s="5"/>
      <c r="AL18" s="5"/>
      <c r="AM18" s="5"/>
      <c r="AN18" s="5"/>
    </row>
    <row r="19" spans="2:40" x14ac:dyDescent="0.3">
      <c r="B19" s="5"/>
      <c r="C19" s="5"/>
      <c r="D19" s="5"/>
      <c r="E19" s="5"/>
      <c r="F19" s="5"/>
      <c r="G19" s="5"/>
      <c r="H19" s="5"/>
      <c r="I19" s="5"/>
      <c r="J19" s="5"/>
      <c r="K19" s="5"/>
      <c r="L19" s="5"/>
      <c r="M19" s="5"/>
      <c r="N19" s="5"/>
      <c r="O19" s="5"/>
      <c r="P19" s="5"/>
      <c r="Q19" s="5"/>
      <c r="R19" s="5"/>
      <c r="S19" s="5"/>
      <c r="T19" s="5"/>
      <c r="U19" s="5"/>
      <c r="V19" s="5"/>
      <c r="W19" s="5"/>
      <c r="X19" s="5"/>
      <c r="Y19" s="5"/>
      <c r="Z19" s="5"/>
      <c r="AA19" s="5"/>
      <c r="AB19" s="5"/>
      <c r="AC19" s="5"/>
      <c r="AD19" s="5"/>
      <c r="AE19" s="5"/>
      <c r="AF19" s="5"/>
      <c r="AG19" s="5"/>
      <c r="AH19" s="5"/>
      <c r="AI19" s="5"/>
      <c r="AJ19" s="5"/>
      <c r="AK19" s="5"/>
      <c r="AL19" s="5"/>
      <c r="AM19" s="5"/>
      <c r="AN19" s="5"/>
    </row>
    <row r="20" spans="2:40" x14ac:dyDescent="0.3">
      <c r="B20" s="5"/>
      <c r="C20" s="5"/>
      <c r="D20" s="5"/>
      <c r="E20" s="5"/>
      <c r="F20" s="5"/>
      <c r="G20" s="5"/>
      <c r="H20" s="5"/>
      <c r="I20" s="5"/>
      <c r="J20" s="5"/>
      <c r="K20" s="5"/>
      <c r="L20" s="5"/>
      <c r="M20" s="5"/>
      <c r="N20" s="5"/>
      <c r="O20" s="5"/>
      <c r="P20" s="5"/>
      <c r="Q20" s="5"/>
      <c r="R20" s="5"/>
      <c r="S20" s="5"/>
      <c r="T20" s="5"/>
      <c r="U20" s="5"/>
      <c r="V20" s="5"/>
      <c r="W20" s="5"/>
      <c r="X20" s="5"/>
      <c r="Y20" s="5"/>
      <c r="Z20" s="5"/>
      <c r="AA20" s="5"/>
      <c r="AB20" s="5"/>
      <c r="AC20" s="5"/>
      <c r="AD20" s="5"/>
      <c r="AE20" s="5"/>
      <c r="AF20" s="5"/>
      <c r="AG20" s="5"/>
      <c r="AH20" s="5"/>
      <c r="AI20" s="5"/>
      <c r="AJ20" s="5"/>
      <c r="AK20" s="5"/>
      <c r="AL20" s="5"/>
      <c r="AM20" s="5"/>
      <c r="AN20" s="5"/>
    </row>
    <row r="21" spans="2:40" x14ac:dyDescent="0.3">
      <c r="B21" s="5"/>
      <c r="C21" s="5"/>
      <c r="D21" s="5"/>
      <c r="E21" s="5"/>
      <c r="F21" s="5"/>
      <c r="G21" s="5"/>
      <c r="H21" s="5"/>
      <c r="I21" s="5"/>
      <c r="J21" s="5"/>
      <c r="K21" s="5"/>
      <c r="L21" s="5"/>
      <c r="M21" s="5"/>
      <c r="N21" s="5"/>
      <c r="O21" s="5"/>
      <c r="P21" s="5"/>
      <c r="Q21" s="5"/>
      <c r="R21" s="5"/>
      <c r="S21" s="5"/>
      <c r="T21" s="5"/>
      <c r="U21" s="5"/>
      <c r="V21" s="5"/>
      <c r="W21" s="5"/>
      <c r="X21" s="5"/>
      <c r="Y21" s="5"/>
      <c r="Z21" s="5"/>
      <c r="AA21" s="5"/>
      <c r="AB21" s="5"/>
      <c r="AC21" s="5"/>
      <c r="AD21" s="5"/>
      <c r="AE21" s="5"/>
      <c r="AF21" s="5"/>
      <c r="AG21" s="5"/>
      <c r="AH21" s="5"/>
      <c r="AI21" s="5"/>
      <c r="AJ21" s="5"/>
      <c r="AK21" s="5"/>
      <c r="AL21" s="5"/>
      <c r="AM21" s="5"/>
      <c r="AN21" s="5"/>
    </row>
    <row r="22" spans="2:40" x14ac:dyDescent="0.3">
      <c r="B22" s="5"/>
      <c r="C22" s="5"/>
      <c r="D22" s="5"/>
      <c r="E22" s="5"/>
      <c r="F22" s="5"/>
      <c r="G22" s="5"/>
      <c r="H22" s="5"/>
      <c r="I22" s="5"/>
      <c r="J22" s="5"/>
      <c r="K22" s="5"/>
      <c r="L22" s="5"/>
      <c r="M22" s="5"/>
      <c r="N22" s="5"/>
      <c r="O22" s="5"/>
      <c r="P22" s="5"/>
      <c r="Q22" s="5"/>
      <c r="R22" s="5"/>
      <c r="S22" s="5"/>
      <c r="T22" s="5"/>
      <c r="U22" s="5"/>
      <c r="V22" s="5"/>
      <c r="W22" s="5"/>
      <c r="X22" s="5"/>
      <c r="Y22" s="5"/>
      <c r="Z22" s="5"/>
      <c r="AA22" s="5"/>
      <c r="AB22" s="5"/>
      <c r="AC22" s="5"/>
      <c r="AD22" s="5"/>
      <c r="AE22" s="5"/>
      <c r="AF22" s="5"/>
      <c r="AG22" s="5"/>
      <c r="AH22" s="5"/>
      <c r="AI22" s="5"/>
      <c r="AJ22" s="5"/>
      <c r="AK22" s="5"/>
      <c r="AL22" s="5"/>
      <c r="AM22" s="5"/>
      <c r="AN22" s="5"/>
    </row>
    <row r="23" spans="2:40" x14ac:dyDescent="0.3">
      <c r="B23" s="5"/>
      <c r="C23" s="5"/>
      <c r="D23" s="5"/>
      <c r="E23" s="5"/>
      <c r="F23" s="5"/>
      <c r="G23" s="5"/>
      <c r="H23" s="5"/>
      <c r="I23" s="5"/>
      <c r="J23" s="5"/>
      <c r="K23" s="5"/>
      <c r="L23" s="5"/>
      <c r="M23" s="5"/>
      <c r="N23" s="5"/>
      <c r="O23" s="5"/>
      <c r="P23" s="5"/>
      <c r="Q23" s="5"/>
      <c r="R23" s="5"/>
      <c r="S23" s="5"/>
      <c r="T23" s="5"/>
      <c r="U23" s="5"/>
      <c r="V23" s="5"/>
      <c r="W23" s="5"/>
      <c r="X23" s="5"/>
      <c r="Y23" s="5"/>
      <c r="Z23" s="5"/>
      <c r="AA23" s="5"/>
      <c r="AB23" s="5"/>
      <c r="AC23" s="5"/>
      <c r="AD23" s="5"/>
      <c r="AE23" s="5"/>
      <c r="AF23" s="5"/>
      <c r="AG23" s="5"/>
      <c r="AH23" s="5"/>
      <c r="AI23" s="5"/>
      <c r="AJ23" s="5"/>
      <c r="AK23" s="5"/>
      <c r="AL23" s="5"/>
      <c r="AM23" s="5"/>
      <c r="AN23" s="5"/>
    </row>
    <row r="24" spans="2:40" x14ac:dyDescent="0.3">
      <c r="B24" s="5"/>
      <c r="C24" s="5"/>
      <c r="D24" s="5"/>
      <c r="E24" s="5"/>
      <c r="F24" s="5"/>
      <c r="G24" s="5"/>
      <c r="H24" s="5"/>
      <c r="I24" s="5"/>
      <c r="J24" s="5"/>
      <c r="K24" s="5"/>
      <c r="L24" s="5"/>
      <c r="M24" s="5"/>
      <c r="N24" s="5"/>
      <c r="O24" s="5"/>
      <c r="P24" s="5"/>
      <c r="Q24" s="5"/>
      <c r="R24" s="5"/>
      <c r="S24" s="5"/>
      <c r="T24" s="5"/>
      <c r="U24" s="5"/>
      <c r="V24" s="5"/>
      <c r="W24" s="5"/>
      <c r="X24" s="5"/>
      <c r="Y24" s="5"/>
      <c r="Z24" s="5"/>
      <c r="AA24" s="5"/>
      <c r="AB24" s="5"/>
      <c r="AC24" s="5"/>
      <c r="AD24" s="5"/>
      <c r="AE24" s="5"/>
      <c r="AF24" s="5"/>
      <c r="AG24" s="5"/>
      <c r="AH24" s="5"/>
      <c r="AI24" s="5"/>
      <c r="AJ24" s="5"/>
      <c r="AK24" s="5"/>
      <c r="AL24" s="5"/>
      <c r="AM24" s="5"/>
      <c r="AN24" s="5"/>
    </row>
    <row r="25" spans="2:40" x14ac:dyDescent="0.3">
      <c r="B25" s="5"/>
      <c r="C25" s="5"/>
      <c r="D25" s="5"/>
      <c r="E25" s="5"/>
      <c r="F25" s="5"/>
      <c r="G25" s="5"/>
      <c r="H25" s="5"/>
      <c r="I25" s="5"/>
      <c r="J25" s="5"/>
      <c r="K25" s="5"/>
      <c r="L25" s="5"/>
      <c r="M25" s="5"/>
      <c r="N25" s="5"/>
      <c r="O25" s="5"/>
      <c r="P25" s="5"/>
      <c r="Q25" s="5"/>
      <c r="R25" s="5"/>
      <c r="S25" s="5"/>
      <c r="T25" s="5"/>
      <c r="U25" s="5"/>
      <c r="V25" s="5"/>
      <c r="W25" s="5"/>
      <c r="X25" s="5"/>
      <c r="Y25" s="5"/>
      <c r="Z25" s="5"/>
      <c r="AA25" s="5"/>
      <c r="AB25" s="5"/>
      <c r="AC25" s="5"/>
      <c r="AD25" s="5"/>
      <c r="AE25" s="5"/>
      <c r="AF25" s="5"/>
      <c r="AG25" s="5"/>
      <c r="AH25" s="5"/>
      <c r="AI25" s="5"/>
      <c r="AJ25" s="5"/>
      <c r="AK25" s="5"/>
      <c r="AL25" s="5"/>
      <c r="AM25" s="5"/>
      <c r="AN25" s="5"/>
    </row>
    <row r="26" spans="2:40" x14ac:dyDescent="0.3">
      <c r="B26" s="5"/>
      <c r="C26" s="5"/>
      <c r="D26" s="5"/>
      <c r="E26" s="5"/>
      <c r="F26" s="5"/>
      <c r="G26" s="5"/>
      <c r="H26" s="5"/>
      <c r="I26" s="5"/>
      <c r="J26" s="5"/>
      <c r="K26" s="5"/>
      <c r="L26" s="5"/>
      <c r="M26" s="5"/>
      <c r="N26" s="5"/>
      <c r="O26" s="5"/>
      <c r="P26" s="5"/>
      <c r="Q26" s="5"/>
      <c r="R26" s="5"/>
      <c r="S26" s="5"/>
      <c r="T26" s="5"/>
      <c r="U26" s="5"/>
      <c r="V26" s="5"/>
      <c r="W26" s="5"/>
      <c r="X26" s="5"/>
      <c r="Y26" s="5"/>
      <c r="Z26" s="5"/>
      <c r="AA26" s="5"/>
      <c r="AB26" s="5"/>
      <c r="AC26" s="5"/>
      <c r="AD26" s="5"/>
      <c r="AE26" s="5"/>
      <c r="AF26" s="5"/>
      <c r="AG26" s="5"/>
      <c r="AH26" s="5"/>
      <c r="AI26" s="5"/>
      <c r="AJ26" s="5"/>
      <c r="AK26" s="5"/>
      <c r="AL26" s="5"/>
      <c r="AM26" s="5"/>
      <c r="AN26" s="5"/>
    </row>
    <row r="27" spans="2:40" x14ac:dyDescent="0.3">
      <c r="B27" s="5"/>
      <c r="C27" s="5"/>
      <c r="D27" s="5"/>
      <c r="E27" s="5"/>
      <c r="F27" s="5"/>
      <c r="G27" s="5"/>
      <c r="H27" s="5"/>
      <c r="I27" s="5"/>
      <c r="J27" s="5"/>
      <c r="K27" s="5"/>
      <c r="L27" s="5"/>
      <c r="M27" s="5"/>
      <c r="N27" s="5"/>
      <c r="O27" s="5"/>
      <c r="P27" s="5"/>
      <c r="Q27" s="5"/>
      <c r="R27" s="5"/>
      <c r="S27" s="5"/>
      <c r="T27" s="5"/>
      <c r="U27" s="5"/>
      <c r="V27" s="5"/>
      <c r="W27" s="5"/>
      <c r="X27" s="5"/>
      <c r="Y27" s="5"/>
      <c r="Z27" s="5"/>
      <c r="AA27" s="5"/>
      <c r="AB27" s="5"/>
      <c r="AC27" s="5"/>
      <c r="AD27" s="5"/>
      <c r="AE27" s="5"/>
      <c r="AF27" s="5"/>
      <c r="AG27" s="5"/>
      <c r="AH27" s="5"/>
      <c r="AI27" s="5"/>
      <c r="AJ27" s="5"/>
      <c r="AK27" s="5"/>
      <c r="AL27" s="5"/>
      <c r="AM27" s="5"/>
      <c r="AN27" s="5"/>
    </row>
    <row r="28" spans="2:40" x14ac:dyDescent="0.3">
      <c r="B28" s="5"/>
      <c r="C28" s="5"/>
      <c r="D28" s="5"/>
      <c r="E28" s="5"/>
      <c r="F28" s="5"/>
      <c r="G28" s="5"/>
      <c r="H28" s="5"/>
      <c r="I28" s="5"/>
      <c r="J28" s="5"/>
      <c r="K28" s="5"/>
      <c r="L28" s="5"/>
      <c r="M28" s="5"/>
      <c r="N28" s="5"/>
      <c r="O28" s="5"/>
      <c r="P28" s="5"/>
      <c r="Q28" s="5"/>
      <c r="R28" s="5"/>
      <c r="S28" s="5"/>
      <c r="T28" s="5"/>
      <c r="U28" s="5"/>
      <c r="V28" s="5"/>
      <c r="W28" s="5"/>
      <c r="X28" s="5"/>
      <c r="Y28" s="5"/>
      <c r="Z28" s="5"/>
      <c r="AA28" s="5"/>
      <c r="AB28" s="5"/>
      <c r="AC28" s="5"/>
      <c r="AD28" s="5"/>
      <c r="AE28" s="5"/>
      <c r="AF28" s="5"/>
      <c r="AG28" s="5"/>
      <c r="AH28" s="5"/>
      <c r="AI28" s="5"/>
      <c r="AJ28" s="5"/>
      <c r="AK28" s="5"/>
      <c r="AL28" s="5"/>
      <c r="AM28" s="5"/>
      <c r="AN28" s="5"/>
    </row>
    <row r="29" spans="2:40" x14ac:dyDescent="0.3">
      <c r="B29" s="5"/>
      <c r="C29" s="5"/>
      <c r="D29" s="5"/>
      <c r="E29" s="5"/>
      <c r="F29" s="5"/>
      <c r="G29" s="5"/>
      <c r="H29" s="5"/>
      <c r="I29" s="5"/>
      <c r="J29" s="5"/>
      <c r="K29" s="5"/>
      <c r="L29" s="5"/>
      <c r="M29" s="5"/>
      <c r="N29" s="5"/>
      <c r="O29" s="5"/>
      <c r="P29" s="5"/>
      <c r="Q29" s="5"/>
      <c r="R29" s="5"/>
      <c r="S29" s="5"/>
      <c r="T29" s="5"/>
      <c r="U29" s="5"/>
      <c r="V29" s="5"/>
      <c r="W29" s="5"/>
      <c r="X29" s="5"/>
      <c r="Y29" s="5"/>
      <c r="Z29" s="5"/>
      <c r="AA29" s="5"/>
      <c r="AB29" s="5"/>
      <c r="AC29" s="5"/>
      <c r="AD29" s="5"/>
      <c r="AE29" s="5"/>
      <c r="AF29" s="5"/>
      <c r="AG29" s="5"/>
      <c r="AH29" s="5"/>
      <c r="AI29" s="5"/>
      <c r="AJ29" s="5"/>
      <c r="AK29" s="5"/>
      <c r="AL29" s="5"/>
      <c r="AM29" s="5"/>
      <c r="AN29" s="5"/>
    </row>
    <row r="30" spans="2:40" x14ac:dyDescent="0.3">
      <c r="B30" s="5"/>
      <c r="C30" s="5"/>
      <c r="D30" s="5"/>
      <c r="E30" s="5"/>
      <c r="F30" s="5"/>
      <c r="G30" s="5"/>
      <c r="H30" s="5"/>
      <c r="I30" s="5"/>
      <c r="J30" s="5"/>
      <c r="K30" s="5"/>
      <c r="L30" s="5"/>
      <c r="M30" s="5"/>
      <c r="N30" s="5"/>
      <c r="O30" s="5"/>
      <c r="P30" s="5"/>
      <c r="Q30" s="5"/>
      <c r="R30" s="5"/>
      <c r="S30" s="5"/>
      <c r="T30" s="5"/>
      <c r="U30" s="5"/>
      <c r="V30" s="5"/>
      <c r="W30" s="5"/>
      <c r="X30" s="5"/>
      <c r="Y30" s="5"/>
      <c r="Z30" s="5"/>
      <c r="AA30" s="5"/>
      <c r="AB30" s="5"/>
      <c r="AC30" s="5"/>
      <c r="AD30" s="5"/>
      <c r="AE30" s="5"/>
      <c r="AF30" s="5"/>
      <c r="AG30" s="5"/>
      <c r="AH30" s="5"/>
      <c r="AI30" s="5"/>
      <c r="AJ30" s="5"/>
      <c r="AK30" s="5"/>
      <c r="AL30" s="5"/>
      <c r="AM30" s="5"/>
      <c r="AN30" s="5"/>
    </row>
    <row r="31" spans="2:40" x14ac:dyDescent="0.3">
      <c r="B31" s="5"/>
      <c r="C31" s="5"/>
      <c r="D31" s="5"/>
      <c r="E31" s="5"/>
      <c r="F31" s="5"/>
      <c r="G31" s="5"/>
      <c r="H31" s="5"/>
      <c r="I31" s="5"/>
      <c r="J31" s="5"/>
      <c r="K31" s="5"/>
      <c r="L31" s="5"/>
      <c r="M31" s="5"/>
      <c r="N31" s="5"/>
      <c r="O31" s="5"/>
      <c r="P31" s="5"/>
      <c r="Q31" s="5"/>
      <c r="R31" s="5"/>
      <c r="S31" s="5"/>
      <c r="T31" s="5"/>
      <c r="U31" s="5"/>
      <c r="V31" s="5"/>
      <c r="W31" s="5"/>
      <c r="X31" s="5"/>
      <c r="Y31" s="5"/>
      <c r="Z31" s="5"/>
      <c r="AA31" s="5"/>
      <c r="AB31" s="5"/>
      <c r="AC31" s="5"/>
      <c r="AD31" s="5"/>
      <c r="AE31" s="5"/>
      <c r="AF31" s="5"/>
      <c r="AG31" s="5"/>
      <c r="AH31" s="5"/>
      <c r="AI31" s="5"/>
      <c r="AJ31" s="5"/>
      <c r="AK31" s="5"/>
      <c r="AL31" s="5"/>
      <c r="AM31" s="5"/>
      <c r="AN31" s="5"/>
    </row>
    <row r="32" spans="2:40" x14ac:dyDescent="0.3">
      <c r="B32" s="5"/>
      <c r="C32" s="5"/>
      <c r="D32" s="5"/>
      <c r="E32" s="5"/>
      <c r="F32" s="5"/>
      <c r="G32" s="5"/>
      <c r="H32" s="5"/>
      <c r="I32" s="5"/>
      <c r="J32" s="5"/>
      <c r="K32" s="5"/>
      <c r="L32" s="5"/>
      <c r="M32" s="5"/>
      <c r="N32" s="5"/>
      <c r="O32" s="5"/>
      <c r="P32" s="5"/>
      <c r="Q32" s="5"/>
      <c r="R32" s="5"/>
      <c r="S32" s="5"/>
      <c r="T32" s="5"/>
      <c r="U32" s="5"/>
      <c r="V32" s="5"/>
      <c r="W32" s="5"/>
      <c r="X32" s="5"/>
      <c r="Y32" s="5"/>
      <c r="Z32" s="5"/>
      <c r="AA32" s="5"/>
      <c r="AB32" s="5"/>
      <c r="AC32" s="5"/>
      <c r="AD32" s="5"/>
      <c r="AE32" s="5"/>
      <c r="AF32" s="5"/>
      <c r="AG32" s="5"/>
      <c r="AH32" s="5"/>
      <c r="AI32" s="5"/>
      <c r="AJ32" s="5"/>
      <c r="AK32" s="5"/>
      <c r="AL32" s="5"/>
      <c r="AM32" s="5"/>
      <c r="AN32" s="5"/>
    </row>
    <row r="33" spans="2:40" x14ac:dyDescent="0.3">
      <c r="B33" s="5"/>
      <c r="C33" s="5"/>
      <c r="D33" s="5"/>
      <c r="E33" s="5"/>
      <c r="F33" s="5"/>
      <c r="G33" s="5"/>
      <c r="H33" s="5"/>
      <c r="I33" s="5"/>
      <c r="J33" s="5"/>
      <c r="K33" s="5"/>
      <c r="L33" s="5"/>
      <c r="M33" s="5"/>
      <c r="N33" s="5"/>
      <c r="O33" s="5"/>
      <c r="P33" s="5"/>
      <c r="Q33" s="5"/>
      <c r="R33" s="5"/>
      <c r="S33" s="5"/>
      <c r="T33" s="5"/>
      <c r="U33" s="5"/>
      <c r="V33" s="5"/>
      <c r="W33" s="5"/>
      <c r="X33" s="5"/>
      <c r="Y33" s="5"/>
      <c r="Z33" s="5"/>
      <c r="AA33" s="5"/>
      <c r="AB33" s="5"/>
      <c r="AC33" s="5"/>
      <c r="AD33" s="5"/>
      <c r="AE33" s="5"/>
      <c r="AF33" s="5"/>
      <c r="AG33" s="5"/>
      <c r="AH33" s="5"/>
      <c r="AI33" s="5"/>
      <c r="AJ33" s="5"/>
      <c r="AK33" s="5"/>
      <c r="AL33" s="5"/>
      <c r="AM33" s="5"/>
      <c r="AN33" s="5"/>
    </row>
    <row r="34" spans="2:40" x14ac:dyDescent="0.3">
      <c r="B34" s="5"/>
      <c r="C34" s="5"/>
      <c r="D34" s="5"/>
      <c r="E34" s="5"/>
      <c r="F34" s="5"/>
      <c r="G34" s="5"/>
      <c r="H34" s="5"/>
      <c r="I34" s="5"/>
      <c r="J34" s="5"/>
      <c r="K34" s="5"/>
      <c r="L34" s="5"/>
      <c r="M34" s="5"/>
      <c r="N34" s="5"/>
      <c r="O34" s="5"/>
      <c r="P34" s="5"/>
      <c r="Q34" s="5"/>
      <c r="R34" s="5"/>
      <c r="S34" s="5"/>
      <c r="T34" s="5"/>
      <c r="U34" s="5"/>
      <c r="V34" s="5"/>
      <c r="W34" s="5"/>
      <c r="X34" s="5"/>
      <c r="Y34" s="5"/>
      <c r="Z34" s="5"/>
      <c r="AA34" s="5"/>
      <c r="AB34" s="5"/>
      <c r="AC34" s="5"/>
      <c r="AD34" s="5"/>
      <c r="AE34" s="5"/>
      <c r="AF34" s="5"/>
      <c r="AG34" s="5"/>
      <c r="AH34" s="5"/>
      <c r="AI34" s="5"/>
      <c r="AJ34" s="5"/>
      <c r="AK34" s="5"/>
      <c r="AL34" s="5"/>
      <c r="AM34" s="5"/>
      <c r="AN34" s="5"/>
    </row>
    <row r="35" spans="2:40" x14ac:dyDescent="0.3">
      <c r="B35" s="5"/>
      <c r="C35" s="5"/>
      <c r="D35" s="5"/>
      <c r="E35" s="5"/>
      <c r="F35" s="5"/>
      <c r="G35" s="5"/>
      <c r="H35" s="5"/>
      <c r="I35" s="5"/>
      <c r="J35" s="5"/>
      <c r="K35" s="5"/>
      <c r="L35" s="5"/>
      <c r="M35" s="5"/>
      <c r="N35" s="5"/>
      <c r="O35" s="5"/>
      <c r="P35" s="5"/>
      <c r="Q35" s="5"/>
      <c r="R35" s="5"/>
      <c r="S35" s="5"/>
      <c r="T35" s="5"/>
      <c r="U35" s="5"/>
      <c r="V35" s="5"/>
      <c r="W35" s="5"/>
      <c r="X35" s="5"/>
      <c r="Y35" s="5"/>
      <c r="Z35" s="5"/>
      <c r="AA35" s="5"/>
      <c r="AB35" s="5"/>
      <c r="AC35" s="5"/>
      <c r="AD35" s="5"/>
      <c r="AE35" s="5"/>
      <c r="AF35" s="5"/>
      <c r="AG35" s="5"/>
      <c r="AH35" s="5"/>
      <c r="AI35" s="5"/>
      <c r="AJ35" s="5"/>
      <c r="AK35" s="5"/>
      <c r="AL35" s="5"/>
      <c r="AM35" s="5"/>
      <c r="AN35" s="5"/>
    </row>
    <row r="36" spans="2:40" x14ac:dyDescent="0.3">
      <c r="B36" s="5"/>
      <c r="C36" s="5"/>
      <c r="D36" s="5"/>
      <c r="E36" s="5"/>
      <c r="F36" s="5"/>
      <c r="G36" s="5"/>
      <c r="H36" s="5"/>
      <c r="I36" s="5"/>
      <c r="J36" s="5"/>
      <c r="K36" s="5"/>
      <c r="L36" s="5"/>
      <c r="M36" s="5"/>
      <c r="N36" s="5"/>
      <c r="O36" s="5"/>
      <c r="P36" s="5"/>
      <c r="Q36" s="5"/>
      <c r="R36" s="5"/>
      <c r="S36" s="5"/>
      <c r="T36" s="5"/>
      <c r="U36" s="5"/>
      <c r="V36" s="5"/>
      <c r="W36" s="5"/>
      <c r="X36" s="5"/>
      <c r="Y36" s="5"/>
      <c r="Z36" s="5"/>
      <c r="AA36" s="5"/>
      <c r="AB36" s="5"/>
      <c r="AC36" s="5"/>
      <c r="AD36" s="5"/>
      <c r="AE36" s="5"/>
      <c r="AF36" s="5"/>
      <c r="AG36" s="5"/>
      <c r="AH36" s="5"/>
      <c r="AI36" s="5"/>
      <c r="AJ36" s="5"/>
      <c r="AK36" s="5"/>
      <c r="AL36" s="5"/>
      <c r="AM36" s="5"/>
      <c r="AN36" s="5"/>
    </row>
    <row r="37" spans="2:40" x14ac:dyDescent="0.3">
      <c r="B37" s="5"/>
      <c r="C37" s="5"/>
      <c r="D37" s="5"/>
      <c r="E37" s="5"/>
      <c r="F37" s="5"/>
      <c r="G37" s="5"/>
      <c r="H37" s="5"/>
      <c r="I37" s="5"/>
      <c r="J37" s="5"/>
      <c r="K37" s="5"/>
      <c r="L37" s="5"/>
      <c r="M37" s="5"/>
      <c r="N37" s="5"/>
      <c r="O37" s="5"/>
      <c r="P37" s="5"/>
      <c r="Q37" s="5"/>
      <c r="R37" s="5"/>
      <c r="S37" s="5"/>
      <c r="T37" s="5"/>
      <c r="U37" s="5"/>
      <c r="V37" s="5"/>
      <c r="W37" s="5"/>
      <c r="X37" s="5"/>
      <c r="Y37" s="5"/>
      <c r="Z37" s="5"/>
      <c r="AA37" s="5"/>
      <c r="AB37" s="5"/>
      <c r="AC37" s="5"/>
      <c r="AD37" s="5"/>
      <c r="AE37" s="5"/>
      <c r="AF37" s="5"/>
      <c r="AG37" s="5"/>
      <c r="AH37" s="5"/>
      <c r="AI37" s="5"/>
      <c r="AJ37" s="5"/>
      <c r="AK37" s="5"/>
      <c r="AL37" s="5"/>
      <c r="AM37" s="5"/>
      <c r="AN37" s="5"/>
    </row>
    <row r="38" spans="2:40" x14ac:dyDescent="0.3">
      <c r="B38" s="5"/>
      <c r="C38" s="5"/>
      <c r="D38" s="5"/>
      <c r="E38" s="5"/>
      <c r="F38" s="5"/>
      <c r="G38" s="5"/>
      <c r="H38" s="5"/>
      <c r="I38" s="5"/>
      <c r="J38" s="5"/>
      <c r="K38" s="5"/>
      <c r="L38" s="5"/>
      <c r="M38" s="5"/>
      <c r="N38" s="5"/>
      <c r="O38" s="5"/>
      <c r="P38" s="5"/>
      <c r="Q38" s="5"/>
      <c r="R38" s="5"/>
      <c r="S38" s="5"/>
      <c r="T38" s="5"/>
      <c r="U38" s="5"/>
      <c r="V38" s="5"/>
      <c r="W38" s="5"/>
      <c r="X38" s="5"/>
      <c r="Y38" s="5"/>
      <c r="Z38" s="5"/>
      <c r="AA38" s="5"/>
      <c r="AB38" s="5"/>
      <c r="AC38" s="5"/>
      <c r="AD38" s="5"/>
      <c r="AE38" s="5"/>
      <c r="AF38" s="5"/>
      <c r="AG38" s="5"/>
      <c r="AH38" s="5"/>
      <c r="AI38" s="5"/>
      <c r="AJ38" s="5"/>
      <c r="AK38" s="5"/>
      <c r="AL38" s="5"/>
      <c r="AM38" s="5"/>
      <c r="AN38" s="5"/>
    </row>
    <row r="39" spans="2:40" x14ac:dyDescent="0.3">
      <c r="B39" s="5"/>
      <c r="C39" s="5"/>
      <c r="D39" s="5"/>
      <c r="E39" s="5"/>
      <c r="F39" s="5"/>
      <c r="G39" s="5"/>
      <c r="H39" s="5"/>
      <c r="I39" s="5"/>
      <c r="J39" s="5"/>
      <c r="K39" s="5"/>
      <c r="L39" s="5"/>
      <c r="M39" s="5"/>
      <c r="N39" s="5"/>
      <c r="O39" s="5"/>
      <c r="P39" s="5"/>
      <c r="Q39" s="5"/>
      <c r="R39" s="5"/>
      <c r="S39" s="5"/>
      <c r="T39" s="5"/>
      <c r="U39" s="5"/>
      <c r="V39" s="5"/>
      <c r="W39" s="5"/>
      <c r="X39" s="5"/>
      <c r="Y39" s="5"/>
      <c r="Z39" s="5"/>
      <c r="AA39" s="5"/>
      <c r="AB39" s="5"/>
      <c r="AC39" s="5"/>
      <c r="AD39" s="5"/>
      <c r="AE39" s="5"/>
      <c r="AF39" s="5"/>
      <c r="AG39" s="5"/>
      <c r="AH39" s="5"/>
      <c r="AI39" s="5"/>
      <c r="AJ39" s="5"/>
      <c r="AK39" s="5"/>
      <c r="AL39" s="5"/>
      <c r="AM39" s="5"/>
      <c r="AN39" s="5"/>
    </row>
    <row r="40" spans="2:40" x14ac:dyDescent="0.3">
      <c r="B40" s="5"/>
      <c r="C40" s="5"/>
      <c r="D40" s="5"/>
      <c r="E40" s="5"/>
      <c r="F40" s="5"/>
      <c r="G40" s="5"/>
      <c r="H40" s="5"/>
      <c r="I40" s="5"/>
      <c r="J40" s="5"/>
      <c r="K40" s="5"/>
      <c r="L40" s="5"/>
      <c r="M40" s="5"/>
      <c r="N40" s="5"/>
      <c r="O40" s="5"/>
      <c r="P40" s="5"/>
      <c r="Q40" s="5"/>
      <c r="R40" s="5"/>
      <c r="S40" s="5"/>
      <c r="T40" s="5"/>
      <c r="U40" s="5"/>
      <c r="V40" s="5"/>
      <c r="W40" s="5"/>
      <c r="X40" s="5"/>
      <c r="Y40" s="5"/>
      <c r="Z40" s="5"/>
      <c r="AA40" s="5"/>
      <c r="AB40" s="5"/>
      <c r="AC40" s="5"/>
      <c r="AD40" s="5"/>
      <c r="AE40" s="5"/>
      <c r="AF40" s="5"/>
      <c r="AG40" s="5"/>
      <c r="AH40" s="5"/>
      <c r="AI40" s="5"/>
      <c r="AJ40" s="5"/>
      <c r="AK40" s="5"/>
      <c r="AL40" s="5"/>
      <c r="AM40" s="5"/>
      <c r="AN40" s="5"/>
    </row>
    <row r="41" spans="2:40" x14ac:dyDescent="0.3">
      <c r="B41" s="5"/>
      <c r="C41" s="5"/>
      <c r="D41" s="5"/>
      <c r="E41" s="5"/>
      <c r="F41" s="5"/>
      <c r="G41" s="5"/>
      <c r="H41" s="5"/>
      <c r="I41" s="5"/>
      <c r="J41" s="5"/>
      <c r="K41" s="5"/>
      <c r="L41" s="5"/>
      <c r="M41" s="5"/>
      <c r="N41" s="5"/>
      <c r="O41" s="5"/>
      <c r="P41" s="5"/>
      <c r="Q41" s="5"/>
      <c r="R41" s="5"/>
      <c r="S41" s="5"/>
      <c r="T41" s="5"/>
      <c r="U41" s="5"/>
      <c r="V41" s="5"/>
      <c r="W41" s="5"/>
      <c r="X41" s="5"/>
      <c r="Y41" s="5"/>
      <c r="Z41" s="5"/>
      <c r="AA41" s="5"/>
      <c r="AB41" s="5"/>
      <c r="AC41" s="5"/>
      <c r="AD41" s="5"/>
      <c r="AE41" s="5"/>
      <c r="AF41" s="5"/>
      <c r="AG41" s="5"/>
      <c r="AH41" s="5"/>
      <c r="AI41" s="5"/>
      <c r="AJ41" s="5"/>
      <c r="AK41" s="5"/>
      <c r="AL41" s="5"/>
      <c r="AM41" s="5"/>
      <c r="AN41" s="5"/>
    </row>
    <row r="42" spans="2:40" x14ac:dyDescent="0.3">
      <c r="B42" s="5"/>
      <c r="C42" s="5"/>
      <c r="D42" s="5"/>
      <c r="E42" s="5"/>
      <c r="F42" s="5"/>
      <c r="G42" s="5"/>
      <c r="H42" s="5"/>
      <c r="I42" s="5"/>
      <c r="J42" s="5"/>
      <c r="K42" s="5"/>
      <c r="L42" s="5"/>
      <c r="M42" s="5"/>
      <c r="N42" s="5"/>
      <c r="O42" s="5"/>
      <c r="P42" s="5"/>
      <c r="Q42" s="5"/>
      <c r="R42" s="5"/>
      <c r="S42" s="5"/>
      <c r="T42" s="5"/>
      <c r="U42" s="5"/>
      <c r="V42" s="5"/>
      <c r="W42" s="5"/>
      <c r="X42" s="5"/>
      <c r="Y42" s="5"/>
      <c r="Z42" s="5"/>
      <c r="AA42" s="5"/>
      <c r="AB42" s="5"/>
      <c r="AC42" s="5"/>
      <c r="AD42" s="5"/>
      <c r="AE42" s="5"/>
      <c r="AF42" s="5"/>
      <c r="AG42" s="5"/>
      <c r="AH42" s="5"/>
      <c r="AI42" s="5"/>
      <c r="AJ42" s="5"/>
      <c r="AK42" s="5"/>
      <c r="AL42" s="5"/>
      <c r="AM42" s="5"/>
      <c r="AN42" s="5"/>
    </row>
    <row r="43" spans="2:40" x14ac:dyDescent="0.3">
      <c r="B43" s="5"/>
      <c r="C43" s="5"/>
      <c r="D43" s="5"/>
      <c r="E43" s="5"/>
      <c r="F43" s="5"/>
      <c r="G43" s="5"/>
      <c r="H43" s="5"/>
      <c r="I43" s="5"/>
      <c r="J43" s="5"/>
      <c r="K43" s="5"/>
      <c r="L43" s="5"/>
      <c r="M43" s="5"/>
      <c r="N43" s="5"/>
      <c r="O43" s="5"/>
      <c r="P43" s="5"/>
      <c r="Q43" s="5"/>
      <c r="R43" s="5"/>
      <c r="S43" s="5"/>
      <c r="T43" s="5"/>
      <c r="U43" s="5"/>
      <c r="V43" s="5"/>
      <c r="W43" s="5"/>
      <c r="X43" s="5"/>
      <c r="Y43" s="5"/>
      <c r="Z43" s="5"/>
      <c r="AA43" s="5"/>
      <c r="AB43" s="5"/>
      <c r="AC43" s="5"/>
      <c r="AD43" s="5"/>
      <c r="AE43" s="5"/>
      <c r="AF43" s="5"/>
      <c r="AG43" s="5"/>
      <c r="AH43" s="5"/>
      <c r="AI43" s="5"/>
      <c r="AJ43" s="5"/>
      <c r="AK43" s="5"/>
      <c r="AL43" s="5"/>
      <c r="AM43" s="5"/>
      <c r="AN43" s="5"/>
    </row>
    <row r="44" spans="2:40" x14ac:dyDescent="0.3">
      <c r="B44" s="5"/>
      <c r="C44" s="5"/>
      <c r="D44" s="5"/>
      <c r="E44" s="5"/>
      <c r="F44" s="5"/>
      <c r="G44" s="5"/>
      <c r="H44" s="5"/>
      <c r="I44" s="5"/>
      <c r="J44" s="5"/>
      <c r="K44" s="5"/>
      <c r="L44" s="5"/>
      <c r="M44" s="5"/>
      <c r="N44" s="5"/>
      <c r="O44" s="5"/>
      <c r="P44" s="5"/>
      <c r="Q44" s="5"/>
      <c r="R44" s="5"/>
      <c r="S44" s="5"/>
      <c r="T44" s="5"/>
      <c r="U44" s="5"/>
      <c r="V44" s="5"/>
      <c r="W44" s="5"/>
      <c r="X44" s="5"/>
      <c r="Y44" s="5"/>
      <c r="Z44" s="5"/>
      <c r="AA44" s="5"/>
      <c r="AB44" s="5"/>
      <c r="AC44" s="5"/>
      <c r="AD44" s="5"/>
      <c r="AE44" s="5"/>
      <c r="AF44" s="5"/>
      <c r="AG44" s="5"/>
      <c r="AH44" s="5"/>
      <c r="AI44" s="5"/>
      <c r="AJ44" s="5"/>
      <c r="AK44" s="5"/>
      <c r="AL44" s="5"/>
      <c r="AM44" s="5"/>
      <c r="AN44" s="5"/>
    </row>
    <row r="45" spans="2:40" x14ac:dyDescent="0.3">
      <c r="B45" s="5"/>
      <c r="C45" s="5"/>
      <c r="D45" s="5"/>
      <c r="E45" s="5"/>
      <c r="F45" s="5"/>
      <c r="G45" s="5"/>
      <c r="H45" s="5"/>
      <c r="I45" s="5"/>
      <c r="J45" s="5"/>
      <c r="K45" s="5"/>
      <c r="L45" s="5"/>
      <c r="M45" s="5"/>
      <c r="N45" s="5"/>
      <c r="O45" s="5"/>
      <c r="P45" s="5"/>
      <c r="Q45" s="5"/>
      <c r="R45" s="5"/>
      <c r="S45" s="5"/>
      <c r="T45" s="5"/>
      <c r="U45" s="5"/>
      <c r="V45" s="5"/>
      <c r="W45" s="5"/>
      <c r="X45" s="5"/>
      <c r="Y45" s="5"/>
      <c r="Z45" s="5"/>
      <c r="AA45" s="5"/>
      <c r="AB45" s="5"/>
      <c r="AC45" s="5"/>
      <c r="AD45" s="5"/>
      <c r="AE45" s="5"/>
      <c r="AF45" s="5"/>
      <c r="AG45" s="5"/>
      <c r="AH45" s="5"/>
      <c r="AI45" s="5"/>
      <c r="AJ45" s="5"/>
      <c r="AK45" s="5"/>
      <c r="AL45" s="5"/>
      <c r="AM45" s="5"/>
      <c r="AN45" s="5"/>
    </row>
    <row r="46" spans="2:40" x14ac:dyDescent="0.3">
      <c r="B46" s="5"/>
      <c r="C46" s="5"/>
      <c r="D46" s="5"/>
      <c r="E46" s="5"/>
      <c r="F46" s="5"/>
      <c r="G46" s="5"/>
      <c r="H46" s="5"/>
      <c r="I46" s="5"/>
      <c r="J46" s="5"/>
      <c r="K46" s="5"/>
      <c r="L46" s="5"/>
      <c r="M46" s="5"/>
      <c r="N46" s="5"/>
      <c r="O46" s="5"/>
      <c r="P46" s="5"/>
      <c r="Q46" s="5"/>
      <c r="R46" s="5"/>
      <c r="S46" s="5"/>
      <c r="T46" s="5"/>
      <c r="U46" s="5"/>
      <c r="V46" s="5"/>
      <c r="W46" s="5"/>
      <c r="X46" s="5"/>
      <c r="Y46" s="5"/>
      <c r="Z46" s="5"/>
      <c r="AA46" s="5"/>
      <c r="AB46" s="5"/>
      <c r="AC46" s="5"/>
      <c r="AD46" s="5"/>
      <c r="AE46" s="5"/>
      <c r="AF46" s="5"/>
      <c r="AG46" s="5"/>
      <c r="AH46" s="5"/>
      <c r="AI46" s="5"/>
      <c r="AJ46" s="5"/>
      <c r="AK46" s="5"/>
      <c r="AL46" s="5"/>
      <c r="AM46" s="5"/>
      <c r="AN46" s="5"/>
    </row>
    <row r="47" spans="2:40" x14ac:dyDescent="0.3">
      <c r="B47" s="5"/>
      <c r="C47" s="5"/>
      <c r="D47" s="5"/>
      <c r="E47" s="5"/>
      <c r="F47" s="5"/>
      <c r="G47" s="5"/>
      <c r="H47" s="5"/>
      <c r="I47" s="5"/>
      <c r="J47" s="5"/>
      <c r="K47" s="5"/>
      <c r="L47" s="5"/>
      <c r="M47" s="5"/>
      <c r="N47" s="5"/>
      <c r="O47" s="5"/>
      <c r="P47" s="5"/>
      <c r="Q47" s="5"/>
      <c r="R47" s="5"/>
      <c r="S47" s="5"/>
      <c r="T47" s="5"/>
      <c r="U47" s="5"/>
      <c r="V47" s="5"/>
      <c r="W47" s="5"/>
      <c r="X47" s="5"/>
      <c r="Y47" s="5"/>
      <c r="Z47" s="5"/>
      <c r="AA47" s="5"/>
      <c r="AB47" s="5"/>
      <c r="AC47" s="5"/>
      <c r="AD47" s="5"/>
      <c r="AE47" s="5"/>
      <c r="AF47" s="5"/>
      <c r="AG47" s="5"/>
      <c r="AH47" s="5"/>
      <c r="AI47" s="5"/>
      <c r="AJ47" s="5"/>
      <c r="AK47" s="5"/>
      <c r="AL47" s="5"/>
      <c r="AM47" s="5"/>
      <c r="AN47" s="5"/>
    </row>
    <row r="48" spans="2:40" x14ac:dyDescent="0.3">
      <c r="B48" s="5"/>
      <c r="C48" s="5"/>
      <c r="D48" s="5"/>
      <c r="E48" s="5"/>
      <c r="F48" s="5"/>
      <c r="G48" s="5"/>
      <c r="H48" s="5"/>
      <c r="I48" s="5"/>
      <c r="J48" s="5"/>
      <c r="K48" s="5"/>
      <c r="L48" s="5"/>
      <c r="M48" s="5"/>
      <c r="N48" s="5"/>
      <c r="O48" s="5"/>
      <c r="P48" s="5"/>
      <c r="Q48" s="5"/>
      <c r="R48" s="5"/>
      <c r="S48" s="5"/>
      <c r="T48" s="5"/>
      <c r="U48" s="5"/>
      <c r="V48" s="5"/>
      <c r="W48" s="5"/>
      <c r="X48" s="5"/>
      <c r="Y48" s="5"/>
      <c r="Z48" s="5"/>
      <c r="AA48" s="5"/>
      <c r="AB48" s="5"/>
      <c r="AC48" s="5"/>
      <c r="AD48" s="5"/>
      <c r="AE48" s="5"/>
      <c r="AF48" s="5"/>
      <c r="AG48" s="5"/>
      <c r="AH48" s="5"/>
      <c r="AI48" s="5"/>
      <c r="AJ48" s="5"/>
      <c r="AK48" s="5"/>
      <c r="AL48" s="5"/>
      <c r="AM48" s="5"/>
      <c r="AN48" s="5"/>
    </row>
    <row r="49" spans="2:40" x14ac:dyDescent="0.3">
      <c r="B49" s="5"/>
      <c r="C49" s="5"/>
      <c r="D49" s="5"/>
      <c r="E49" s="5"/>
      <c r="F49" s="5"/>
      <c r="G49" s="5"/>
      <c r="H49" s="5"/>
      <c r="I49" s="5"/>
      <c r="J49" s="5"/>
      <c r="K49" s="5"/>
      <c r="L49" s="5"/>
      <c r="M49" s="5"/>
      <c r="N49" s="5"/>
      <c r="O49" s="5"/>
      <c r="P49" s="5"/>
      <c r="Q49" s="5"/>
      <c r="R49" s="5"/>
      <c r="S49" s="5"/>
      <c r="T49" s="5"/>
      <c r="U49" s="5"/>
      <c r="V49" s="5"/>
      <c r="W49" s="5"/>
      <c r="X49" s="5"/>
      <c r="Y49" s="5"/>
      <c r="Z49" s="5"/>
      <c r="AA49" s="5"/>
      <c r="AB49" s="5"/>
      <c r="AC49" s="5"/>
      <c r="AD49" s="5"/>
      <c r="AE49" s="5"/>
      <c r="AF49" s="5"/>
      <c r="AG49" s="5"/>
      <c r="AH49" s="5"/>
      <c r="AI49" s="5"/>
      <c r="AJ49" s="5"/>
      <c r="AK49" s="5"/>
      <c r="AL49" s="5"/>
      <c r="AM49" s="5"/>
      <c r="AN49" s="5"/>
    </row>
    <row r="50" spans="2:40" x14ac:dyDescent="0.3">
      <c r="B50" s="5"/>
      <c r="C50" s="5"/>
      <c r="D50" s="5"/>
      <c r="E50" s="5"/>
      <c r="F50" s="5"/>
      <c r="G50" s="5"/>
      <c r="H50" s="5"/>
      <c r="I50" s="5"/>
      <c r="J50" s="5"/>
      <c r="K50" s="5"/>
      <c r="L50" s="5"/>
      <c r="M50" s="5"/>
      <c r="N50" s="5"/>
      <c r="O50" s="5"/>
      <c r="P50" s="5"/>
      <c r="Q50" s="5"/>
      <c r="R50" s="5"/>
      <c r="S50" s="5"/>
      <c r="T50" s="5"/>
      <c r="U50" s="5"/>
      <c r="V50" s="5"/>
      <c r="W50" s="5"/>
      <c r="X50" s="5"/>
      <c r="Y50" s="5"/>
      <c r="Z50" s="5"/>
      <c r="AA50" s="5"/>
      <c r="AB50" s="5"/>
      <c r="AC50" s="5"/>
      <c r="AD50" s="5"/>
      <c r="AE50" s="5"/>
      <c r="AF50" s="5"/>
      <c r="AG50" s="5"/>
      <c r="AH50" s="5"/>
      <c r="AI50" s="5"/>
      <c r="AJ50" s="5"/>
      <c r="AK50" s="5"/>
      <c r="AL50" s="5"/>
      <c r="AM50" s="5"/>
      <c r="AN50" s="5"/>
    </row>
    <row r="51" spans="2:40" x14ac:dyDescent="0.3">
      <c r="B51" s="5"/>
      <c r="C51" s="5"/>
      <c r="D51" s="5"/>
      <c r="E51" s="5"/>
      <c r="F51" s="5"/>
      <c r="G51" s="5"/>
      <c r="H51" s="5"/>
      <c r="I51" s="5"/>
      <c r="J51" s="5"/>
      <c r="K51" s="5"/>
      <c r="L51" s="5"/>
      <c r="M51" s="5"/>
      <c r="N51" s="5"/>
      <c r="O51" s="5"/>
      <c r="P51" s="5"/>
      <c r="Q51" s="5"/>
      <c r="R51" s="5"/>
      <c r="S51" s="5"/>
      <c r="T51" s="5"/>
      <c r="U51" s="5"/>
      <c r="V51" s="5"/>
      <c r="W51" s="5"/>
      <c r="X51" s="5"/>
      <c r="Y51" s="5"/>
      <c r="Z51" s="5"/>
      <c r="AA51" s="5"/>
      <c r="AB51" s="5"/>
      <c r="AC51" s="5"/>
      <c r="AD51" s="5"/>
      <c r="AE51" s="5"/>
      <c r="AF51" s="5"/>
      <c r="AG51" s="5"/>
      <c r="AH51" s="5"/>
      <c r="AI51" s="5"/>
      <c r="AJ51" s="5"/>
      <c r="AK51" s="5"/>
      <c r="AL51" s="5"/>
      <c r="AM51" s="5"/>
      <c r="AN51" s="5"/>
    </row>
    <row r="52" spans="2:40" x14ac:dyDescent="0.3">
      <c r="B52" s="5"/>
      <c r="C52" s="5"/>
      <c r="D52" s="5"/>
      <c r="E52" s="5"/>
      <c r="F52" s="5"/>
      <c r="G52" s="5"/>
      <c r="H52" s="5"/>
      <c r="I52" s="5"/>
      <c r="J52" s="5"/>
      <c r="K52" s="5"/>
      <c r="L52" s="5"/>
      <c r="M52" s="5"/>
      <c r="N52" s="5"/>
      <c r="O52" s="5"/>
      <c r="P52" s="5"/>
      <c r="Q52" s="5"/>
      <c r="R52" s="5"/>
      <c r="S52" s="5"/>
      <c r="T52" s="5"/>
      <c r="U52" s="5"/>
      <c r="V52" s="5"/>
      <c r="W52" s="5"/>
      <c r="X52" s="5"/>
      <c r="Y52" s="5"/>
      <c r="Z52" s="5"/>
      <c r="AA52" s="5"/>
      <c r="AB52" s="5"/>
      <c r="AC52" s="5"/>
      <c r="AD52" s="5"/>
      <c r="AE52" s="5"/>
      <c r="AF52" s="5"/>
      <c r="AG52" s="5"/>
      <c r="AH52" s="5"/>
      <c r="AI52" s="5"/>
      <c r="AJ52" s="5"/>
      <c r="AK52" s="5"/>
      <c r="AL52" s="5"/>
      <c r="AM52" s="5"/>
      <c r="AN52" s="5"/>
    </row>
    <row r="53" spans="2:40" x14ac:dyDescent="0.3">
      <c r="B53" s="5"/>
      <c r="C53" s="5"/>
      <c r="D53" s="5"/>
      <c r="E53" s="5"/>
      <c r="F53" s="5"/>
      <c r="G53" s="5"/>
      <c r="H53" s="5"/>
      <c r="I53" s="5"/>
      <c r="J53" s="5"/>
      <c r="K53" s="5"/>
      <c r="L53" s="5"/>
      <c r="M53" s="5"/>
      <c r="N53" s="5"/>
      <c r="O53" s="5"/>
      <c r="P53" s="5"/>
      <c r="Q53" s="5"/>
      <c r="R53" s="5"/>
      <c r="S53" s="5"/>
      <c r="T53" s="5"/>
      <c r="U53" s="5"/>
      <c r="V53" s="5"/>
      <c r="W53" s="5"/>
      <c r="X53" s="5"/>
      <c r="Y53" s="5"/>
      <c r="Z53" s="5"/>
      <c r="AA53" s="5"/>
      <c r="AB53" s="5"/>
      <c r="AC53" s="5"/>
      <c r="AD53" s="5"/>
      <c r="AE53" s="5"/>
      <c r="AF53" s="5"/>
      <c r="AG53" s="5"/>
      <c r="AH53" s="5"/>
      <c r="AI53" s="5"/>
      <c r="AJ53" s="5"/>
      <c r="AK53" s="5"/>
      <c r="AL53" s="5"/>
      <c r="AM53" s="5"/>
      <c r="AN53" s="5"/>
    </row>
    <row r="54" spans="2:40" x14ac:dyDescent="0.3">
      <c r="B54" s="5"/>
      <c r="C54" s="5"/>
      <c r="D54" s="5"/>
      <c r="E54" s="5"/>
      <c r="F54" s="5"/>
      <c r="G54" s="5"/>
      <c r="H54" s="5"/>
      <c r="I54" s="5"/>
      <c r="J54" s="5"/>
      <c r="K54" s="5"/>
      <c r="L54" s="5"/>
      <c r="M54" s="5"/>
      <c r="N54" s="5"/>
      <c r="O54" s="5"/>
      <c r="P54" s="5"/>
      <c r="Q54" s="5"/>
      <c r="R54" s="5"/>
      <c r="S54" s="5"/>
      <c r="T54" s="5"/>
      <c r="U54" s="5"/>
      <c r="V54" s="5"/>
      <c r="W54" s="5"/>
      <c r="X54" s="5"/>
      <c r="Y54" s="5"/>
      <c r="Z54" s="5"/>
      <c r="AA54" s="5"/>
      <c r="AB54" s="5"/>
      <c r="AC54" s="5"/>
      <c r="AD54" s="5"/>
      <c r="AE54" s="5"/>
      <c r="AF54" s="5"/>
      <c r="AG54" s="5"/>
      <c r="AH54" s="5"/>
      <c r="AI54" s="5"/>
      <c r="AJ54" s="5"/>
      <c r="AK54" s="5"/>
      <c r="AL54" s="5"/>
      <c r="AM54" s="5"/>
      <c r="AN54" s="5"/>
    </row>
    <row r="55" spans="2:40" x14ac:dyDescent="0.3">
      <c r="B55" s="5"/>
      <c r="C55" s="5"/>
      <c r="D55" s="5"/>
      <c r="E55" s="5"/>
      <c r="F55" s="5"/>
      <c r="G55" s="5"/>
      <c r="H55" s="5"/>
      <c r="I55" s="5"/>
      <c r="J55" s="5"/>
      <c r="K55" s="5"/>
      <c r="L55" s="5"/>
      <c r="M55" s="5"/>
      <c r="N55" s="5"/>
      <c r="O55" s="5"/>
      <c r="P55" s="5"/>
      <c r="Q55" s="5"/>
      <c r="R55" s="5"/>
      <c r="S55" s="5"/>
      <c r="T55" s="5"/>
      <c r="U55" s="5"/>
      <c r="V55" s="5"/>
      <c r="W55" s="5"/>
      <c r="X55" s="5"/>
      <c r="Y55" s="5"/>
      <c r="Z55" s="5"/>
      <c r="AA55" s="5"/>
      <c r="AB55" s="5"/>
      <c r="AC55" s="5"/>
      <c r="AD55" s="5"/>
      <c r="AE55" s="5"/>
      <c r="AF55" s="5"/>
      <c r="AG55" s="5"/>
      <c r="AH55" s="5"/>
      <c r="AI55" s="5"/>
      <c r="AJ55" s="5"/>
      <c r="AK55" s="5"/>
      <c r="AL55" s="5"/>
      <c r="AM55" s="5"/>
      <c r="AN55" s="5"/>
    </row>
    <row r="56" spans="2:40" x14ac:dyDescent="0.3">
      <c r="B56" s="5"/>
      <c r="C56" s="5"/>
      <c r="D56" s="5"/>
      <c r="E56" s="5"/>
      <c r="F56" s="5"/>
      <c r="G56" s="5"/>
      <c r="H56" s="5"/>
      <c r="I56" s="5"/>
      <c r="J56" s="5"/>
      <c r="K56" s="5"/>
      <c r="L56" s="5"/>
      <c r="M56" s="5"/>
      <c r="N56" s="5"/>
      <c r="O56" s="5"/>
      <c r="P56" s="5"/>
      <c r="Q56" s="5"/>
      <c r="R56" s="5"/>
      <c r="S56" s="5"/>
      <c r="T56" s="5"/>
      <c r="U56" s="5"/>
      <c r="V56" s="5"/>
      <c r="W56" s="5"/>
      <c r="X56" s="5"/>
      <c r="Y56" s="5"/>
      <c r="Z56" s="5"/>
      <c r="AA56" s="5"/>
      <c r="AB56" s="5"/>
      <c r="AC56" s="5"/>
      <c r="AD56" s="5"/>
      <c r="AE56" s="5"/>
      <c r="AF56" s="5"/>
      <c r="AG56" s="5"/>
      <c r="AH56" s="5"/>
      <c r="AI56" s="5"/>
      <c r="AJ56" s="5"/>
      <c r="AK56" s="5"/>
      <c r="AL56" s="5"/>
      <c r="AM56" s="5"/>
      <c r="AN56" s="5"/>
    </row>
    <row r="57" spans="2:40" x14ac:dyDescent="0.3">
      <c r="B57" s="5"/>
      <c r="C57" s="5"/>
      <c r="D57" s="5"/>
      <c r="E57" s="5"/>
      <c r="F57" s="5"/>
      <c r="G57" s="5"/>
      <c r="H57" s="5"/>
      <c r="I57" s="5"/>
      <c r="J57" s="5"/>
      <c r="K57" s="5"/>
      <c r="L57" s="5"/>
      <c r="M57" s="5"/>
      <c r="N57" s="5"/>
      <c r="O57" s="5"/>
      <c r="P57" s="5"/>
      <c r="Q57" s="5"/>
      <c r="R57" s="5"/>
      <c r="S57" s="5"/>
      <c r="T57" s="5"/>
      <c r="U57" s="5"/>
      <c r="V57" s="5"/>
      <c r="W57" s="5"/>
      <c r="X57" s="5"/>
      <c r="Y57" s="5"/>
      <c r="Z57" s="5"/>
      <c r="AA57" s="5"/>
      <c r="AB57" s="5"/>
      <c r="AC57" s="5"/>
      <c r="AD57" s="5"/>
      <c r="AE57" s="5"/>
      <c r="AF57" s="5"/>
      <c r="AG57" s="5"/>
      <c r="AH57" s="5"/>
      <c r="AI57" s="5"/>
      <c r="AJ57" s="5"/>
      <c r="AK57" s="5"/>
      <c r="AL57" s="5"/>
      <c r="AM57" s="5"/>
      <c r="AN57" s="5"/>
    </row>
    <row r="58" spans="2:40" x14ac:dyDescent="0.3">
      <c r="B58" s="5"/>
      <c r="C58" s="5"/>
      <c r="D58" s="5"/>
      <c r="E58" s="5"/>
      <c r="F58" s="5"/>
      <c r="G58" s="5"/>
      <c r="H58" s="5"/>
      <c r="I58" s="5"/>
      <c r="J58" s="5"/>
      <c r="K58" s="5"/>
      <c r="L58" s="5"/>
      <c r="M58" s="5"/>
      <c r="N58" s="5"/>
      <c r="O58" s="5"/>
      <c r="P58" s="5"/>
      <c r="Q58" s="5"/>
      <c r="R58" s="5"/>
      <c r="S58" s="5"/>
      <c r="T58" s="5"/>
      <c r="U58" s="5"/>
      <c r="V58" s="5"/>
      <c r="W58" s="5"/>
      <c r="X58" s="5"/>
      <c r="Y58" s="5"/>
      <c r="Z58" s="5"/>
      <c r="AA58" s="5"/>
      <c r="AB58" s="5"/>
      <c r="AC58" s="5"/>
      <c r="AD58" s="5"/>
      <c r="AE58" s="5"/>
      <c r="AF58" s="5"/>
      <c r="AG58" s="5"/>
      <c r="AH58" s="5"/>
      <c r="AI58" s="5"/>
      <c r="AJ58" s="5"/>
      <c r="AK58" s="5"/>
      <c r="AL58" s="5"/>
      <c r="AM58" s="5"/>
      <c r="AN58" s="5"/>
    </row>
    <row r="59" spans="2:40" x14ac:dyDescent="0.3">
      <c r="B59" s="5"/>
      <c r="C59" s="5"/>
      <c r="D59" s="5"/>
      <c r="E59" s="5"/>
      <c r="F59" s="5"/>
      <c r="G59" s="5"/>
      <c r="H59" s="5"/>
      <c r="I59" s="5"/>
      <c r="J59" s="5"/>
      <c r="K59" s="5"/>
      <c r="L59" s="5"/>
      <c r="M59" s="5"/>
      <c r="N59" s="5"/>
      <c r="O59" s="5"/>
      <c r="P59" s="5"/>
      <c r="Q59" s="5"/>
      <c r="R59" s="5"/>
      <c r="S59" s="5"/>
      <c r="T59" s="5"/>
      <c r="U59" s="5"/>
      <c r="V59" s="5"/>
      <c r="W59" s="5"/>
      <c r="X59" s="5"/>
      <c r="Y59" s="5"/>
      <c r="Z59" s="5"/>
      <c r="AA59" s="5"/>
      <c r="AB59" s="5"/>
      <c r="AC59" s="5"/>
      <c r="AD59" s="5"/>
      <c r="AE59" s="5"/>
      <c r="AF59" s="5"/>
      <c r="AG59" s="5"/>
      <c r="AH59" s="5"/>
      <c r="AI59" s="5"/>
      <c r="AJ59" s="5"/>
      <c r="AK59" s="5"/>
      <c r="AL59" s="5"/>
      <c r="AM59" s="5"/>
      <c r="AN59" s="5"/>
    </row>
    <row r="60" spans="2:40" x14ac:dyDescent="0.3">
      <c r="B60" s="5"/>
      <c r="C60" s="5"/>
      <c r="D60" s="5"/>
      <c r="E60" s="5"/>
      <c r="F60" s="5"/>
      <c r="G60" s="5"/>
      <c r="H60" s="5"/>
      <c r="I60" s="5"/>
      <c r="J60" s="5"/>
      <c r="K60" s="5"/>
      <c r="L60" s="5"/>
      <c r="M60" s="5"/>
      <c r="N60" s="5"/>
      <c r="O60" s="5"/>
      <c r="P60" s="5"/>
      <c r="Q60" s="5"/>
      <c r="R60" s="5"/>
      <c r="S60" s="5"/>
      <c r="T60" s="5"/>
      <c r="U60" s="5"/>
      <c r="V60" s="5"/>
      <c r="W60" s="5"/>
      <c r="X60" s="5"/>
      <c r="Y60" s="5"/>
      <c r="Z60" s="5"/>
      <c r="AA60" s="5"/>
      <c r="AB60" s="5"/>
      <c r="AC60" s="5"/>
      <c r="AD60" s="5"/>
      <c r="AE60" s="5"/>
      <c r="AF60" s="5"/>
      <c r="AG60" s="5"/>
      <c r="AH60" s="5"/>
      <c r="AI60" s="5"/>
      <c r="AJ60" s="5"/>
      <c r="AK60" s="5"/>
      <c r="AL60" s="5"/>
      <c r="AM60" s="5"/>
      <c r="AN60" s="5"/>
    </row>
    <row r="61" spans="2:40" x14ac:dyDescent="0.3">
      <c r="B61" s="5"/>
      <c r="C61" s="5"/>
      <c r="D61" s="5"/>
      <c r="E61" s="5"/>
      <c r="F61" s="5"/>
      <c r="G61" s="5"/>
      <c r="H61" s="5"/>
      <c r="I61" s="5"/>
      <c r="J61" s="5"/>
      <c r="K61" s="5"/>
      <c r="L61" s="5"/>
      <c r="M61" s="5"/>
      <c r="N61" s="5"/>
      <c r="O61" s="5"/>
      <c r="P61" s="5"/>
      <c r="Q61" s="5"/>
      <c r="R61" s="5"/>
      <c r="S61" s="5"/>
      <c r="T61" s="5"/>
      <c r="U61" s="5"/>
      <c r="V61" s="5"/>
      <c r="W61" s="5"/>
      <c r="X61" s="5"/>
      <c r="Y61" s="5"/>
      <c r="Z61" s="5"/>
      <c r="AA61" s="5"/>
      <c r="AB61" s="5"/>
      <c r="AC61" s="5"/>
      <c r="AD61" s="5"/>
      <c r="AE61" s="5"/>
      <c r="AF61" s="5"/>
      <c r="AG61" s="5"/>
      <c r="AH61" s="5"/>
      <c r="AI61" s="5"/>
      <c r="AJ61" s="5"/>
      <c r="AK61" s="5"/>
      <c r="AL61" s="5"/>
      <c r="AM61" s="5"/>
      <c r="AN61" s="5"/>
    </row>
    <row r="62" spans="2:40" x14ac:dyDescent="0.3">
      <c r="B62" s="5"/>
      <c r="C62" s="5"/>
      <c r="D62" s="5"/>
      <c r="E62" s="5"/>
      <c r="F62" s="5"/>
      <c r="G62" s="5"/>
      <c r="H62" s="5"/>
      <c r="I62" s="5"/>
      <c r="J62" s="5"/>
      <c r="K62" s="5"/>
      <c r="L62" s="5"/>
      <c r="M62" s="5"/>
      <c r="N62" s="5"/>
      <c r="O62" s="5"/>
      <c r="P62" s="5"/>
      <c r="Q62" s="5"/>
      <c r="R62" s="5"/>
      <c r="S62" s="5"/>
      <c r="T62" s="5"/>
      <c r="U62" s="5"/>
      <c r="V62" s="5"/>
      <c r="W62" s="5"/>
      <c r="X62" s="5"/>
      <c r="Y62" s="5"/>
      <c r="Z62" s="5"/>
      <c r="AA62" s="5"/>
      <c r="AB62" s="5"/>
      <c r="AC62" s="5"/>
      <c r="AD62" s="5"/>
      <c r="AE62" s="5"/>
      <c r="AF62" s="5"/>
      <c r="AG62" s="5"/>
      <c r="AH62" s="5"/>
      <c r="AI62" s="5"/>
      <c r="AJ62" s="5"/>
      <c r="AK62" s="5"/>
      <c r="AL62" s="5"/>
      <c r="AM62" s="5"/>
      <c r="AN62" s="5"/>
    </row>
    <row r="63" spans="2:40" x14ac:dyDescent="0.3">
      <c r="B63" s="5"/>
      <c r="C63" s="5"/>
      <c r="D63" s="5"/>
      <c r="E63" s="5"/>
      <c r="F63" s="5"/>
      <c r="G63" s="5"/>
      <c r="H63" s="5"/>
      <c r="I63" s="5"/>
      <c r="J63" s="5"/>
      <c r="K63" s="5"/>
      <c r="L63" s="5"/>
      <c r="M63" s="5"/>
      <c r="N63" s="5"/>
      <c r="O63" s="5"/>
      <c r="P63" s="5"/>
      <c r="Q63" s="5"/>
      <c r="R63" s="5"/>
      <c r="S63" s="5"/>
      <c r="T63" s="5"/>
      <c r="U63" s="5"/>
      <c r="V63" s="5"/>
      <c r="W63" s="5"/>
      <c r="X63" s="5"/>
      <c r="Y63" s="5"/>
      <c r="Z63" s="5"/>
      <c r="AA63" s="5"/>
      <c r="AB63" s="5"/>
      <c r="AC63" s="5"/>
      <c r="AD63" s="5"/>
      <c r="AE63" s="5"/>
      <c r="AF63" s="5"/>
      <c r="AG63" s="5"/>
      <c r="AH63" s="5"/>
      <c r="AI63" s="5"/>
      <c r="AJ63" s="5"/>
      <c r="AK63" s="5"/>
      <c r="AL63" s="5"/>
      <c r="AM63" s="5"/>
      <c r="AN63" s="5"/>
    </row>
    <row r="64" spans="2:40" x14ac:dyDescent="0.3">
      <c r="B64" s="5"/>
      <c r="C64" s="5"/>
      <c r="D64" s="5"/>
      <c r="E64" s="5"/>
      <c r="F64" s="5"/>
      <c r="G64" s="5"/>
      <c r="H64" s="5"/>
      <c r="I64" s="5"/>
      <c r="J64" s="5"/>
      <c r="K64" s="5"/>
      <c r="L64" s="5"/>
      <c r="M64" s="5"/>
      <c r="N64" s="5"/>
      <c r="O64" s="5"/>
      <c r="P64" s="5"/>
      <c r="Q64" s="5"/>
      <c r="R64" s="5"/>
      <c r="S64" s="5"/>
      <c r="T64" s="5"/>
      <c r="U64" s="5"/>
      <c r="V64" s="5"/>
      <c r="W64" s="5"/>
      <c r="X64" s="5"/>
      <c r="Y64" s="5"/>
      <c r="Z64" s="5"/>
      <c r="AA64" s="5"/>
      <c r="AB64" s="5"/>
      <c r="AC64" s="5"/>
      <c r="AD64" s="5"/>
      <c r="AE64" s="5"/>
      <c r="AF64" s="5"/>
      <c r="AG64" s="5"/>
      <c r="AH64" s="5"/>
      <c r="AI64" s="5"/>
      <c r="AJ64" s="5"/>
      <c r="AK64" s="5"/>
      <c r="AL64" s="5"/>
      <c r="AM64" s="5"/>
      <c r="AN64" s="5"/>
    </row>
    <row r="65" spans="2:40" x14ac:dyDescent="0.3">
      <c r="B65" s="5"/>
      <c r="C65" s="5"/>
      <c r="D65" s="5"/>
      <c r="E65" s="5"/>
      <c r="F65" s="5"/>
      <c r="G65" s="5"/>
      <c r="H65" s="5"/>
      <c r="I65" s="5"/>
      <c r="J65" s="5"/>
      <c r="K65" s="5"/>
      <c r="L65" s="5"/>
      <c r="M65" s="5"/>
      <c r="N65" s="5"/>
      <c r="O65" s="5"/>
      <c r="P65" s="5"/>
      <c r="Q65" s="5"/>
      <c r="R65" s="5"/>
      <c r="S65" s="5"/>
      <c r="T65" s="5"/>
      <c r="U65" s="5"/>
      <c r="V65" s="5"/>
      <c r="W65" s="5"/>
      <c r="X65" s="5"/>
      <c r="Y65" s="5"/>
      <c r="Z65" s="5"/>
      <c r="AA65" s="5"/>
      <c r="AB65" s="5"/>
      <c r="AC65" s="5"/>
      <c r="AD65" s="5"/>
      <c r="AE65" s="5"/>
      <c r="AF65" s="5"/>
      <c r="AG65" s="5"/>
      <c r="AH65" s="5"/>
      <c r="AI65" s="5"/>
      <c r="AJ65" s="5"/>
      <c r="AK65" s="5"/>
      <c r="AL65" s="5"/>
      <c r="AM65" s="5"/>
      <c r="AN65" s="5"/>
    </row>
    <row r="66" spans="2:40" x14ac:dyDescent="0.3">
      <c r="B66" s="5"/>
      <c r="C66" s="5"/>
      <c r="D66" s="5"/>
      <c r="E66" s="5"/>
      <c r="F66" s="5"/>
      <c r="G66" s="5"/>
      <c r="H66" s="5"/>
      <c r="I66" s="5"/>
      <c r="J66" s="5"/>
      <c r="K66" s="5"/>
      <c r="L66" s="5"/>
      <c r="M66" s="5"/>
      <c r="N66" s="5"/>
      <c r="O66" s="5"/>
      <c r="P66" s="5"/>
      <c r="Q66" s="5"/>
      <c r="R66" s="5"/>
      <c r="S66" s="5"/>
      <c r="T66" s="5"/>
      <c r="U66" s="5"/>
      <c r="V66" s="5"/>
      <c r="W66" s="5"/>
      <c r="X66" s="5"/>
      <c r="Y66" s="5"/>
      <c r="Z66" s="5"/>
      <c r="AA66" s="5"/>
      <c r="AB66" s="5"/>
      <c r="AC66" s="5"/>
      <c r="AD66" s="5"/>
      <c r="AE66" s="5"/>
      <c r="AF66" s="5"/>
      <c r="AG66" s="5"/>
      <c r="AH66" s="5"/>
      <c r="AI66" s="5"/>
      <c r="AJ66" s="5"/>
      <c r="AK66" s="5"/>
      <c r="AL66" s="5"/>
      <c r="AM66" s="5"/>
      <c r="AN66" s="5"/>
    </row>
    <row r="67" spans="2:40" x14ac:dyDescent="0.3">
      <c r="B67" s="5"/>
      <c r="C67" s="5"/>
      <c r="D67" s="5"/>
      <c r="E67" s="5"/>
      <c r="F67" s="5"/>
      <c r="G67" s="5"/>
      <c r="H67" s="5"/>
      <c r="I67" s="5"/>
      <c r="J67" s="5"/>
      <c r="K67" s="5"/>
      <c r="L67" s="5"/>
      <c r="M67" s="5"/>
      <c r="N67" s="5"/>
      <c r="O67" s="5"/>
      <c r="P67" s="5"/>
      <c r="Q67" s="5"/>
      <c r="R67" s="5"/>
      <c r="S67" s="5"/>
      <c r="T67" s="5"/>
      <c r="U67" s="5"/>
      <c r="V67" s="5"/>
      <c r="W67" s="5"/>
      <c r="X67" s="5"/>
      <c r="Y67" s="5"/>
      <c r="Z67" s="5"/>
      <c r="AA67" s="5"/>
      <c r="AB67" s="5"/>
      <c r="AC67" s="5"/>
      <c r="AD67" s="5"/>
      <c r="AE67" s="5"/>
      <c r="AF67" s="5"/>
      <c r="AG67" s="5"/>
      <c r="AH67" s="5"/>
      <c r="AI67" s="5"/>
      <c r="AJ67" s="5"/>
      <c r="AK67" s="5"/>
      <c r="AL67" s="5"/>
      <c r="AM67" s="5"/>
      <c r="AN67" s="5"/>
    </row>
    <row r="68" spans="2:40" x14ac:dyDescent="0.3">
      <c r="B68" s="5"/>
      <c r="C68" s="5"/>
      <c r="D68" s="5"/>
      <c r="E68" s="5"/>
      <c r="F68" s="5"/>
      <c r="G68" s="5"/>
      <c r="H68" s="5"/>
      <c r="I68" s="5"/>
      <c r="J68" s="5"/>
      <c r="K68" s="5"/>
      <c r="L68" s="5"/>
      <c r="M68" s="5"/>
      <c r="N68" s="5"/>
      <c r="O68" s="5"/>
      <c r="P68" s="5"/>
      <c r="Q68" s="5"/>
      <c r="R68" s="5"/>
      <c r="S68" s="5"/>
      <c r="T68" s="5"/>
      <c r="U68" s="5"/>
      <c r="V68" s="5"/>
      <c r="W68" s="5"/>
      <c r="X68" s="5"/>
      <c r="Y68" s="5"/>
      <c r="Z68" s="5"/>
      <c r="AA68" s="5"/>
      <c r="AB68" s="5"/>
      <c r="AC68" s="5"/>
      <c r="AD68" s="5"/>
      <c r="AE68" s="5"/>
      <c r="AF68" s="5"/>
      <c r="AG68" s="5"/>
      <c r="AH68" s="5"/>
      <c r="AI68" s="5"/>
      <c r="AJ68" s="5"/>
      <c r="AK68" s="5"/>
      <c r="AL68" s="5"/>
      <c r="AM68" s="5"/>
      <c r="AN68" s="5"/>
    </row>
    <row r="69" spans="2:40" x14ac:dyDescent="0.3">
      <c r="B69" s="5"/>
      <c r="C69" s="5"/>
      <c r="D69" s="5"/>
      <c r="E69" s="5"/>
      <c r="F69" s="5"/>
      <c r="G69" s="5"/>
      <c r="H69" s="5"/>
      <c r="I69" s="5"/>
      <c r="J69" s="5"/>
      <c r="K69" s="5"/>
      <c r="L69" s="5"/>
      <c r="M69" s="5"/>
      <c r="N69" s="5"/>
      <c r="O69" s="5"/>
      <c r="P69" s="5"/>
      <c r="Q69" s="5"/>
      <c r="R69" s="5"/>
      <c r="S69" s="5"/>
      <c r="T69" s="5"/>
      <c r="U69" s="5"/>
      <c r="V69" s="5"/>
      <c r="W69" s="5"/>
      <c r="X69" s="5"/>
      <c r="Y69" s="5"/>
      <c r="Z69" s="5"/>
      <c r="AA69" s="5"/>
      <c r="AB69" s="5"/>
      <c r="AC69" s="5"/>
      <c r="AD69" s="5"/>
      <c r="AE69" s="5"/>
      <c r="AF69" s="5"/>
      <c r="AG69" s="5"/>
      <c r="AH69" s="5"/>
      <c r="AI69" s="5"/>
      <c r="AJ69" s="5"/>
      <c r="AK69" s="5"/>
      <c r="AL69" s="5"/>
      <c r="AM69" s="5"/>
      <c r="AN69" s="5"/>
    </row>
    <row r="70" spans="2:40" x14ac:dyDescent="0.3">
      <c r="B70" s="5"/>
      <c r="C70" s="5"/>
      <c r="D70" s="5"/>
      <c r="E70" s="5"/>
      <c r="F70" s="5"/>
      <c r="G70" s="5"/>
      <c r="H70" s="5"/>
      <c r="I70" s="5"/>
      <c r="J70" s="5"/>
      <c r="K70" s="5"/>
      <c r="L70" s="5"/>
      <c r="M70" s="5"/>
      <c r="N70" s="5"/>
      <c r="O70" s="5"/>
      <c r="P70" s="5"/>
      <c r="Q70" s="5"/>
      <c r="R70" s="5"/>
      <c r="S70" s="5"/>
      <c r="T70" s="5"/>
      <c r="U70" s="5"/>
      <c r="V70" s="5"/>
      <c r="W70" s="5"/>
      <c r="X70" s="5"/>
      <c r="Y70" s="5"/>
      <c r="Z70" s="5"/>
      <c r="AA70" s="5"/>
      <c r="AB70" s="5"/>
      <c r="AC70" s="5"/>
      <c r="AD70" s="5"/>
      <c r="AE70" s="5"/>
      <c r="AF70" s="5"/>
      <c r="AG70" s="5"/>
      <c r="AH70" s="5"/>
      <c r="AI70" s="5"/>
      <c r="AJ70" s="5"/>
      <c r="AK70" s="5"/>
      <c r="AL70" s="5"/>
      <c r="AM70" s="5"/>
      <c r="AN70" s="5"/>
    </row>
    <row r="71" spans="2:40" x14ac:dyDescent="0.3">
      <c r="B71" s="5"/>
      <c r="C71" s="5"/>
      <c r="D71" s="5"/>
      <c r="E71" s="5"/>
      <c r="F71" s="5"/>
      <c r="G71" s="5"/>
      <c r="H71" s="5"/>
      <c r="I71" s="5"/>
      <c r="J71" s="5"/>
      <c r="K71" s="5"/>
      <c r="L71" s="5"/>
      <c r="M71" s="5"/>
      <c r="N71" s="5"/>
      <c r="O71" s="5"/>
      <c r="P71" s="5"/>
      <c r="Q71" s="5"/>
      <c r="R71" s="5"/>
      <c r="S71" s="5"/>
      <c r="T71" s="5"/>
      <c r="U71" s="5"/>
      <c r="V71" s="5"/>
      <c r="W71" s="5"/>
      <c r="X71" s="5"/>
      <c r="Y71" s="5"/>
      <c r="Z71" s="5"/>
      <c r="AA71" s="5"/>
      <c r="AB71" s="5"/>
      <c r="AC71" s="5"/>
      <c r="AD71" s="5"/>
      <c r="AE71" s="5"/>
      <c r="AF71" s="5"/>
      <c r="AG71" s="5"/>
      <c r="AH71" s="5"/>
      <c r="AI71" s="5"/>
      <c r="AJ71" s="5"/>
      <c r="AK71" s="5"/>
      <c r="AL71" s="5"/>
      <c r="AM71" s="5"/>
      <c r="AN71" s="5"/>
    </row>
    <row r="72" spans="2:40" x14ac:dyDescent="0.3">
      <c r="B72" s="5"/>
      <c r="C72" s="5"/>
      <c r="D72" s="5"/>
      <c r="E72" s="5"/>
      <c r="F72" s="5"/>
      <c r="G72" s="5"/>
      <c r="H72" s="5"/>
      <c r="I72" s="5"/>
      <c r="J72" s="5"/>
      <c r="K72" s="5"/>
      <c r="L72" s="5"/>
      <c r="M72" s="5"/>
      <c r="N72" s="5"/>
      <c r="O72" s="5"/>
      <c r="P72" s="5"/>
      <c r="Q72" s="5"/>
      <c r="R72" s="5"/>
      <c r="S72" s="5"/>
      <c r="T72" s="5"/>
      <c r="U72" s="5"/>
      <c r="V72" s="5"/>
      <c r="W72" s="5"/>
      <c r="X72" s="5"/>
      <c r="Y72" s="5"/>
      <c r="Z72" s="5"/>
      <c r="AA72" s="5"/>
      <c r="AB72" s="5"/>
      <c r="AC72" s="5"/>
      <c r="AD72" s="5"/>
      <c r="AE72" s="5"/>
      <c r="AF72" s="5"/>
      <c r="AG72" s="5"/>
      <c r="AH72" s="5"/>
      <c r="AI72" s="5"/>
      <c r="AJ72" s="5"/>
      <c r="AK72" s="5"/>
      <c r="AL72" s="5"/>
      <c r="AM72" s="5"/>
      <c r="AN72" s="5"/>
    </row>
    <row r="73" spans="2:40" x14ac:dyDescent="0.3">
      <c r="B73" s="5"/>
      <c r="C73" s="5"/>
      <c r="D73" s="5"/>
      <c r="E73" s="5"/>
      <c r="F73" s="5"/>
      <c r="G73" s="5"/>
      <c r="H73" s="5"/>
      <c r="I73" s="5"/>
      <c r="J73" s="5"/>
      <c r="K73" s="5"/>
      <c r="L73" s="5"/>
      <c r="M73" s="5"/>
      <c r="N73" s="5"/>
      <c r="O73" s="5"/>
      <c r="P73" s="5"/>
      <c r="Q73" s="5"/>
      <c r="R73" s="5"/>
      <c r="S73" s="5"/>
      <c r="T73" s="5"/>
      <c r="U73" s="5"/>
      <c r="V73" s="5"/>
      <c r="W73" s="5"/>
      <c r="X73" s="5"/>
      <c r="Y73" s="5"/>
      <c r="Z73" s="5"/>
      <c r="AA73" s="5"/>
      <c r="AB73" s="5"/>
      <c r="AC73" s="5"/>
      <c r="AD73" s="5"/>
      <c r="AE73" s="5"/>
      <c r="AF73" s="5"/>
      <c r="AG73" s="5"/>
      <c r="AH73" s="5"/>
      <c r="AI73" s="5"/>
      <c r="AJ73" s="5"/>
      <c r="AK73" s="5"/>
      <c r="AL73" s="5"/>
      <c r="AM73" s="5"/>
      <c r="AN73" s="5"/>
    </row>
    <row r="74" spans="2:40" x14ac:dyDescent="0.3">
      <c r="B74" s="5"/>
      <c r="C74" s="5"/>
      <c r="D74" s="5"/>
      <c r="E74" s="5"/>
      <c r="F74" s="5"/>
      <c r="G74" s="5"/>
      <c r="H74" s="5"/>
      <c r="I74" s="5"/>
      <c r="J74" s="5"/>
      <c r="K74" s="5"/>
      <c r="L74" s="5"/>
      <c r="M74" s="5"/>
      <c r="N74" s="5"/>
      <c r="O74" s="5"/>
      <c r="P74" s="5"/>
      <c r="Q74" s="5"/>
      <c r="R74" s="5"/>
      <c r="S74" s="5"/>
      <c r="T74" s="5"/>
      <c r="U74" s="5"/>
      <c r="V74" s="5"/>
      <c r="W74" s="5"/>
      <c r="X74" s="5"/>
      <c r="Y74" s="5"/>
      <c r="Z74" s="5"/>
      <c r="AA74" s="5"/>
      <c r="AB74" s="5"/>
      <c r="AC74" s="5"/>
      <c r="AD74" s="5"/>
      <c r="AE74" s="5"/>
      <c r="AF74" s="5"/>
      <c r="AG74" s="5"/>
      <c r="AH74" s="5"/>
      <c r="AI74" s="5"/>
      <c r="AJ74" s="5"/>
      <c r="AK74" s="5"/>
      <c r="AL74" s="5"/>
      <c r="AM74" s="5"/>
      <c r="AN74" s="5"/>
    </row>
    <row r="75" spans="2:40" x14ac:dyDescent="0.3">
      <c r="B75" s="5"/>
      <c r="C75" s="5"/>
      <c r="D75" s="5"/>
      <c r="E75" s="5"/>
      <c r="F75" s="5"/>
      <c r="G75" s="5"/>
      <c r="H75" s="5"/>
      <c r="I75" s="5"/>
      <c r="J75" s="5"/>
      <c r="K75" s="5"/>
      <c r="L75" s="5"/>
      <c r="M75" s="5"/>
      <c r="N75" s="5"/>
      <c r="O75" s="5"/>
      <c r="P75" s="5"/>
      <c r="Q75" s="5"/>
      <c r="R75" s="5"/>
      <c r="S75" s="5"/>
      <c r="T75" s="5"/>
      <c r="U75" s="5"/>
      <c r="V75" s="5"/>
      <c r="W75" s="5"/>
      <c r="X75" s="5"/>
      <c r="Y75" s="5"/>
      <c r="Z75" s="5"/>
      <c r="AA75" s="5"/>
      <c r="AB75" s="5"/>
      <c r="AC75" s="5"/>
      <c r="AD75" s="5"/>
      <c r="AE75" s="5"/>
      <c r="AF75" s="5"/>
      <c r="AG75" s="5"/>
      <c r="AH75" s="5"/>
      <c r="AI75" s="5"/>
      <c r="AJ75" s="5"/>
      <c r="AK75" s="5"/>
      <c r="AL75" s="5"/>
      <c r="AM75" s="5"/>
      <c r="AN75" s="5"/>
    </row>
    <row r="76" spans="2:40" x14ac:dyDescent="0.3">
      <c r="B76" s="5"/>
      <c r="C76" s="5"/>
      <c r="D76" s="5"/>
      <c r="E76" s="5"/>
      <c r="F76" s="5"/>
      <c r="G76" s="5"/>
      <c r="H76" s="5"/>
      <c r="I76" s="5"/>
      <c r="J76" s="5"/>
      <c r="K76" s="5"/>
      <c r="L76" s="5"/>
      <c r="M76" s="5"/>
      <c r="N76" s="5"/>
      <c r="O76" s="5"/>
      <c r="P76" s="5"/>
      <c r="Q76" s="5"/>
      <c r="R76" s="5"/>
      <c r="S76" s="5"/>
      <c r="T76" s="5"/>
      <c r="U76" s="5"/>
      <c r="V76" s="5"/>
      <c r="W76" s="5"/>
      <c r="X76" s="5"/>
      <c r="Y76" s="5"/>
      <c r="Z76" s="5"/>
      <c r="AA76" s="5"/>
      <c r="AB76" s="5"/>
      <c r="AC76" s="5"/>
      <c r="AD76" s="5"/>
      <c r="AE76" s="5"/>
      <c r="AF76" s="5"/>
      <c r="AG76" s="5"/>
      <c r="AH76" s="5"/>
      <c r="AI76" s="5"/>
      <c r="AJ76" s="5"/>
      <c r="AK76" s="5"/>
      <c r="AL76" s="5"/>
      <c r="AM76" s="5"/>
      <c r="AN76" s="5"/>
    </row>
    <row r="77" spans="2:40" x14ac:dyDescent="0.3">
      <c r="B77" s="5"/>
      <c r="C77" s="5"/>
      <c r="D77" s="5"/>
      <c r="E77" s="5"/>
      <c r="F77" s="5"/>
      <c r="G77" s="5"/>
      <c r="H77" s="5"/>
      <c r="I77" s="5"/>
      <c r="J77" s="5"/>
      <c r="K77" s="5"/>
      <c r="L77" s="5"/>
      <c r="M77" s="5"/>
      <c r="N77" s="5"/>
      <c r="O77" s="5"/>
      <c r="P77" s="5"/>
      <c r="Q77" s="5"/>
      <c r="R77" s="5"/>
      <c r="S77" s="5"/>
      <c r="T77" s="5"/>
      <c r="U77" s="5"/>
      <c r="V77" s="5"/>
      <c r="W77" s="5"/>
      <c r="X77" s="5"/>
      <c r="Y77" s="5"/>
      <c r="Z77" s="5"/>
      <c r="AA77" s="5"/>
      <c r="AB77" s="5"/>
      <c r="AC77" s="5"/>
      <c r="AD77" s="5"/>
      <c r="AE77" s="5"/>
      <c r="AF77" s="5"/>
      <c r="AG77" s="5"/>
      <c r="AH77" s="5"/>
      <c r="AI77" s="5"/>
      <c r="AJ77" s="5"/>
      <c r="AK77" s="5"/>
      <c r="AL77" s="5"/>
      <c r="AM77" s="5"/>
      <c r="AN77" s="5"/>
    </row>
    <row r="78" spans="2:40" x14ac:dyDescent="0.3">
      <c r="B78" s="5"/>
      <c r="C78" s="5"/>
      <c r="D78" s="5"/>
      <c r="E78" s="5"/>
      <c r="F78" s="5"/>
      <c r="G78" s="5"/>
      <c r="H78" s="5"/>
      <c r="I78" s="5"/>
      <c r="J78" s="5"/>
      <c r="K78" s="5"/>
      <c r="L78" s="5"/>
      <c r="M78" s="5"/>
      <c r="N78" s="5"/>
      <c r="O78" s="5"/>
      <c r="P78" s="5"/>
      <c r="Q78" s="5"/>
      <c r="R78" s="5"/>
      <c r="S78" s="5"/>
      <c r="T78" s="5"/>
      <c r="U78" s="5"/>
      <c r="V78" s="5"/>
      <c r="W78" s="5"/>
      <c r="X78" s="5"/>
      <c r="Y78" s="5"/>
      <c r="Z78" s="5"/>
      <c r="AA78" s="5"/>
      <c r="AB78" s="5"/>
      <c r="AC78" s="5"/>
      <c r="AD78" s="5"/>
      <c r="AE78" s="5"/>
      <c r="AF78" s="5"/>
      <c r="AG78" s="5"/>
      <c r="AH78" s="5"/>
      <c r="AI78" s="5"/>
      <c r="AJ78" s="5"/>
      <c r="AK78" s="5"/>
      <c r="AL78" s="5"/>
      <c r="AM78" s="5"/>
      <c r="AN78" s="5"/>
    </row>
    <row r="79" spans="2:40" x14ac:dyDescent="0.3">
      <c r="B79" s="5"/>
      <c r="C79" s="5"/>
      <c r="D79" s="5"/>
      <c r="E79" s="5"/>
      <c r="F79" s="5"/>
      <c r="G79" s="5"/>
      <c r="H79" s="5"/>
      <c r="I79" s="5"/>
      <c r="J79" s="5"/>
      <c r="K79" s="5"/>
      <c r="L79" s="5"/>
      <c r="M79" s="5"/>
      <c r="N79" s="5"/>
      <c r="O79" s="5"/>
      <c r="P79" s="5"/>
      <c r="Q79" s="5"/>
      <c r="R79" s="5"/>
      <c r="S79" s="5"/>
      <c r="T79" s="5"/>
      <c r="U79" s="5"/>
      <c r="V79" s="5"/>
      <c r="W79" s="5"/>
      <c r="X79" s="5"/>
      <c r="Y79" s="5"/>
      <c r="Z79" s="5"/>
      <c r="AA79" s="5"/>
      <c r="AB79" s="5"/>
      <c r="AC79" s="5"/>
      <c r="AD79" s="5"/>
      <c r="AE79" s="5"/>
      <c r="AF79" s="5"/>
      <c r="AG79" s="5"/>
      <c r="AH79" s="5"/>
      <c r="AI79" s="5"/>
      <c r="AJ79" s="5"/>
      <c r="AK79" s="5"/>
      <c r="AL79" s="5"/>
      <c r="AM79" s="5"/>
      <c r="AN79" s="5"/>
    </row>
    <row r="80" spans="2:40" x14ac:dyDescent="0.3">
      <c r="B80" s="5"/>
      <c r="C80" s="5"/>
      <c r="D80" s="5"/>
      <c r="E80" s="5"/>
      <c r="F80" s="5"/>
      <c r="G80" s="5"/>
      <c r="H80" s="5"/>
      <c r="I80" s="5"/>
      <c r="J80" s="5"/>
      <c r="K80" s="5"/>
      <c r="L80" s="5"/>
      <c r="M80" s="5"/>
      <c r="N80" s="5"/>
      <c r="O80" s="5"/>
      <c r="P80" s="5"/>
      <c r="Q80" s="5"/>
      <c r="R80" s="5"/>
      <c r="S80" s="5"/>
      <c r="T80" s="5"/>
      <c r="U80" s="5"/>
      <c r="V80" s="5"/>
      <c r="W80" s="5"/>
      <c r="X80" s="5"/>
      <c r="Y80" s="5"/>
      <c r="Z80" s="5"/>
      <c r="AA80" s="5"/>
      <c r="AB80" s="5"/>
      <c r="AC80" s="5"/>
      <c r="AD80" s="5"/>
      <c r="AE80" s="5"/>
      <c r="AF80" s="5"/>
      <c r="AG80" s="5"/>
      <c r="AH80" s="5"/>
      <c r="AI80" s="5"/>
      <c r="AJ80" s="5"/>
      <c r="AK80" s="5"/>
      <c r="AL80" s="5"/>
      <c r="AM80" s="5"/>
      <c r="AN80" s="5"/>
    </row>
    <row r="81" spans="2:40" x14ac:dyDescent="0.3">
      <c r="B81" s="5"/>
      <c r="C81" s="5"/>
      <c r="D81" s="5"/>
      <c r="E81" s="5"/>
      <c r="F81" s="5"/>
      <c r="G81" s="5"/>
      <c r="H81" s="5"/>
      <c r="I81" s="5"/>
      <c r="J81" s="5"/>
      <c r="K81" s="5"/>
      <c r="L81" s="5"/>
      <c r="M81" s="5"/>
      <c r="N81" s="5"/>
      <c r="O81" s="5"/>
      <c r="P81" s="5"/>
      <c r="Q81" s="5"/>
      <c r="R81" s="5"/>
      <c r="S81" s="5"/>
      <c r="T81" s="5"/>
      <c r="U81" s="5"/>
      <c r="V81" s="5"/>
      <c r="W81" s="5"/>
      <c r="X81" s="5"/>
      <c r="Y81" s="5"/>
      <c r="Z81" s="5"/>
      <c r="AA81" s="5"/>
      <c r="AB81" s="5"/>
      <c r="AC81" s="5"/>
      <c r="AD81" s="5"/>
      <c r="AE81" s="5"/>
      <c r="AF81" s="5"/>
      <c r="AG81" s="5"/>
      <c r="AH81" s="5"/>
      <c r="AI81" s="5"/>
      <c r="AJ81" s="5"/>
      <c r="AK81" s="5"/>
      <c r="AL81" s="5"/>
      <c r="AM81" s="5"/>
      <c r="AN81" s="5"/>
    </row>
    <row r="82" spans="2:40" x14ac:dyDescent="0.3">
      <c r="B82" s="5"/>
      <c r="C82" s="5"/>
      <c r="D82" s="5"/>
      <c r="E82" s="5"/>
      <c r="F82" s="5"/>
      <c r="G82" s="5"/>
      <c r="H82" s="5"/>
      <c r="I82" s="5"/>
      <c r="J82" s="5"/>
      <c r="K82" s="5"/>
      <c r="L82" s="5"/>
      <c r="M82" s="5"/>
      <c r="N82" s="5"/>
      <c r="O82" s="5"/>
      <c r="P82" s="5"/>
      <c r="Q82" s="5"/>
      <c r="R82" s="5"/>
      <c r="S82" s="5"/>
      <c r="T82" s="5"/>
      <c r="U82" s="5"/>
      <c r="V82" s="5"/>
      <c r="W82" s="5"/>
      <c r="X82" s="5"/>
      <c r="Y82" s="5"/>
      <c r="Z82" s="5"/>
      <c r="AA82" s="5"/>
      <c r="AB82" s="5"/>
      <c r="AC82" s="5"/>
      <c r="AD82" s="5"/>
      <c r="AE82" s="5"/>
      <c r="AF82" s="5"/>
      <c r="AG82" s="5"/>
      <c r="AH82" s="5"/>
      <c r="AI82" s="5"/>
      <c r="AJ82" s="5"/>
      <c r="AK82" s="5"/>
      <c r="AL82" s="5"/>
      <c r="AM82" s="5"/>
      <c r="AN82" s="5"/>
    </row>
    <row r="83" spans="2:40" x14ac:dyDescent="0.3">
      <c r="B83" s="5"/>
      <c r="C83" s="5"/>
      <c r="D83" s="5"/>
      <c r="E83" s="5"/>
      <c r="F83" s="5"/>
      <c r="G83" s="5"/>
      <c r="H83" s="5"/>
      <c r="I83" s="5"/>
      <c r="J83" s="5"/>
      <c r="K83" s="5"/>
      <c r="L83" s="5"/>
      <c r="M83" s="5"/>
      <c r="N83" s="5"/>
      <c r="O83" s="5"/>
      <c r="P83" s="5"/>
      <c r="Q83" s="5"/>
      <c r="R83" s="5"/>
      <c r="S83" s="5"/>
      <c r="T83" s="5"/>
      <c r="U83" s="5"/>
      <c r="V83" s="5"/>
      <c r="W83" s="5"/>
      <c r="X83" s="5"/>
      <c r="Y83" s="5"/>
      <c r="Z83" s="5"/>
      <c r="AA83" s="5"/>
      <c r="AB83" s="5"/>
      <c r="AC83" s="5"/>
      <c r="AD83" s="5"/>
      <c r="AE83" s="5"/>
      <c r="AF83" s="5"/>
      <c r="AG83" s="5"/>
      <c r="AH83" s="5"/>
      <c r="AI83" s="5"/>
      <c r="AJ83" s="5"/>
      <c r="AK83" s="5"/>
      <c r="AL83" s="5"/>
      <c r="AM83" s="5"/>
      <c r="AN83" s="5"/>
    </row>
    <row r="84" spans="2:40" x14ac:dyDescent="0.3">
      <c r="B84" s="5"/>
      <c r="C84" s="5"/>
      <c r="D84" s="5"/>
      <c r="E84" s="5"/>
      <c r="F84" s="5"/>
      <c r="G84" s="5"/>
      <c r="H84" s="5"/>
      <c r="I84" s="5"/>
      <c r="J84" s="5"/>
      <c r="K84" s="5"/>
      <c r="L84" s="5"/>
      <c r="M84" s="5"/>
      <c r="N84" s="5"/>
      <c r="O84" s="5"/>
      <c r="P84" s="5"/>
      <c r="Q84" s="5"/>
      <c r="R84" s="5"/>
      <c r="S84" s="5"/>
      <c r="T84" s="5"/>
      <c r="U84" s="5"/>
      <c r="V84" s="5"/>
      <c r="W84" s="5"/>
      <c r="X84" s="5"/>
      <c r="Y84" s="5"/>
      <c r="Z84" s="5"/>
      <c r="AA84" s="5"/>
      <c r="AB84" s="5"/>
      <c r="AC84" s="5"/>
      <c r="AD84" s="5"/>
      <c r="AE84" s="5"/>
      <c r="AF84" s="5"/>
      <c r="AG84" s="5"/>
      <c r="AH84" s="5"/>
      <c r="AI84" s="5"/>
      <c r="AJ84" s="5"/>
      <c r="AK84" s="5"/>
      <c r="AL84" s="5"/>
      <c r="AM84" s="5"/>
      <c r="AN84" s="5"/>
    </row>
    <row r="85" spans="2:40" x14ac:dyDescent="0.3">
      <c r="B85" s="5"/>
      <c r="C85" s="5"/>
      <c r="D85" s="5"/>
      <c r="E85" s="5"/>
      <c r="F85" s="5"/>
      <c r="G85" s="5"/>
      <c r="H85" s="5"/>
      <c r="I85" s="5"/>
      <c r="J85" s="5"/>
      <c r="K85" s="5"/>
      <c r="L85" s="5"/>
      <c r="M85" s="5"/>
      <c r="N85" s="5"/>
      <c r="O85" s="5"/>
      <c r="P85" s="5"/>
      <c r="Q85" s="5"/>
      <c r="R85" s="5"/>
      <c r="S85" s="5"/>
      <c r="T85" s="5"/>
      <c r="U85" s="5"/>
      <c r="V85" s="5"/>
      <c r="W85" s="5"/>
      <c r="X85" s="5"/>
      <c r="Y85" s="5"/>
      <c r="Z85" s="5"/>
      <c r="AA85" s="5"/>
      <c r="AB85" s="5"/>
      <c r="AC85" s="5"/>
      <c r="AD85" s="5"/>
      <c r="AE85" s="5"/>
      <c r="AF85" s="5"/>
      <c r="AG85" s="5"/>
      <c r="AH85" s="5"/>
      <c r="AI85" s="5"/>
      <c r="AJ85" s="5"/>
      <c r="AK85" s="5"/>
      <c r="AL85" s="5"/>
      <c r="AM85" s="5"/>
      <c r="AN85" s="5"/>
    </row>
    <row r="86" spans="2:40" x14ac:dyDescent="0.3">
      <c r="B86" s="5"/>
      <c r="C86" s="5"/>
      <c r="D86" s="5"/>
      <c r="E86" s="5"/>
      <c r="F86" s="5"/>
      <c r="G86" s="5"/>
      <c r="H86" s="5"/>
      <c r="I86" s="5"/>
      <c r="J86" s="5"/>
      <c r="K86" s="5"/>
      <c r="L86" s="5"/>
      <c r="M86" s="5"/>
      <c r="N86" s="5"/>
      <c r="O86" s="5"/>
      <c r="P86" s="5"/>
      <c r="Q86" s="5"/>
      <c r="R86" s="5"/>
      <c r="S86" s="5"/>
      <c r="T86" s="5"/>
      <c r="U86" s="5"/>
      <c r="V86" s="5"/>
      <c r="W86" s="5"/>
      <c r="X86" s="5"/>
      <c r="Y86" s="5"/>
      <c r="Z86" s="5"/>
      <c r="AA86" s="5"/>
      <c r="AB86" s="5"/>
      <c r="AC86" s="5"/>
      <c r="AD86" s="5"/>
      <c r="AE86" s="5"/>
      <c r="AF86" s="5"/>
      <c r="AG86" s="5"/>
      <c r="AH86" s="5"/>
      <c r="AI86" s="5"/>
      <c r="AJ86" s="5"/>
      <c r="AK86" s="5"/>
      <c r="AL86" s="5"/>
      <c r="AM86" s="5"/>
      <c r="AN86" s="5"/>
    </row>
    <row r="87" spans="2:40" x14ac:dyDescent="0.3">
      <c r="B87" s="5"/>
      <c r="C87" s="5"/>
      <c r="D87" s="5"/>
      <c r="E87" s="5"/>
      <c r="F87" s="5"/>
      <c r="G87" s="5"/>
      <c r="H87" s="5"/>
      <c r="I87" s="5"/>
      <c r="J87" s="5"/>
      <c r="K87" s="5"/>
      <c r="L87" s="5"/>
      <c r="M87" s="5"/>
      <c r="N87" s="5"/>
      <c r="O87" s="5"/>
      <c r="P87" s="5"/>
      <c r="Q87" s="5"/>
      <c r="R87" s="5"/>
      <c r="S87" s="5"/>
      <c r="T87" s="5"/>
      <c r="U87" s="5"/>
      <c r="V87" s="5"/>
      <c r="W87" s="5"/>
      <c r="X87" s="5"/>
      <c r="Y87" s="5"/>
      <c r="Z87" s="5"/>
      <c r="AA87" s="5"/>
      <c r="AB87" s="5"/>
      <c r="AC87" s="5"/>
      <c r="AD87" s="5"/>
      <c r="AE87" s="5"/>
      <c r="AF87" s="5"/>
      <c r="AG87" s="5"/>
      <c r="AH87" s="5"/>
      <c r="AI87" s="5"/>
      <c r="AJ87" s="5"/>
      <c r="AK87" s="5"/>
      <c r="AL87" s="5"/>
      <c r="AM87" s="5"/>
      <c r="AN87" s="5"/>
    </row>
    <row r="88" spans="2:40" x14ac:dyDescent="0.3">
      <c r="B88" s="5"/>
      <c r="C88" s="5"/>
      <c r="D88" s="5"/>
      <c r="E88" s="5"/>
      <c r="F88" s="5"/>
      <c r="G88" s="5"/>
      <c r="H88" s="5"/>
      <c r="I88" s="5"/>
      <c r="J88" s="5"/>
      <c r="K88" s="5"/>
      <c r="L88" s="5"/>
      <c r="M88" s="5"/>
      <c r="N88" s="5"/>
      <c r="O88" s="5"/>
      <c r="P88" s="5"/>
      <c r="Q88" s="5"/>
      <c r="R88" s="5"/>
      <c r="S88" s="5"/>
      <c r="T88" s="5"/>
      <c r="U88" s="5"/>
      <c r="V88" s="5"/>
      <c r="W88" s="5"/>
      <c r="X88" s="5"/>
      <c r="Y88" s="5"/>
      <c r="Z88" s="5"/>
      <c r="AA88" s="5"/>
      <c r="AB88" s="5"/>
      <c r="AC88" s="5"/>
      <c r="AD88" s="5"/>
      <c r="AE88" s="5"/>
      <c r="AF88" s="5"/>
      <c r="AG88" s="5"/>
      <c r="AH88" s="5"/>
      <c r="AI88" s="5"/>
      <c r="AJ88" s="5"/>
      <c r="AK88" s="5"/>
      <c r="AL88" s="5"/>
      <c r="AM88" s="5"/>
      <c r="AN88" s="5"/>
    </row>
    <row r="89" spans="2:40" x14ac:dyDescent="0.3">
      <c r="B89" s="5"/>
      <c r="C89" s="5"/>
      <c r="D89" s="5"/>
      <c r="E89" s="5"/>
      <c r="F89" s="5"/>
      <c r="G89" s="5"/>
      <c r="H89" s="5"/>
      <c r="I89" s="5"/>
      <c r="J89" s="5"/>
      <c r="K89" s="5"/>
      <c r="L89" s="5"/>
      <c r="M89" s="5"/>
      <c r="N89" s="5"/>
      <c r="O89" s="5"/>
      <c r="P89" s="5"/>
      <c r="Q89" s="5"/>
      <c r="R89" s="5"/>
      <c r="S89" s="5"/>
      <c r="T89" s="5"/>
      <c r="U89" s="5"/>
      <c r="V89" s="5"/>
      <c r="W89" s="5"/>
      <c r="X89" s="5"/>
      <c r="Y89" s="5"/>
      <c r="Z89" s="5"/>
      <c r="AA89" s="5"/>
      <c r="AB89" s="5"/>
      <c r="AC89" s="5"/>
      <c r="AD89" s="5"/>
      <c r="AE89" s="5"/>
      <c r="AF89" s="5"/>
      <c r="AG89" s="5"/>
      <c r="AH89" s="5"/>
      <c r="AI89" s="5"/>
      <c r="AJ89" s="5"/>
      <c r="AK89" s="5"/>
      <c r="AL89" s="5"/>
      <c r="AM89" s="5"/>
      <c r="AN89" s="5"/>
    </row>
    <row r="90" spans="2:40" x14ac:dyDescent="0.3">
      <c r="B90" s="5"/>
      <c r="C90" s="5"/>
      <c r="D90" s="5"/>
      <c r="E90" s="5"/>
      <c r="F90" s="5"/>
      <c r="G90" s="5"/>
      <c r="H90" s="5"/>
      <c r="I90" s="5"/>
      <c r="J90" s="5"/>
      <c r="K90" s="5"/>
      <c r="L90" s="5"/>
      <c r="M90" s="5"/>
      <c r="N90" s="5"/>
      <c r="O90" s="5"/>
      <c r="P90" s="5"/>
      <c r="Q90" s="5"/>
      <c r="R90" s="5"/>
      <c r="S90" s="5"/>
      <c r="T90" s="5"/>
      <c r="U90" s="5"/>
      <c r="V90" s="5"/>
      <c r="W90" s="5"/>
      <c r="X90" s="5"/>
      <c r="Y90" s="5"/>
      <c r="Z90" s="5"/>
      <c r="AA90" s="5"/>
      <c r="AB90" s="5"/>
      <c r="AC90" s="5"/>
      <c r="AD90" s="5"/>
      <c r="AE90" s="5"/>
      <c r="AF90" s="5"/>
      <c r="AG90" s="5"/>
      <c r="AH90" s="5"/>
      <c r="AI90" s="5"/>
      <c r="AJ90" s="5"/>
      <c r="AK90" s="5"/>
      <c r="AL90" s="5"/>
      <c r="AM90" s="5"/>
      <c r="AN90" s="5"/>
    </row>
    <row r="91" spans="2:40" x14ac:dyDescent="0.3">
      <c r="B91" s="5"/>
      <c r="C91" s="5"/>
      <c r="D91" s="5"/>
      <c r="E91" s="5"/>
      <c r="F91" s="5"/>
      <c r="G91" s="5"/>
      <c r="H91" s="5"/>
      <c r="I91" s="5"/>
      <c r="J91" s="5"/>
      <c r="K91" s="5"/>
      <c r="L91" s="5"/>
      <c r="M91" s="5"/>
      <c r="N91" s="5"/>
      <c r="O91" s="5"/>
      <c r="P91" s="5"/>
      <c r="Q91" s="5"/>
      <c r="R91" s="5"/>
      <c r="S91" s="5"/>
      <c r="T91" s="5"/>
      <c r="U91" s="5"/>
      <c r="V91" s="5"/>
      <c r="W91" s="5"/>
      <c r="X91" s="5"/>
      <c r="Y91" s="5"/>
      <c r="Z91" s="5"/>
      <c r="AA91" s="5"/>
      <c r="AB91" s="5"/>
      <c r="AC91" s="5"/>
      <c r="AD91" s="5"/>
      <c r="AE91" s="5"/>
      <c r="AF91" s="5"/>
      <c r="AG91" s="5"/>
      <c r="AH91" s="5"/>
      <c r="AI91" s="5"/>
      <c r="AJ91" s="5"/>
      <c r="AK91" s="5"/>
      <c r="AL91" s="5"/>
      <c r="AM91" s="5"/>
      <c r="AN91" s="5"/>
    </row>
    <row r="92" spans="2:40" x14ac:dyDescent="0.3">
      <c r="B92" s="5"/>
      <c r="C92" s="5"/>
      <c r="D92" s="5"/>
      <c r="E92" s="5"/>
      <c r="F92" s="5"/>
      <c r="G92" s="5"/>
      <c r="H92" s="5"/>
      <c r="I92" s="5"/>
      <c r="J92" s="5"/>
      <c r="K92" s="5"/>
      <c r="L92" s="5"/>
      <c r="M92" s="5"/>
      <c r="N92" s="5"/>
      <c r="O92" s="5"/>
      <c r="P92" s="5"/>
      <c r="Q92" s="5"/>
      <c r="R92" s="5"/>
      <c r="S92" s="5"/>
      <c r="T92" s="5"/>
      <c r="U92" s="5"/>
      <c r="V92" s="5"/>
      <c r="W92" s="5"/>
      <c r="X92" s="5"/>
      <c r="Y92" s="5"/>
      <c r="Z92" s="5"/>
      <c r="AA92" s="5"/>
      <c r="AB92" s="5"/>
      <c r="AC92" s="5"/>
      <c r="AD92" s="5"/>
      <c r="AE92" s="5"/>
      <c r="AF92" s="5"/>
      <c r="AG92" s="5"/>
      <c r="AH92" s="5"/>
      <c r="AI92" s="5"/>
      <c r="AJ92" s="5"/>
      <c r="AK92" s="5"/>
      <c r="AL92" s="5"/>
      <c r="AM92" s="5"/>
      <c r="AN92" s="5"/>
    </row>
    <row r="93" spans="2:40" x14ac:dyDescent="0.3">
      <c r="B93" s="5"/>
      <c r="C93" s="5"/>
      <c r="D93" s="5"/>
      <c r="E93" s="5"/>
      <c r="F93" s="5"/>
      <c r="G93" s="5"/>
      <c r="H93" s="5"/>
      <c r="I93" s="5"/>
      <c r="J93" s="5"/>
      <c r="K93" s="5"/>
      <c r="L93" s="5"/>
      <c r="M93" s="5"/>
      <c r="N93" s="5"/>
      <c r="O93" s="5"/>
      <c r="P93" s="5"/>
      <c r="Q93" s="5"/>
      <c r="R93" s="5"/>
      <c r="S93" s="5"/>
      <c r="T93" s="5"/>
      <c r="U93" s="5"/>
      <c r="V93" s="5"/>
      <c r="W93" s="5"/>
      <c r="X93" s="5"/>
      <c r="Y93" s="5"/>
      <c r="Z93" s="5"/>
      <c r="AA93" s="5"/>
      <c r="AB93" s="5"/>
      <c r="AC93" s="5"/>
      <c r="AD93" s="5"/>
      <c r="AE93" s="5"/>
      <c r="AF93" s="5"/>
      <c r="AG93" s="5"/>
      <c r="AH93" s="5"/>
      <c r="AI93" s="5"/>
      <c r="AJ93" s="5"/>
      <c r="AK93" s="5"/>
      <c r="AL93" s="5"/>
      <c r="AM93" s="5"/>
      <c r="AN93" s="5"/>
    </row>
    <row r="94" spans="2:40" x14ac:dyDescent="0.3">
      <c r="B94" s="5"/>
      <c r="C94" s="5"/>
      <c r="D94" s="5"/>
      <c r="E94" s="5"/>
      <c r="F94" s="5"/>
      <c r="G94" s="5"/>
      <c r="H94" s="5"/>
      <c r="I94" s="5"/>
      <c r="J94" s="5"/>
      <c r="K94" s="5"/>
      <c r="L94" s="5"/>
      <c r="M94" s="5"/>
      <c r="N94" s="5"/>
      <c r="O94" s="5"/>
      <c r="P94" s="5"/>
      <c r="Q94" s="5"/>
      <c r="R94" s="5"/>
      <c r="S94" s="5"/>
      <c r="T94" s="5"/>
      <c r="U94" s="5"/>
      <c r="V94" s="5"/>
      <c r="W94" s="5"/>
      <c r="X94" s="5"/>
      <c r="Y94" s="5"/>
      <c r="Z94" s="5"/>
      <c r="AA94" s="5"/>
      <c r="AB94" s="5"/>
      <c r="AC94" s="5"/>
      <c r="AD94" s="5"/>
      <c r="AE94" s="5"/>
      <c r="AF94" s="5"/>
      <c r="AG94" s="5"/>
      <c r="AH94" s="5"/>
      <c r="AI94" s="5"/>
      <c r="AJ94" s="5"/>
      <c r="AK94" s="5"/>
      <c r="AL94" s="5"/>
      <c r="AM94" s="5"/>
      <c r="AN94" s="5"/>
    </row>
    <row r="95" spans="2:40" x14ac:dyDescent="0.3">
      <c r="B95" s="5"/>
      <c r="C95" s="5"/>
      <c r="D95" s="5"/>
      <c r="E95" s="5"/>
      <c r="F95" s="5"/>
      <c r="G95" s="5"/>
      <c r="H95" s="5"/>
      <c r="I95" s="5"/>
      <c r="J95" s="5"/>
      <c r="K95" s="5"/>
      <c r="L95" s="5"/>
      <c r="M95" s="5"/>
      <c r="N95" s="5"/>
      <c r="O95" s="5"/>
      <c r="P95" s="5"/>
      <c r="Q95" s="5"/>
      <c r="R95" s="5"/>
      <c r="S95" s="5"/>
      <c r="T95" s="5"/>
      <c r="U95" s="5"/>
      <c r="V95" s="5"/>
      <c r="W95" s="5"/>
      <c r="X95" s="5"/>
      <c r="Y95" s="5"/>
      <c r="Z95" s="5"/>
      <c r="AA95" s="5"/>
      <c r="AB95" s="5"/>
      <c r="AC95" s="5"/>
      <c r="AD95" s="5"/>
      <c r="AE95" s="5"/>
      <c r="AF95" s="5"/>
      <c r="AG95" s="5"/>
      <c r="AH95" s="5"/>
      <c r="AI95" s="5"/>
      <c r="AJ95" s="5"/>
      <c r="AK95" s="5"/>
      <c r="AL95" s="5"/>
      <c r="AM95" s="5"/>
      <c r="AN95" s="5"/>
    </row>
    <row r="96" spans="2:40" x14ac:dyDescent="0.3">
      <c r="B96" s="5"/>
      <c r="C96" s="5"/>
      <c r="D96" s="5"/>
      <c r="E96" s="5"/>
      <c r="F96" s="5"/>
      <c r="G96" s="5"/>
      <c r="H96" s="5"/>
      <c r="I96" s="5"/>
      <c r="J96" s="5"/>
      <c r="K96" s="5"/>
      <c r="L96" s="5"/>
      <c r="M96" s="5"/>
      <c r="N96" s="5"/>
      <c r="O96" s="5"/>
      <c r="P96" s="5"/>
      <c r="Q96" s="5"/>
      <c r="R96" s="5"/>
      <c r="S96" s="5"/>
      <c r="T96" s="5"/>
      <c r="U96" s="5"/>
      <c r="V96" s="5"/>
      <c r="W96" s="5"/>
      <c r="X96" s="5"/>
      <c r="Y96" s="5"/>
      <c r="Z96" s="5"/>
      <c r="AA96" s="5"/>
      <c r="AB96" s="5"/>
      <c r="AC96" s="5"/>
      <c r="AD96" s="5"/>
      <c r="AE96" s="5"/>
      <c r="AF96" s="5"/>
      <c r="AG96" s="5"/>
      <c r="AH96" s="5"/>
      <c r="AI96" s="5"/>
      <c r="AJ96" s="5"/>
      <c r="AK96" s="5"/>
      <c r="AL96" s="5"/>
      <c r="AM96" s="5"/>
      <c r="AN96" s="5"/>
    </row>
    <row r="97" spans="2:40" x14ac:dyDescent="0.3">
      <c r="B97" s="5"/>
      <c r="C97" s="5"/>
      <c r="D97" s="5"/>
      <c r="E97" s="5"/>
      <c r="F97" s="5"/>
      <c r="G97" s="5"/>
      <c r="H97" s="5"/>
      <c r="I97" s="5"/>
      <c r="J97" s="5"/>
      <c r="K97" s="5"/>
      <c r="L97" s="5"/>
      <c r="M97" s="5"/>
      <c r="N97" s="5"/>
      <c r="O97" s="5"/>
      <c r="P97" s="5"/>
      <c r="Q97" s="5"/>
      <c r="R97" s="5"/>
      <c r="S97" s="5"/>
      <c r="T97" s="5"/>
      <c r="U97" s="5"/>
      <c r="V97" s="5"/>
      <c r="W97" s="5"/>
      <c r="X97" s="5"/>
      <c r="Y97" s="5"/>
      <c r="Z97" s="5"/>
      <c r="AA97" s="5"/>
      <c r="AB97" s="5"/>
      <c r="AC97" s="5"/>
      <c r="AD97" s="5"/>
      <c r="AE97" s="5"/>
      <c r="AF97" s="5"/>
      <c r="AG97" s="5"/>
      <c r="AH97" s="5"/>
      <c r="AI97" s="5"/>
      <c r="AJ97" s="5"/>
      <c r="AK97" s="5"/>
      <c r="AL97" s="5"/>
      <c r="AM97" s="5"/>
      <c r="AN97" s="5"/>
    </row>
    <row r="98" spans="2:40" x14ac:dyDescent="0.3">
      <c r="B98" s="5"/>
      <c r="C98" s="5"/>
      <c r="D98" s="5"/>
      <c r="E98" s="5"/>
      <c r="F98" s="5"/>
      <c r="G98" s="5"/>
      <c r="H98" s="5"/>
      <c r="I98" s="5"/>
      <c r="J98" s="5"/>
      <c r="K98" s="5"/>
      <c r="L98" s="5"/>
      <c r="M98" s="5"/>
      <c r="N98" s="5"/>
      <c r="O98" s="5"/>
      <c r="P98" s="5"/>
      <c r="Q98" s="5"/>
      <c r="R98" s="5"/>
      <c r="S98" s="5"/>
      <c r="T98" s="5"/>
      <c r="U98" s="5"/>
      <c r="V98" s="5"/>
      <c r="W98" s="5"/>
      <c r="X98" s="5"/>
      <c r="Y98" s="5"/>
      <c r="Z98" s="5"/>
      <c r="AA98" s="5"/>
      <c r="AB98" s="5"/>
      <c r="AC98" s="5"/>
      <c r="AD98" s="5"/>
      <c r="AE98" s="5"/>
      <c r="AF98" s="5"/>
      <c r="AG98" s="5"/>
      <c r="AH98" s="5"/>
      <c r="AI98" s="5"/>
      <c r="AJ98" s="5"/>
      <c r="AK98" s="5"/>
      <c r="AL98" s="5"/>
      <c r="AM98" s="5"/>
      <c r="AN98" s="5"/>
    </row>
    <row r="99" spans="2:40" x14ac:dyDescent="0.3">
      <c r="B99" s="5"/>
      <c r="C99" s="5"/>
      <c r="D99" s="5"/>
      <c r="E99" s="5"/>
      <c r="F99" s="5"/>
      <c r="G99" s="5"/>
      <c r="H99" s="5"/>
      <c r="I99" s="5"/>
      <c r="J99" s="5"/>
      <c r="K99" s="5"/>
      <c r="L99" s="5"/>
      <c r="M99" s="5"/>
      <c r="N99" s="5"/>
      <c r="O99" s="5"/>
      <c r="P99" s="5"/>
      <c r="Q99" s="5"/>
      <c r="R99" s="5"/>
      <c r="S99" s="5"/>
      <c r="T99" s="5"/>
      <c r="U99" s="5"/>
      <c r="V99" s="5"/>
      <c r="W99" s="5"/>
      <c r="X99" s="5"/>
      <c r="Y99" s="5"/>
      <c r="Z99" s="5"/>
      <c r="AA99" s="5"/>
      <c r="AB99" s="5"/>
      <c r="AC99" s="5"/>
      <c r="AD99" s="5"/>
      <c r="AE99" s="5"/>
      <c r="AF99" s="5"/>
      <c r="AG99" s="5"/>
      <c r="AH99" s="5"/>
      <c r="AI99" s="5"/>
      <c r="AJ99" s="5"/>
      <c r="AK99" s="5"/>
      <c r="AL99" s="5"/>
      <c r="AM99" s="5"/>
      <c r="AN99" s="5"/>
    </row>
    <row r="100" spans="2:40" x14ac:dyDescent="0.3">
      <c r="B100" s="5"/>
      <c r="C100" s="5"/>
      <c r="D100" s="5"/>
      <c r="E100" s="5"/>
      <c r="F100" s="5"/>
      <c r="G100" s="5"/>
      <c r="H100" s="5"/>
      <c r="I100" s="5"/>
      <c r="J100" s="5"/>
      <c r="K100" s="5"/>
      <c r="L100" s="5"/>
      <c r="M100" s="5"/>
      <c r="N100" s="5"/>
      <c r="O100" s="5"/>
      <c r="P100" s="5"/>
      <c r="Q100" s="5"/>
      <c r="R100" s="5"/>
      <c r="S100" s="5"/>
      <c r="T100" s="5"/>
      <c r="U100" s="5"/>
      <c r="V100" s="5"/>
      <c r="W100" s="5"/>
      <c r="X100" s="5"/>
      <c r="Y100" s="5"/>
      <c r="Z100" s="5"/>
      <c r="AA100" s="5"/>
      <c r="AB100" s="5"/>
      <c r="AC100" s="5"/>
      <c r="AD100" s="5"/>
      <c r="AE100" s="5"/>
      <c r="AF100" s="5"/>
      <c r="AG100" s="5"/>
      <c r="AH100" s="5"/>
      <c r="AI100" s="5"/>
      <c r="AJ100" s="5"/>
      <c r="AK100" s="5"/>
      <c r="AL100" s="5"/>
      <c r="AM100" s="5"/>
      <c r="AN100" s="5"/>
    </row>
  </sheetData>
  <pageMargins left="0.7" right="0.7" top="0.75" bottom="0.75" header="0.3" footer="0.3"/>
  <ignoredErrors>
    <ignoredError sqref="AL5:AN5" formula="1"/>
  </ignoredErrors>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204FD5-B977-4CC1-97FF-A141BE46331E}">
  <sheetPr>
    <tabColor rgb="FF8C8C8C"/>
  </sheetPr>
  <dimension ref="A1:C16"/>
  <sheetViews>
    <sheetView workbookViewId="0">
      <pane ySplit="2" topLeftCell="A3" activePane="bottomLeft" state="frozen"/>
      <selection pane="bottomLeft" activeCell="D12" sqref="D12"/>
    </sheetView>
  </sheetViews>
  <sheetFormatPr defaultRowHeight="14.4" x14ac:dyDescent="0.3"/>
  <cols>
    <col min="1" max="1" width="18.5546875" customWidth="1"/>
    <col min="2" max="2" width="10.5546875" bestFit="1" customWidth="1"/>
    <col min="3" max="3" width="68.109375" bestFit="1" customWidth="1"/>
    <col min="4" max="7" width="20.33203125" customWidth="1"/>
  </cols>
  <sheetData>
    <row r="1" spans="1:3" ht="24" customHeight="1" x14ac:dyDescent="0.3">
      <c r="A1" s="273" t="s">
        <v>236</v>
      </c>
      <c r="B1" s="273" t="s">
        <v>237</v>
      </c>
      <c r="C1" s="273" t="s">
        <v>238</v>
      </c>
    </row>
    <row r="2" spans="1:3" x14ac:dyDescent="0.3">
      <c r="A2" s="297" t="s">
        <v>239</v>
      </c>
      <c r="B2" s="298">
        <v>46078</v>
      </c>
      <c r="C2" s="297" t="s">
        <v>240</v>
      </c>
    </row>
    <row r="3" spans="1:3" x14ac:dyDescent="0.3">
      <c r="A3" s="297" t="s">
        <v>242</v>
      </c>
      <c r="B3" s="298">
        <v>46081</v>
      </c>
      <c r="C3" s="297" t="s">
        <v>241</v>
      </c>
    </row>
    <row r="4" spans="1:3" x14ac:dyDescent="0.3">
      <c r="A4" s="297" t="s">
        <v>244</v>
      </c>
      <c r="B4" s="298">
        <v>46085</v>
      </c>
      <c r="C4" s="297" t="s">
        <v>243</v>
      </c>
    </row>
    <row r="5" spans="1:3" x14ac:dyDescent="0.3">
      <c r="A5" s="297" t="s">
        <v>245</v>
      </c>
      <c r="B5" s="298">
        <v>46089</v>
      </c>
      <c r="C5" s="297" t="s">
        <v>246</v>
      </c>
    </row>
    <row r="6" spans="1:3" x14ac:dyDescent="0.3">
      <c r="A6" s="297" t="s">
        <v>247</v>
      </c>
      <c r="B6" s="298">
        <v>46098</v>
      </c>
      <c r="C6" s="297" t="s">
        <v>249</v>
      </c>
    </row>
    <row r="7" spans="1:3" x14ac:dyDescent="0.3">
      <c r="A7" s="297" t="s">
        <v>248</v>
      </c>
      <c r="B7" s="298">
        <v>46099</v>
      </c>
      <c r="C7" s="297" t="s">
        <v>250</v>
      </c>
    </row>
    <row r="8" spans="1:3" x14ac:dyDescent="0.3">
      <c r="A8" s="297" t="s">
        <v>251</v>
      </c>
      <c r="B8" s="298">
        <v>46107</v>
      </c>
      <c r="C8" s="297" t="s">
        <v>252</v>
      </c>
    </row>
    <row r="9" spans="1:3" x14ac:dyDescent="0.3">
      <c r="A9" s="297" t="s">
        <v>565</v>
      </c>
      <c r="B9" s="298">
        <v>46124</v>
      </c>
      <c r="C9" s="297" t="s">
        <v>566</v>
      </c>
    </row>
    <row r="10" spans="1:3" x14ac:dyDescent="0.3">
      <c r="A10" s="297" t="s">
        <v>567</v>
      </c>
      <c r="B10" s="298">
        <v>46125</v>
      </c>
      <c r="C10" s="297" t="s">
        <v>568</v>
      </c>
    </row>
    <row r="11" spans="1:3" x14ac:dyDescent="0.3">
      <c r="A11" s="297" t="s">
        <v>569</v>
      </c>
      <c r="B11" s="298">
        <v>46138</v>
      </c>
      <c r="C11" s="297" t="s">
        <v>573</v>
      </c>
    </row>
    <row r="12" spans="1:3" x14ac:dyDescent="0.3">
      <c r="A12" s="297" t="s">
        <v>570</v>
      </c>
      <c r="B12" s="298">
        <v>46164</v>
      </c>
      <c r="C12" s="297" t="s">
        <v>571</v>
      </c>
    </row>
    <row r="13" spans="1:3" x14ac:dyDescent="0.3">
      <c r="A13" s="297" t="s">
        <v>572</v>
      </c>
      <c r="B13" s="298">
        <v>46165</v>
      </c>
      <c r="C13" s="297" t="s">
        <v>574</v>
      </c>
    </row>
    <row r="14" spans="1:3" x14ac:dyDescent="0.3">
      <c r="A14" s="297" t="s">
        <v>764</v>
      </c>
      <c r="B14" s="298">
        <v>46174</v>
      </c>
      <c r="C14" s="297" t="s">
        <v>795</v>
      </c>
    </row>
    <row r="15" spans="1:3" x14ac:dyDescent="0.3">
      <c r="A15" s="349" t="s">
        <v>765</v>
      </c>
      <c r="B15" s="298">
        <v>46177</v>
      </c>
      <c r="C15" s="297" t="s">
        <v>762</v>
      </c>
    </row>
    <row r="16" spans="1:3" x14ac:dyDescent="0.3">
      <c r="A16" s="297" t="s">
        <v>788</v>
      </c>
      <c r="B16" s="451">
        <v>46178</v>
      </c>
      <c r="C16" s="349" t="s">
        <v>763</v>
      </c>
    </row>
  </sheetData>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27</vt:i4>
      </vt:variant>
    </vt:vector>
  </HeadingPairs>
  <TitlesOfParts>
    <vt:vector size="27" baseType="lpstr">
      <vt:lpstr>00_Executive_Summary</vt:lpstr>
      <vt:lpstr>01_Dashboard</vt:lpstr>
      <vt:lpstr>02_Valuation</vt:lpstr>
      <vt:lpstr>03_KPIs</vt:lpstr>
      <vt:lpstr>10_Income_Statement</vt:lpstr>
      <vt:lpstr>11_Cash_Flow</vt:lpstr>
      <vt:lpstr>12_Balance Sheet</vt:lpstr>
      <vt:lpstr>20_Capital_Sensitivity</vt:lpstr>
      <vt:lpstr>21_Scenarios</vt:lpstr>
      <vt:lpstr>22_Scenario_Compare</vt:lpstr>
      <vt:lpstr>23_Time</vt:lpstr>
      <vt:lpstr>30_Assumptions_Rationale</vt:lpstr>
      <vt:lpstr>31_Inputs_UnitEconomics</vt:lpstr>
      <vt:lpstr>32_Inputs_GrowthRetention</vt:lpstr>
      <vt:lpstr>33_Inputs_Opex_Headcount</vt:lpstr>
      <vt:lpstr>34_Inputs_Opex_NonPeople</vt:lpstr>
      <vt:lpstr>35_Inputs_Capex_WC</vt:lpstr>
      <vt:lpstr>36_Inputs_Funding</vt:lpstr>
      <vt:lpstr>37_Inputs_Tax</vt:lpstr>
      <vt:lpstr>38_Inputs_Valuation</vt:lpstr>
      <vt:lpstr>40_Customers_Orders</vt:lpstr>
      <vt:lpstr>41_Revenue_COGS</vt:lpstr>
      <vt:lpstr>42_OPEX</vt:lpstr>
      <vt:lpstr>43_CAPEX_Depreciation</vt:lpstr>
      <vt:lpstr>44_Working_Capital</vt:lpstr>
      <vt:lpstr>45_Funding_Interest_Equity</vt:lpstr>
      <vt:lpstr>90_Version_Log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Balachandar Vasan</dc:creator>
  <cp:lastModifiedBy>Balachandar Vasan</cp:lastModifiedBy>
  <dcterms:created xsi:type="dcterms:W3CDTF">2026-02-17T05:54:10Z</dcterms:created>
  <dcterms:modified xsi:type="dcterms:W3CDTF">2026-06-04T16:18:08Z</dcterms:modified>
</cp:coreProperties>
</file>