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chandar.v\Documents\Personal_Docs\Financial Modelling Projects\Fintech_3Statement_Model_PUBLIC\"/>
    </mc:Choice>
  </mc:AlternateContent>
  <xr:revisionPtr revIDLastSave="0" documentId="13_ncr:1_{139CBD5F-A569-4F9D-8B9E-71C62F7D4436}" xr6:coauthVersionLast="47" xr6:coauthVersionMax="47" xr10:uidLastSave="{00000000-0000-0000-0000-000000000000}"/>
  <bookViews>
    <workbookView xWindow="-108" yWindow="-108" windowWidth="23256" windowHeight="13896" tabRatio="885" activeTab="1" xr2:uid="{717AF408-4C1C-46FF-90E8-FA899106E1E6}"/>
  </bookViews>
  <sheets>
    <sheet name="00_Executive_Summary" sheetId="28" r:id="rId1"/>
    <sheet name="01_Dashboard" sheetId="27" r:id="rId2"/>
    <sheet name="02_Valuation" sheetId="19" r:id="rId3"/>
    <sheet name="03_KPIs" sheetId="20" r:id="rId4"/>
    <sheet name="10_Income_Statement" sheetId="21" r:id="rId5"/>
    <sheet name="11_Cash_Flow" sheetId="23" r:id="rId6"/>
    <sheet name="12_Balance Sheet" sheetId="22" r:id="rId7"/>
    <sheet name="20_Capital_Sensitivity" sheetId="25" r:id="rId8"/>
    <sheet name="21_Scenarios" sheetId="3" r:id="rId9"/>
    <sheet name="22_Scenario_Compare" sheetId="26" r:id="rId10"/>
    <sheet name="23_Time" sheetId="1" r:id="rId11"/>
    <sheet name="30_Assumptions_Rationale" sheetId="2" r:id="rId12"/>
    <sheet name="31_Inputs_UnitEconomics" sheetId="5" r:id="rId13"/>
    <sheet name="32_Inputs_GrowthRetention" sheetId="6" r:id="rId14"/>
    <sheet name="33_Inputs_Opex_Headcount" sheetId="7" r:id="rId15"/>
    <sheet name="34_Inputs_Opex_NonPeople" sheetId="9" r:id="rId16"/>
    <sheet name="35_Inputs_Capex_WC" sheetId="10" r:id="rId17"/>
    <sheet name="36_Inputs_Funding" sheetId="11" r:id="rId18"/>
    <sheet name="37_Inputs_Tax" sheetId="12" r:id="rId19"/>
    <sheet name="40_Customers_Orders" sheetId="13" r:id="rId20"/>
    <sheet name="41_Revenue_COGS" sheetId="14" r:id="rId21"/>
    <sheet name="42_OPEX" sheetId="15" r:id="rId22"/>
    <sheet name="43_CAPEX_Depreciation" sheetId="16" r:id="rId23"/>
    <sheet name="44_Working_Capital" sheetId="17" r:id="rId24"/>
    <sheet name="45_Funding_Interest_Equity" sheetId="18" r:id="rId25"/>
    <sheet name="90_Version_Log" sheetId="29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2" i="3"/>
  <c r="I2" i="3"/>
  <c r="C11" i="15" l="1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B11" i="15"/>
  <c r="I8" i="7"/>
  <c r="B3" i="15"/>
  <c r="B5" i="15" s="1"/>
  <c r="D18" i="5"/>
  <c r="P12" i="14" s="1"/>
  <c r="O22" i="27"/>
  <c r="M22" i="27"/>
  <c r="C10" i="6"/>
  <c r="B4" i="11"/>
  <c r="B9" i="21"/>
  <c r="B13" i="22"/>
  <c r="B4" i="23"/>
  <c r="AL3" i="18"/>
  <c r="O4" i="18"/>
  <c r="O10" i="23" s="1"/>
  <c r="S4" i="18"/>
  <c r="S10" i="23" s="1"/>
  <c r="U4" i="18"/>
  <c r="U10" i="23" s="1"/>
  <c r="AL3" i="17"/>
  <c r="AL3" i="15"/>
  <c r="AL6" i="16"/>
  <c r="AL4" i="16"/>
  <c r="AM4" i="16"/>
  <c r="AN4" i="16"/>
  <c r="B7" i="16"/>
  <c r="B5" i="10"/>
  <c r="B6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B4" i="16"/>
  <c r="B5" i="17"/>
  <c r="C19" i="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B8" i="15"/>
  <c r="H7" i="9"/>
  <c r="D8" i="7"/>
  <c r="E8" i="7"/>
  <c r="C8" i="7"/>
  <c r="E7" i="7"/>
  <c r="E6" i="7"/>
  <c r="E5" i="7"/>
  <c r="E4" i="7"/>
  <c r="E3" i="7"/>
  <c r="D4" i="15"/>
  <c r="E4" i="15"/>
  <c r="F4" i="15"/>
  <c r="G4" i="15"/>
  <c r="H4" i="15"/>
  <c r="I4" i="15"/>
  <c r="J4" i="15"/>
  <c r="AE4" i="15"/>
  <c r="AF4" i="15"/>
  <c r="B4" i="15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B13" i="14"/>
  <c r="D4" i="5"/>
  <c r="B4" i="13"/>
  <c r="B3" i="13"/>
  <c r="AL3" i="13" s="1"/>
  <c r="D15" i="6"/>
  <c r="C20" i="27" s="1"/>
  <c r="D9" i="6"/>
  <c r="D10" i="6" s="1"/>
  <c r="D5" i="6"/>
  <c r="N14" i="7"/>
  <c r="N4" i="15" s="1"/>
  <c r="O14" i="7"/>
  <c r="O4" i="15" s="1"/>
  <c r="P14" i="7"/>
  <c r="P4" i="15" s="1"/>
  <c r="Q14" i="7"/>
  <c r="Q4" i="15" s="1"/>
  <c r="R14" i="7"/>
  <c r="R4" i="15" s="1"/>
  <c r="S14" i="7"/>
  <c r="S4" i="15" s="1"/>
  <c r="T14" i="7"/>
  <c r="T4" i="15" s="1"/>
  <c r="U14" i="7"/>
  <c r="U4" i="15" s="1"/>
  <c r="V14" i="7"/>
  <c r="V4" i="15" s="1"/>
  <c r="W14" i="7"/>
  <c r="W4" i="15" s="1"/>
  <c r="X14" i="7"/>
  <c r="X4" i="15" s="1"/>
  <c r="Y14" i="7"/>
  <c r="Y4" i="15" s="1"/>
  <c r="Z14" i="7"/>
  <c r="Z4" i="15" s="1"/>
  <c r="AA14" i="7"/>
  <c r="AA4" i="15" s="1"/>
  <c r="AB14" i="7"/>
  <c r="AB4" i="15" s="1"/>
  <c r="AC14" i="7"/>
  <c r="AC4" i="15" s="1"/>
  <c r="AD14" i="7"/>
  <c r="AD4" i="15" s="1"/>
  <c r="AE14" i="7"/>
  <c r="AF14" i="7"/>
  <c r="AG14" i="7"/>
  <c r="AG4" i="15" s="1"/>
  <c r="AH14" i="7"/>
  <c r="AH4" i="15" s="1"/>
  <c r="AI14" i="7"/>
  <c r="AI4" i="15" s="1"/>
  <c r="AJ14" i="7"/>
  <c r="AJ4" i="15" s="1"/>
  <c r="AK14" i="7"/>
  <c r="AK4" i="15" s="1"/>
  <c r="D14" i="7"/>
  <c r="E14" i="7"/>
  <c r="F14" i="7"/>
  <c r="G14" i="7"/>
  <c r="H14" i="7"/>
  <c r="I14" i="7"/>
  <c r="J14" i="7"/>
  <c r="K14" i="7"/>
  <c r="K4" i="15" s="1"/>
  <c r="L14" i="7"/>
  <c r="L4" i="15" s="1"/>
  <c r="M14" i="7"/>
  <c r="M4" i="15" s="1"/>
  <c r="C14" i="7"/>
  <c r="C4" i="15" s="1"/>
  <c r="A13" i="7" a="1"/>
  <c r="A13" i="7" s="1"/>
  <c r="AN3" i="22"/>
  <c r="AM3" i="22"/>
  <c r="AL3" i="22"/>
  <c r="A1" i="23" a="1"/>
  <c r="A1" i="23" s="1"/>
  <c r="A1" i="22" a="1"/>
  <c r="A1" i="22" s="1"/>
  <c r="A1" i="21" a="1"/>
  <c r="A1" i="21" s="1"/>
  <c r="A1" i="20" a="1"/>
  <c r="A1" i="20" s="1"/>
  <c r="A1" i="18" a="1"/>
  <c r="A1" i="18" s="1"/>
  <c r="A1" i="17" a="1"/>
  <c r="A1" i="17" s="1"/>
  <c r="A1" i="16" a="1"/>
  <c r="A1" i="16" s="1"/>
  <c r="A1" i="15" a="1"/>
  <c r="A1" i="15" s="1"/>
  <c r="A1" i="14" a="1"/>
  <c r="A1" i="14" s="1"/>
  <c r="A1" i="13" a="1"/>
  <c r="A1" i="13" s="1"/>
  <c r="T4" i="18" l="1"/>
  <c r="T10" i="23" s="1"/>
  <c r="N4" i="18"/>
  <c r="N10" i="23" s="1"/>
  <c r="M4" i="18"/>
  <c r="M10" i="23" s="1"/>
  <c r="U7" i="18"/>
  <c r="U11" i="23" s="1"/>
  <c r="B9" i="15"/>
  <c r="AN4" i="15"/>
  <c r="AL4" i="15"/>
  <c r="AM11" i="15"/>
  <c r="AN11" i="15"/>
  <c r="AL11" i="15"/>
  <c r="AM4" i="15"/>
  <c r="AM8" i="15"/>
  <c r="AN8" i="15"/>
  <c r="AL8" i="15"/>
  <c r="B5" i="19"/>
  <c r="B4" i="19"/>
  <c r="C3" i="15"/>
  <c r="C5" i="15" s="1"/>
  <c r="B6" i="15"/>
  <c r="B3" i="16" s="1"/>
  <c r="C4" i="13"/>
  <c r="B5" i="13"/>
  <c r="M7" i="18"/>
  <c r="M11" i="23" s="1"/>
  <c r="I7" i="18"/>
  <c r="I11" i="23" s="1"/>
  <c r="G7" i="18"/>
  <c r="G11" i="23" s="1"/>
  <c r="B7" i="18"/>
  <c r="B11" i="23" s="1"/>
  <c r="AK7" i="18"/>
  <c r="AK11" i="23" s="1"/>
  <c r="AJ7" i="18"/>
  <c r="AJ11" i="23" s="1"/>
  <c r="AE7" i="18"/>
  <c r="AE11" i="23" s="1"/>
  <c r="X7" i="18"/>
  <c r="X11" i="23" s="1"/>
  <c r="W7" i="18"/>
  <c r="W11" i="23" s="1"/>
  <c r="T7" i="18"/>
  <c r="T11" i="23" s="1"/>
  <c r="S7" i="18"/>
  <c r="S11" i="23" s="1"/>
  <c r="R7" i="18"/>
  <c r="R11" i="23" s="1"/>
  <c r="Q7" i="18"/>
  <c r="Q11" i="23" s="1"/>
  <c r="P7" i="18"/>
  <c r="P11" i="23" s="1"/>
  <c r="N7" i="18"/>
  <c r="N11" i="23" s="1"/>
  <c r="O7" i="18"/>
  <c r="O11" i="23" s="1"/>
  <c r="L7" i="18"/>
  <c r="L11" i="23" s="1"/>
  <c r="K7" i="18"/>
  <c r="K11" i="23" s="1"/>
  <c r="J7" i="18"/>
  <c r="J11" i="23" s="1"/>
  <c r="AI7" i="18"/>
  <c r="AI11" i="23" s="1"/>
  <c r="F7" i="18"/>
  <c r="F11" i="23" s="1"/>
  <c r="AH7" i="18"/>
  <c r="AH11" i="23" s="1"/>
  <c r="D7" i="18"/>
  <c r="D11" i="23" s="1"/>
  <c r="AG7" i="18"/>
  <c r="AG11" i="23" s="1"/>
  <c r="C7" i="18"/>
  <c r="AF7" i="18"/>
  <c r="AF11" i="23" s="1"/>
  <c r="B3" i="11"/>
  <c r="AC7" i="18"/>
  <c r="AC11" i="23" s="1"/>
  <c r="AB7" i="18"/>
  <c r="AB11" i="23" s="1"/>
  <c r="Z7" i="18"/>
  <c r="Z11" i="23" s="1"/>
  <c r="Y7" i="18"/>
  <c r="Y11" i="23" s="1"/>
  <c r="AD7" i="18"/>
  <c r="AD11" i="23" s="1"/>
  <c r="H7" i="18"/>
  <c r="H11" i="23" s="1"/>
  <c r="AA7" i="18"/>
  <c r="AA11" i="23" s="1"/>
  <c r="E7" i="18"/>
  <c r="E11" i="23" s="1"/>
  <c r="V7" i="18"/>
  <c r="V11" i="23" s="1"/>
  <c r="R4" i="18"/>
  <c r="R10" i="23" s="1"/>
  <c r="Q4" i="18"/>
  <c r="Q10" i="23" s="1"/>
  <c r="P4" i="18"/>
  <c r="P10" i="23" s="1"/>
  <c r="AK4" i="18"/>
  <c r="AK10" i="23" s="1"/>
  <c r="AJ4" i="18"/>
  <c r="AJ10" i="23" s="1"/>
  <c r="AI4" i="18"/>
  <c r="AI10" i="23" s="1"/>
  <c r="B4" i="18"/>
  <c r="AG4" i="18"/>
  <c r="AG10" i="23" s="1"/>
  <c r="K4" i="18"/>
  <c r="K10" i="23" s="1"/>
  <c r="AF4" i="18"/>
  <c r="AF10" i="23" s="1"/>
  <c r="J4" i="18"/>
  <c r="J10" i="23" s="1"/>
  <c r="C4" i="18"/>
  <c r="C10" i="23" s="1"/>
  <c r="AE4" i="18"/>
  <c r="AE10" i="23" s="1"/>
  <c r="I4" i="18"/>
  <c r="I10" i="23" s="1"/>
  <c r="AB4" i="18"/>
  <c r="AB10" i="23" s="1"/>
  <c r="F4" i="18"/>
  <c r="F10" i="23" s="1"/>
  <c r="AA4" i="18"/>
  <c r="AA10" i="23" s="1"/>
  <c r="E4" i="18"/>
  <c r="E10" i="23" s="1"/>
  <c r="Z4" i="18"/>
  <c r="Z10" i="23" s="1"/>
  <c r="D4" i="18"/>
  <c r="D10" i="23" s="1"/>
  <c r="Y4" i="18"/>
  <c r="Y10" i="23" s="1"/>
  <c r="L4" i="18"/>
  <c r="L10" i="23" s="1"/>
  <c r="AD4" i="18"/>
  <c r="AD10" i="23" s="1"/>
  <c r="G4" i="18"/>
  <c r="G10" i="23" s="1"/>
  <c r="AH4" i="18"/>
  <c r="AH10" i="23" s="1"/>
  <c r="H4" i="18"/>
  <c r="H10" i="23" s="1"/>
  <c r="AC4" i="18"/>
  <c r="AC10" i="23" s="1"/>
  <c r="X4" i="18"/>
  <c r="X10" i="23" s="1"/>
  <c r="W4" i="18"/>
  <c r="W10" i="23" s="1"/>
  <c r="V4" i="18"/>
  <c r="AJ12" i="14"/>
  <c r="N12" i="14"/>
  <c r="AI12" i="14"/>
  <c r="M12" i="14"/>
  <c r="AH12" i="14"/>
  <c r="L12" i="14"/>
  <c r="H12" i="14"/>
  <c r="U12" i="14"/>
  <c r="O12" i="14"/>
  <c r="AG12" i="14"/>
  <c r="AE12" i="14"/>
  <c r="AD12" i="14"/>
  <c r="AC12" i="14"/>
  <c r="AB12" i="14"/>
  <c r="AA12" i="14"/>
  <c r="Z12" i="14"/>
  <c r="B12" i="14"/>
  <c r="K12" i="14"/>
  <c r="J12" i="14"/>
  <c r="I12" i="14"/>
  <c r="G12" i="14"/>
  <c r="AK12" i="14"/>
  <c r="AF12" i="14"/>
  <c r="Y12" i="14"/>
  <c r="X12" i="14"/>
  <c r="W12" i="14"/>
  <c r="V12" i="14"/>
  <c r="T12" i="14"/>
  <c r="F12" i="14"/>
  <c r="S12" i="14"/>
  <c r="E12" i="14"/>
  <c r="R12" i="14"/>
  <c r="D12" i="14"/>
  <c r="Q12" i="14"/>
  <c r="C12" i="14"/>
  <c r="AN10" i="23" l="1"/>
  <c r="B10" i="15"/>
  <c r="B12" i="15" s="1"/>
  <c r="C9" i="15"/>
  <c r="C10" i="15" s="1"/>
  <c r="C12" i="15" s="1"/>
  <c r="D4" i="13"/>
  <c r="D3" i="15"/>
  <c r="D5" i="15" s="1"/>
  <c r="C6" i="15"/>
  <c r="C11" i="23"/>
  <c r="AL11" i="23" s="1"/>
  <c r="C13" i="22"/>
  <c r="D13" i="22" s="1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AH13" i="22" s="1"/>
  <c r="AI13" i="22" s="1"/>
  <c r="AJ13" i="22" s="1"/>
  <c r="AK13" i="22" s="1"/>
  <c r="B6" i="13"/>
  <c r="B7" i="13" s="1"/>
  <c r="B8" i="13" s="1"/>
  <c r="B7" i="15" s="1"/>
  <c r="AM11" i="23"/>
  <c r="AN11" i="23"/>
  <c r="AM7" i="18"/>
  <c r="AN7" i="18"/>
  <c r="AL7" i="18"/>
  <c r="B5" i="18"/>
  <c r="B11" i="22" s="1"/>
  <c r="B10" i="23"/>
  <c r="AL10" i="23" s="1"/>
  <c r="AM4" i="18"/>
  <c r="V10" i="23"/>
  <c r="AM10" i="23" s="1"/>
  <c r="AN4" i="18"/>
  <c r="AL4" i="18"/>
  <c r="B13" i="15" l="1"/>
  <c r="B7" i="21" s="1"/>
  <c r="E4" i="13"/>
  <c r="D9" i="15"/>
  <c r="D10" i="15" s="1"/>
  <c r="D12" i="15" s="1"/>
  <c r="C3" i="16"/>
  <c r="C5" i="16" s="1"/>
  <c r="C9" i="23" s="1"/>
  <c r="B5" i="16"/>
  <c r="E3" i="15"/>
  <c r="E5" i="15" s="1"/>
  <c r="D6" i="15"/>
  <c r="D3" i="16" s="1"/>
  <c r="B8" i="14"/>
  <c r="B9" i="13"/>
  <c r="B3" i="14"/>
  <c r="B6" i="14" s="1"/>
  <c r="B5" i="21" s="1"/>
  <c r="C3" i="13"/>
  <c r="C5" i="13" s="1"/>
  <c r="B14" i="14"/>
  <c r="B15" i="14" s="1"/>
  <c r="B4" i="17" s="1"/>
  <c r="B6" i="17" s="1"/>
  <c r="C3" i="17" s="1"/>
  <c r="B9" i="14"/>
  <c r="B10" i="14" s="1"/>
  <c r="AL13" i="22"/>
  <c r="C3" i="18"/>
  <c r="C5" i="18" s="1"/>
  <c r="C11" i="22" s="1"/>
  <c r="B6" i="18"/>
  <c r="B11" i="21" s="1"/>
  <c r="E9" i="15" l="1"/>
  <c r="E10" i="15" s="1"/>
  <c r="E12" i="15" s="1"/>
  <c r="F4" i="13"/>
  <c r="B9" i="23"/>
  <c r="B8" i="16"/>
  <c r="F3" i="15"/>
  <c r="F5" i="15" s="1"/>
  <c r="E6" i="15"/>
  <c r="B11" i="14"/>
  <c r="B5" i="14"/>
  <c r="B4" i="21" s="1"/>
  <c r="B4" i="14"/>
  <c r="B16" i="14"/>
  <c r="C6" i="13"/>
  <c r="C7" i="13" s="1"/>
  <c r="B9" i="17"/>
  <c r="B8" i="23"/>
  <c r="B6" i="22"/>
  <c r="D3" i="18"/>
  <c r="D5" i="18" s="1"/>
  <c r="D11" i="22" s="1"/>
  <c r="C6" i="18"/>
  <c r="C11" i="21" s="1"/>
  <c r="B17" i="14"/>
  <c r="B4" i="20" s="1"/>
  <c r="C5" i="17"/>
  <c r="G4" i="13" l="1"/>
  <c r="F9" i="15"/>
  <c r="E3" i="16"/>
  <c r="E5" i="16" s="1"/>
  <c r="E9" i="23" s="1"/>
  <c r="D5" i="16"/>
  <c r="C6" i="16"/>
  <c r="B7" i="22"/>
  <c r="G3" i="15"/>
  <c r="G5" i="15" s="1"/>
  <c r="F6" i="15"/>
  <c r="B8" i="17"/>
  <c r="B6" i="23" s="1"/>
  <c r="B7" i="14"/>
  <c r="C8" i="13"/>
  <c r="D3" i="13"/>
  <c r="D5" i="13" s="1"/>
  <c r="D6" i="13" s="1"/>
  <c r="D7" i="13" s="1"/>
  <c r="D8" i="13" s="1"/>
  <c r="C9" i="13"/>
  <c r="B18" i="14"/>
  <c r="B3" i="21" s="1"/>
  <c r="B10" i="22"/>
  <c r="B7" i="23"/>
  <c r="E3" i="18"/>
  <c r="E5" i="18" s="1"/>
  <c r="E11" i="22" s="1"/>
  <c r="D6" i="18"/>
  <c r="D11" i="21" s="1"/>
  <c r="G9" i="15" l="1"/>
  <c r="G10" i="15" s="1"/>
  <c r="G12" i="15" s="1"/>
  <c r="F10" i="15"/>
  <c r="F12" i="15" s="1"/>
  <c r="H4" i="13"/>
  <c r="F3" i="16"/>
  <c r="F5" i="16" s="1"/>
  <c r="F9" i="23" s="1"/>
  <c r="H3" i="15"/>
  <c r="H5" i="15" s="1"/>
  <c r="G6" i="15"/>
  <c r="C7" i="16"/>
  <c r="C8" i="16" s="1"/>
  <c r="D9" i="23"/>
  <c r="B9" i="22"/>
  <c r="C7" i="15"/>
  <c r="C14" i="14"/>
  <c r="C15" i="14" s="1"/>
  <c r="C9" i="14"/>
  <c r="C10" i="14" s="1"/>
  <c r="C9" i="17" s="1"/>
  <c r="C3" i="14"/>
  <c r="C8" i="14"/>
  <c r="B6" i="21"/>
  <c r="B7" i="17"/>
  <c r="B5" i="23" s="1"/>
  <c r="B16" i="20"/>
  <c r="D7" i="15"/>
  <c r="D13" i="15" s="1"/>
  <c r="D14" i="14"/>
  <c r="E6" i="18"/>
  <c r="E11" i="21" s="1"/>
  <c r="F3" i="18"/>
  <c r="F5" i="18" s="1"/>
  <c r="F11" i="22" s="1"/>
  <c r="D3" i="14"/>
  <c r="D8" i="14"/>
  <c r="D9" i="14"/>
  <c r="E3" i="13"/>
  <c r="E5" i="13" s="1"/>
  <c r="D9" i="13"/>
  <c r="C13" i="15" l="1"/>
  <c r="C7" i="21" s="1"/>
  <c r="I4" i="13"/>
  <c r="H9" i="15"/>
  <c r="H10" i="15" s="1"/>
  <c r="H12" i="15" s="1"/>
  <c r="G3" i="16"/>
  <c r="G5" i="16" s="1"/>
  <c r="G9" i="23" s="1"/>
  <c r="C7" i="22"/>
  <c r="D6" i="16"/>
  <c r="D7" i="16" s="1"/>
  <c r="C9" i="21"/>
  <c r="I3" i="15"/>
  <c r="I5" i="15" s="1"/>
  <c r="H6" i="15"/>
  <c r="H3" i="16" s="1"/>
  <c r="C11" i="14"/>
  <c r="C16" i="14"/>
  <c r="C4" i="17"/>
  <c r="C6" i="17" s="1"/>
  <c r="C6" i="14"/>
  <c r="C5" i="21" s="1"/>
  <c r="C4" i="14"/>
  <c r="C5" i="14"/>
  <c r="C10" i="22"/>
  <c r="C7" i="23"/>
  <c r="B5" i="22"/>
  <c r="B5" i="20"/>
  <c r="B7" i="20" s="1"/>
  <c r="B9" i="20"/>
  <c r="B8" i="21"/>
  <c r="E6" i="13"/>
  <c r="D15" i="14"/>
  <c r="D7" i="21"/>
  <c r="G3" i="18"/>
  <c r="G5" i="18" s="1"/>
  <c r="G11" i="22" s="1"/>
  <c r="F6" i="18"/>
  <c r="F11" i="21" s="1"/>
  <c r="D10" i="14"/>
  <c r="D5" i="14"/>
  <c r="D4" i="21" s="1"/>
  <c r="D6" i="14"/>
  <c r="D5" i="21" s="1"/>
  <c r="D4" i="14"/>
  <c r="I9" i="15" l="1"/>
  <c r="I10" i="15" s="1"/>
  <c r="I12" i="15" s="1"/>
  <c r="J4" i="13"/>
  <c r="J3" i="15"/>
  <c r="J5" i="15" s="1"/>
  <c r="I6" i="15"/>
  <c r="C4" i="23"/>
  <c r="D8" i="16"/>
  <c r="D9" i="21"/>
  <c r="D4" i="23" s="1"/>
  <c r="C4" i="21"/>
  <c r="C8" i="17"/>
  <c r="C7" i="14"/>
  <c r="D3" i="17"/>
  <c r="D5" i="17" s="1"/>
  <c r="C8" i="23"/>
  <c r="C17" i="14"/>
  <c r="C4" i="20" s="1"/>
  <c r="C6" i="22"/>
  <c r="B10" i="21"/>
  <c r="B10" i="20"/>
  <c r="B11" i="20"/>
  <c r="B12" i="20" s="1"/>
  <c r="B6" i="20"/>
  <c r="B8" i="20" s="1"/>
  <c r="D9" i="17"/>
  <c r="D8" i="17"/>
  <c r="D16" i="14"/>
  <c r="D4" i="17"/>
  <c r="E7" i="13"/>
  <c r="H3" i="18"/>
  <c r="H5" i="18" s="1"/>
  <c r="H11" i="22" s="1"/>
  <c r="G6" i="18"/>
  <c r="G11" i="21" s="1"/>
  <c r="D11" i="14"/>
  <c r="D7" i="14"/>
  <c r="K4" i="13" l="1"/>
  <c r="J9" i="15"/>
  <c r="J10" i="15" s="1"/>
  <c r="J12" i="15" s="1"/>
  <c r="I3" i="16"/>
  <c r="I5" i="16" s="1"/>
  <c r="I9" i="23" s="1"/>
  <c r="E6" i="16"/>
  <c r="D7" i="22"/>
  <c r="K3" i="15"/>
  <c r="K5" i="15" s="1"/>
  <c r="J6" i="15"/>
  <c r="H5" i="16"/>
  <c r="C18" i="14"/>
  <c r="C7" i="17" s="1"/>
  <c r="C5" i="22" s="1"/>
  <c r="C9" i="22"/>
  <c r="C6" i="23"/>
  <c r="D6" i="17"/>
  <c r="E3" i="17" s="1"/>
  <c r="B12" i="21"/>
  <c r="D10" i="22"/>
  <c r="D7" i="23"/>
  <c r="D6" i="23"/>
  <c r="D9" i="22"/>
  <c r="AM13" i="22"/>
  <c r="E8" i="13"/>
  <c r="E9" i="13"/>
  <c r="F3" i="13"/>
  <c r="F5" i="13" s="1"/>
  <c r="I3" i="18"/>
  <c r="I5" i="18" s="1"/>
  <c r="I11" i="22" s="1"/>
  <c r="H6" i="18"/>
  <c r="H11" i="21" s="1"/>
  <c r="J3" i="18" l="1"/>
  <c r="J5" i="18" s="1"/>
  <c r="J11" i="22" s="1"/>
  <c r="K9" i="15"/>
  <c r="L4" i="13"/>
  <c r="J3" i="16"/>
  <c r="J5" i="16" s="1"/>
  <c r="J9" i="23" s="1"/>
  <c r="H9" i="23"/>
  <c r="L3" i="15"/>
  <c r="L5" i="15" s="1"/>
  <c r="K6" i="15"/>
  <c r="K3" i="16" s="1"/>
  <c r="E7" i="16"/>
  <c r="E8" i="16" s="1"/>
  <c r="D8" i="23"/>
  <c r="C5" i="23"/>
  <c r="C3" i="21"/>
  <c r="C3" i="20"/>
  <c r="D6" i="22"/>
  <c r="D17" i="14"/>
  <c r="D4" i="20" s="1"/>
  <c r="B13" i="21"/>
  <c r="B14" i="21" s="1"/>
  <c r="B15" i="21" s="1"/>
  <c r="I6" i="18"/>
  <c r="I11" i="21" s="1"/>
  <c r="E7" i="15"/>
  <c r="E13" i="15" s="1"/>
  <c r="E14" i="14"/>
  <c r="E9" i="14"/>
  <c r="E10" i="14" s="1"/>
  <c r="E3" i="14"/>
  <c r="E8" i="14"/>
  <c r="F6" i="13"/>
  <c r="E5" i="17"/>
  <c r="L9" i="15" l="1"/>
  <c r="L10" i="15" s="1"/>
  <c r="L12" i="15" s="1"/>
  <c r="K10" i="15"/>
  <c r="K12" i="15" s="1"/>
  <c r="M4" i="13"/>
  <c r="F6" i="16"/>
  <c r="E7" i="22"/>
  <c r="E9" i="21"/>
  <c r="K5" i="16"/>
  <c r="M3" i="15"/>
  <c r="M5" i="15" s="1"/>
  <c r="L6" i="15"/>
  <c r="D18" i="14"/>
  <c r="D3" i="20" s="1"/>
  <c r="C16" i="20"/>
  <c r="C6" i="21"/>
  <c r="B14" i="22"/>
  <c r="B3" i="23"/>
  <c r="E9" i="17"/>
  <c r="F7" i="13"/>
  <c r="E11" i="14"/>
  <c r="E4" i="14"/>
  <c r="E6" i="14"/>
  <c r="E5" i="21" s="1"/>
  <c r="E5" i="14"/>
  <c r="E4" i="21" s="1"/>
  <c r="E15" i="14"/>
  <c r="E7" i="21"/>
  <c r="K3" i="18"/>
  <c r="K5" i="18" s="1"/>
  <c r="K11" i="22" s="1"/>
  <c r="J6" i="18"/>
  <c r="J11" i="21" s="1"/>
  <c r="N4" i="13" l="1"/>
  <c r="M9" i="15"/>
  <c r="L3" i="16"/>
  <c r="L5" i="16" s="1"/>
  <c r="N3" i="15"/>
  <c r="AL5" i="15"/>
  <c r="M6" i="15"/>
  <c r="K9" i="23"/>
  <c r="E4" i="23"/>
  <c r="F7" i="16"/>
  <c r="F8" i="16" s="1"/>
  <c r="D7" i="17"/>
  <c r="D5" i="22" s="1"/>
  <c r="D3" i="21"/>
  <c r="D6" i="21" s="1"/>
  <c r="C8" i="21"/>
  <c r="C9" i="20"/>
  <c r="C5" i="20"/>
  <c r="C7" i="20" s="1"/>
  <c r="B12" i="23"/>
  <c r="B4" i="22" s="1"/>
  <c r="B13" i="20" s="1"/>
  <c r="B18" i="22"/>
  <c r="B15" i="20"/>
  <c r="E10" i="22"/>
  <c r="E7" i="23"/>
  <c r="E8" i="17"/>
  <c r="E16" i="14"/>
  <c r="E4" i="17"/>
  <c r="E7" i="14"/>
  <c r="F9" i="13"/>
  <c r="G3" i="13"/>
  <c r="F8" i="13"/>
  <c r="O4" i="13" l="1"/>
  <c r="N9" i="15"/>
  <c r="M10" i="15"/>
  <c r="M12" i="15" s="1"/>
  <c r="L9" i="23"/>
  <c r="M3" i="16"/>
  <c r="M5" i="16" s="1"/>
  <c r="G6" i="16"/>
  <c r="G7" i="16" s="1"/>
  <c r="F7" i="22"/>
  <c r="F9" i="21"/>
  <c r="AM3" i="15"/>
  <c r="N5" i="15"/>
  <c r="D5" i="23"/>
  <c r="D16" i="20"/>
  <c r="C6" i="20"/>
  <c r="C8" i="20" s="1"/>
  <c r="C10" i="21"/>
  <c r="C12" i="21" s="1"/>
  <c r="C13" i="21" s="1"/>
  <c r="C14" i="21" s="1"/>
  <c r="C10" i="20"/>
  <c r="C11" i="20"/>
  <c r="C12" i="20" s="1"/>
  <c r="B17" i="22"/>
  <c r="B19" i="22" s="1"/>
  <c r="B14" i="20"/>
  <c r="E6" i="23"/>
  <c r="E9" i="22"/>
  <c r="D8" i="21"/>
  <c r="D9" i="20"/>
  <c r="D5" i="20"/>
  <c r="D7" i="20" s="1"/>
  <c r="E6" i="17"/>
  <c r="F7" i="15"/>
  <c r="F13" i="15" s="1"/>
  <c r="F14" i="14"/>
  <c r="F3" i="14"/>
  <c r="F9" i="14"/>
  <c r="F10" i="14" s="1"/>
  <c r="F8" i="14"/>
  <c r="G5" i="13"/>
  <c r="L3" i="18"/>
  <c r="L5" i="18" s="1"/>
  <c r="L11" i="22" s="1"/>
  <c r="K6" i="18"/>
  <c r="K11" i="21" s="1"/>
  <c r="O9" i="15" l="1"/>
  <c r="N10" i="15"/>
  <c r="N12" i="15" s="1"/>
  <c r="P4" i="13"/>
  <c r="M9" i="23"/>
  <c r="AL5" i="16"/>
  <c r="O3" i="15"/>
  <c r="O5" i="15" s="1"/>
  <c r="N6" i="15"/>
  <c r="N3" i="16" s="1"/>
  <c r="F4" i="23"/>
  <c r="G8" i="16"/>
  <c r="G9" i="21"/>
  <c r="G4" i="23" s="1"/>
  <c r="C15" i="21"/>
  <c r="F9" i="17"/>
  <c r="E6" i="22"/>
  <c r="E8" i="23"/>
  <c r="D6" i="20"/>
  <c r="D8" i="20" s="1"/>
  <c r="D10" i="21"/>
  <c r="D11" i="20"/>
  <c r="D12" i="20" s="1"/>
  <c r="D10" i="20"/>
  <c r="F4" i="14"/>
  <c r="F5" i="14"/>
  <c r="F4" i="21" s="1"/>
  <c r="F6" i="14"/>
  <c r="F5" i="21" s="1"/>
  <c r="F7" i="21"/>
  <c r="G6" i="13"/>
  <c r="F11" i="14"/>
  <c r="F15" i="14"/>
  <c r="E17" i="14"/>
  <c r="F3" i="17"/>
  <c r="L6" i="18"/>
  <c r="L11" i="21" s="1"/>
  <c r="M3" i="18"/>
  <c r="P9" i="15" l="1"/>
  <c r="P10" i="15" s="1"/>
  <c r="P12" i="15" s="1"/>
  <c r="O10" i="15"/>
  <c r="O12" i="15" s="1"/>
  <c r="Q4" i="13"/>
  <c r="P3" i="15"/>
  <c r="P5" i="15" s="1"/>
  <c r="O6" i="15"/>
  <c r="H6" i="16"/>
  <c r="H7" i="16" s="1"/>
  <c r="G7" i="22"/>
  <c r="D12" i="21"/>
  <c r="C14" i="22"/>
  <c r="C3" i="23"/>
  <c r="F7" i="23"/>
  <c r="F10" i="22"/>
  <c r="E18" i="14"/>
  <c r="E4" i="20"/>
  <c r="F8" i="17"/>
  <c r="F16" i="14"/>
  <c r="F4" i="17"/>
  <c r="G7" i="13"/>
  <c r="F5" i="17"/>
  <c r="F7" i="14"/>
  <c r="M5" i="18"/>
  <c r="F6" i="17" l="1"/>
  <c r="F6" i="22" s="1"/>
  <c r="R4" i="13"/>
  <c r="Q9" i="15"/>
  <c r="O3" i="16"/>
  <c r="O5" i="16" s="1"/>
  <c r="O9" i="23" s="1"/>
  <c r="Q3" i="15"/>
  <c r="Q5" i="15" s="1"/>
  <c r="P6" i="15"/>
  <c r="N5" i="16"/>
  <c r="H8" i="16"/>
  <c r="H9" i="21"/>
  <c r="C12" i="23"/>
  <c r="C4" i="22" s="1"/>
  <c r="C13" i="20" s="1"/>
  <c r="C18" i="22"/>
  <c r="C15" i="20"/>
  <c r="D13" i="21"/>
  <c r="D14" i="21" s="1"/>
  <c r="E3" i="21"/>
  <c r="E3" i="20"/>
  <c r="F6" i="23"/>
  <c r="F9" i="22"/>
  <c r="E7" i="17"/>
  <c r="F8" i="23"/>
  <c r="AL5" i="18"/>
  <c r="M11" i="22"/>
  <c r="AL11" i="22" s="1"/>
  <c r="G8" i="13"/>
  <c r="H3" i="13"/>
  <c r="G9" i="13"/>
  <c r="G3" i="17"/>
  <c r="F17" i="14"/>
  <c r="N3" i="18"/>
  <c r="M6" i="18"/>
  <c r="M11" i="21" s="1"/>
  <c r="R9" i="15" l="1"/>
  <c r="R10" i="15" s="1"/>
  <c r="R12" i="15" s="1"/>
  <c r="S4" i="13"/>
  <c r="Q10" i="15"/>
  <c r="Q12" i="15" s="1"/>
  <c r="P3" i="16"/>
  <c r="P5" i="16" s="1"/>
  <c r="P9" i="23" s="1"/>
  <c r="I6" i="16"/>
  <c r="I7" i="16" s="1"/>
  <c r="H7" i="22"/>
  <c r="H4" i="23"/>
  <c r="N9" i="23"/>
  <c r="R3" i="15"/>
  <c r="R5" i="15" s="1"/>
  <c r="Q6" i="15"/>
  <c r="Q3" i="16" s="1"/>
  <c r="D15" i="21"/>
  <c r="C14" i="20"/>
  <c r="C17" i="22"/>
  <c r="C19" i="22" s="1"/>
  <c r="E6" i="21"/>
  <c r="E16" i="20"/>
  <c r="F18" i="14"/>
  <c r="F7" i="17" s="1"/>
  <c r="F4" i="20"/>
  <c r="E5" i="22"/>
  <c r="E5" i="23"/>
  <c r="G5" i="17"/>
  <c r="H5" i="13"/>
  <c r="G7" i="15"/>
  <c r="G13" i="15" s="1"/>
  <c r="G14" i="14"/>
  <c r="G3" i="14"/>
  <c r="G8" i="14"/>
  <c r="G9" i="14"/>
  <c r="G10" i="14" s="1"/>
  <c r="AM3" i="18"/>
  <c r="N5" i="18"/>
  <c r="N11" i="22" s="1"/>
  <c r="T4" i="13" l="1"/>
  <c r="S9" i="15"/>
  <c r="I8" i="16"/>
  <c r="I9" i="21"/>
  <c r="I4" i="23" s="1"/>
  <c r="S3" i="15"/>
  <c r="S5" i="15" s="1"/>
  <c r="R6" i="15"/>
  <c r="D3" i="23"/>
  <c r="D14" i="22"/>
  <c r="E8" i="21"/>
  <c r="E9" i="20"/>
  <c r="E5" i="20"/>
  <c r="E7" i="20" s="1"/>
  <c r="G9" i="17"/>
  <c r="F5" i="22"/>
  <c r="F5" i="23"/>
  <c r="F3" i="21"/>
  <c r="F3" i="20"/>
  <c r="N6" i="18"/>
  <c r="N11" i="21" s="1"/>
  <c r="O3" i="18"/>
  <c r="O5" i="18" s="1"/>
  <c r="O11" i="22" s="1"/>
  <c r="G4" i="14"/>
  <c r="G5" i="14"/>
  <c r="G4" i="21" s="1"/>
  <c r="G6" i="14"/>
  <c r="G5" i="21" s="1"/>
  <c r="G7" i="21"/>
  <c r="G11" i="14"/>
  <c r="G15" i="14"/>
  <c r="H6" i="13"/>
  <c r="H7" i="13" s="1"/>
  <c r="U4" i="13" l="1"/>
  <c r="T9" i="15"/>
  <c r="S10" i="15"/>
  <c r="S12" i="15" s="1"/>
  <c r="R3" i="16"/>
  <c r="R5" i="16" s="1"/>
  <c r="R9" i="23" s="1"/>
  <c r="J6" i="16"/>
  <c r="J7" i="16" s="1"/>
  <c r="I7" i="22"/>
  <c r="T3" i="15"/>
  <c r="T5" i="15" s="1"/>
  <c r="S6" i="15"/>
  <c r="Q5" i="16"/>
  <c r="D18" i="22"/>
  <c r="D15" i="20"/>
  <c r="D12" i="23"/>
  <c r="D4" i="22" s="1"/>
  <c r="D13" i="20" s="1"/>
  <c r="G7" i="23"/>
  <c r="G10" i="22"/>
  <c r="E6" i="20"/>
  <c r="E8" i="20" s="1"/>
  <c r="E10" i="21"/>
  <c r="E11" i="20"/>
  <c r="E12" i="20" s="1"/>
  <c r="E10" i="20"/>
  <c r="F6" i="21"/>
  <c r="F16" i="20"/>
  <c r="G4" i="17"/>
  <c r="G6" i="17" s="1"/>
  <c r="G16" i="14"/>
  <c r="G8" i="17"/>
  <c r="H9" i="13"/>
  <c r="I3" i="13"/>
  <c r="H8" i="13"/>
  <c r="G7" i="14"/>
  <c r="O6" i="18"/>
  <c r="O11" i="21" s="1"/>
  <c r="P3" i="18"/>
  <c r="P5" i="18" s="1"/>
  <c r="P11" i="22" s="1"/>
  <c r="U9" i="15" l="1"/>
  <c r="U10" i="15" s="1"/>
  <c r="U12" i="15" s="1"/>
  <c r="T10" i="15"/>
  <c r="T12" i="15" s="1"/>
  <c r="V4" i="13"/>
  <c r="S3" i="16"/>
  <c r="S5" i="16" s="1"/>
  <c r="S9" i="23" s="1"/>
  <c r="J8" i="16"/>
  <c r="J9" i="21"/>
  <c r="J4" i="23" s="1"/>
  <c r="Q9" i="23"/>
  <c r="U3" i="15"/>
  <c r="U5" i="15" s="1"/>
  <c r="T6" i="15"/>
  <c r="T3" i="16" s="1"/>
  <c r="D14" i="20"/>
  <c r="D17" i="22"/>
  <c r="D19" i="22" s="1"/>
  <c r="E12" i="21"/>
  <c r="G9" i="22"/>
  <c r="G6" i="23"/>
  <c r="G6" i="22"/>
  <c r="G8" i="23"/>
  <c r="F8" i="21"/>
  <c r="F9" i="20"/>
  <c r="F5" i="20"/>
  <c r="F7" i="20" s="1"/>
  <c r="I5" i="13"/>
  <c r="I6" i="13" s="1"/>
  <c r="H3" i="17"/>
  <c r="G17" i="14"/>
  <c r="H7" i="15"/>
  <c r="H14" i="14"/>
  <c r="H15" i="14" s="1"/>
  <c r="H3" i="14"/>
  <c r="H8" i="14"/>
  <c r="H9" i="14"/>
  <c r="H10" i="14" s="1"/>
  <c r="V9" i="15" l="1"/>
  <c r="H13" i="15"/>
  <c r="H7" i="21" s="1"/>
  <c r="W4" i="13"/>
  <c r="K6" i="16"/>
  <c r="K7" i="16" s="1"/>
  <c r="J7" i="22"/>
  <c r="V3" i="15"/>
  <c r="V5" i="15" s="1"/>
  <c r="U6" i="15"/>
  <c r="I7" i="13"/>
  <c r="I8" i="13" s="1"/>
  <c r="E13" i="21"/>
  <c r="E14" i="21" s="1"/>
  <c r="G18" i="14"/>
  <c r="G4" i="20"/>
  <c r="F6" i="20"/>
  <c r="F8" i="20" s="1"/>
  <c r="F10" i="21"/>
  <c r="F11" i="20"/>
  <c r="F10" i="20"/>
  <c r="H9" i="17"/>
  <c r="AN13" i="22"/>
  <c r="H16" i="14"/>
  <c r="H4" i="17"/>
  <c r="H11" i="14"/>
  <c r="H4" i="14"/>
  <c r="H6" i="14"/>
  <c r="H5" i="21" s="1"/>
  <c r="H5" i="14"/>
  <c r="H4" i="21" s="1"/>
  <c r="H5" i="17"/>
  <c r="P6" i="18"/>
  <c r="P11" i="21" s="1"/>
  <c r="Q3" i="18"/>
  <c r="Q5" i="18" s="1"/>
  <c r="Q11" i="22" s="1"/>
  <c r="X4" i="13" l="1"/>
  <c r="W9" i="15"/>
  <c r="V10" i="15"/>
  <c r="V12" i="15" s="1"/>
  <c r="U3" i="16"/>
  <c r="U5" i="16" s="1"/>
  <c r="U9" i="23" s="1"/>
  <c r="W3" i="15"/>
  <c r="W5" i="15" s="1"/>
  <c r="V6" i="15"/>
  <c r="T5" i="16"/>
  <c r="K8" i="16"/>
  <c r="K9" i="21"/>
  <c r="K4" i="23" s="1"/>
  <c r="J3" i="13"/>
  <c r="J5" i="13" s="1"/>
  <c r="J6" i="13" s="1"/>
  <c r="I9" i="13"/>
  <c r="F12" i="21"/>
  <c r="E15" i="21"/>
  <c r="G3" i="21"/>
  <c r="G3" i="20"/>
  <c r="H7" i="23"/>
  <c r="H10" i="22"/>
  <c r="H6" i="17"/>
  <c r="I3" i="17" s="1"/>
  <c r="F12" i="20"/>
  <c r="G7" i="17"/>
  <c r="I7" i="15"/>
  <c r="I14" i="14"/>
  <c r="I15" i="14" s="1"/>
  <c r="I9" i="14"/>
  <c r="I10" i="14" s="1"/>
  <c r="I3" i="14"/>
  <c r="I8" i="14"/>
  <c r="H7" i="14"/>
  <c r="H8" i="17"/>
  <c r="I13" i="15" l="1"/>
  <c r="I7" i="21" s="1"/>
  <c r="X9" i="15"/>
  <c r="X10" i="15" s="1"/>
  <c r="X12" i="15" s="1"/>
  <c r="W10" i="15"/>
  <c r="W12" i="15" s="1"/>
  <c r="Y4" i="13"/>
  <c r="V3" i="16"/>
  <c r="V5" i="16" s="1"/>
  <c r="V9" i="23" s="1"/>
  <c r="L6" i="16"/>
  <c r="K7" i="22"/>
  <c r="T9" i="23"/>
  <c r="X3" i="15"/>
  <c r="X5" i="15" s="1"/>
  <c r="W6" i="15"/>
  <c r="W3" i="16" s="1"/>
  <c r="F13" i="21"/>
  <c r="F14" i="21" s="1"/>
  <c r="F15" i="21" s="1"/>
  <c r="F3" i="23" s="1"/>
  <c r="F12" i="23" s="1"/>
  <c r="E14" i="22"/>
  <c r="E3" i="23"/>
  <c r="G6" i="21"/>
  <c r="G16" i="20"/>
  <c r="H9" i="22"/>
  <c r="H6" i="23"/>
  <c r="I9" i="17"/>
  <c r="G5" i="22"/>
  <c r="G5" i="23"/>
  <c r="H17" i="14"/>
  <c r="H6" i="22"/>
  <c r="H8" i="23"/>
  <c r="I11" i="14"/>
  <c r="J7" i="13"/>
  <c r="I4" i="14"/>
  <c r="I5" i="14"/>
  <c r="I4" i="21" s="1"/>
  <c r="I6" i="14"/>
  <c r="I5" i="21" s="1"/>
  <c r="I16" i="14"/>
  <c r="I4" i="17"/>
  <c r="I5" i="17"/>
  <c r="Q6" i="18"/>
  <c r="Q11" i="21" s="1"/>
  <c r="R3" i="18"/>
  <c r="R5" i="18" s="1"/>
  <c r="R11" i="22" s="1"/>
  <c r="Z4" i="13" l="1"/>
  <c r="Y9" i="15"/>
  <c r="Y10" i="15" s="1"/>
  <c r="Y12" i="15" s="1"/>
  <c r="W5" i="16"/>
  <c r="Y3" i="15"/>
  <c r="Y5" i="15" s="1"/>
  <c r="X6" i="15"/>
  <c r="L7" i="16"/>
  <c r="L9" i="21" s="1"/>
  <c r="L4" i="23" s="1"/>
  <c r="L8" i="16"/>
  <c r="I6" i="17"/>
  <c r="I6" i="22" s="1"/>
  <c r="E12" i="23"/>
  <c r="E4" i="22" s="1"/>
  <c r="E13" i="20" s="1"/>
  <c r="E15" i="20"/>
  <c r="E18" i="22"/>
  <c r="F14" i="22"/>
  <c r="G8" i="21"/>
  <c r="G9" i="20"/>
  <c r="G5" i="20"/>
  <c r="G7" i="20" s="1"/>
  <c r="H4" i="20"/>
  <c r="H18" i="14"/>
  <c r="I7" i="23"/>
  <c r="I10" i="22"/>
  <c r="I8" i="17"/>
  <c r="J9" i="13"/>
  <c r="K3" i="13"/>
  <c r="J8" i="13"/>
  <c r="I7" i="14"/>
  <c r="Z9" i="15" l="1"/>
  <c r="Z10" i="15" s="1"/>
  <c r="Z12" i="15" s="1"/>
  <c r="AA4" i="13"/>
  <c r="X3" i="16"/>
  <c r="M6" i="16"/>
  <c r="M7" i="16" s="1"/>
  <c r="L7" i="22"/>
  <c r="Z3" i="15"/>
  <c r="AM5" i="15"/>
  <c r="Y6" i="15"/>
  <c r="W9" i="23"/>
  <c r="I17" i="14"/>
  <c r="I4" i="20" s="1"/>
  <c r="B7" i="19" s="1" a="1"/>
  <c r="B7" i="19" s="1"/>
  <c r="B8" i="19" s="1"/>
  <c r="I8" i="23"/>
  <c r="J3" i="17"/>
  <c r="J5" i="17" s="1"/>
  <c r="F18" i="22"/>
  <c r="F15" i="20"/>
  <c r="E17" i="22"/>
  <c r="E19" i="22" s="1"/>
  <c r="E14" i="20"/>
  <c r="F4" i="22"/>
  <c r="F13" i="20" s="1"/>
  <c r="G6" i="20"/>
  <c r="G8" i="20" s="1"/>
  <c r="G10" i="21"/>
  <c r="G12" i="21" s="1"/>
  <c r="G13" i="21" s="1"/>
  <c r="G14" i="21" s="1"/>
  <c r="G15" i="21" s="1"/>
  <c r="G11" i="20"/>
  <c r="G12" i="20" s="1"/>
  <c r="G10" i="20"/>
  <c r="I9" i="22"/>
  <c r="I6" i="23"/>
  <c r="H3" i="21"/>
  <c r="H3" i="20"/>
  <c r="H7" i="17"/>
  <c r="J7" i="15"/>
  <c r="J14" i="14"/>
  <c r="J15" i="14" s="1"/>
  <c r="J3" i="14"/>
  <c r="J8" i="14"/>
  <c r="J9" i="14"/>
  <c r="J10" i="14" s="1"/>
  <c r="K5" i="13"/>
  <c r="K6" i="13" s="1"/>
  <c r="R6" i="18"/>
  <c r="R11" i="21" s="1"/>
  <c r="S3" i="18"/>
  <c r="S5" i="18" s="1"/>
  <c r="S11" i="22" s="1"/>
  <c r="J13" i="15" l="1"/>
  <c r="J7" i="21" s="1"/>
  <c r="AB4" i="13"/>
  <c r="AA9" i="15"/>
  <c r="AA10" i="15" s="1"/>
  <c r="AA12" i="15" s="1"/>
  <c r="X5" i="16"/>
  <c r="Y3" i="16"/>
  <c r="AM3" i="16" s="1"/>
  <c r="AN3" i="15"/>
  <c r="Z5" i="15"/>
  <c r="M8" i="16"/>
  <c r="M9" i="21"/>
  <c r="M4" i="23" s="1"/>
  <c r="I18" i="14"/>
  <c r="F14" i="20"/>
  <c r="F17" i="22"/>
  <c r="F19" i="22" s="1"/>
  <c r="K7" i="13"/>
  <c r="K8" i="13" s="1"/>
  <c r="G14" i="22"/>
  <c r="G3" i="23"/>
  <c r="J9" i="17"/>
  <c r="H5" i="22"/>
  <c r="H5" i="23"/>
  <c r="H6" i="21"/>
  <c r="H16" i="20"/>
  <c r="J11" i="14"/>
  <c r="J16" i="14"/>
  <c r="J4" i="17"/>
  <c r="J6" i="17" s="1"/>
  <c r="J4" i="14"/>
  <c r="J6" i="14"/>
  <c r="J5" i="21" s="1"/>
  <c r="J5" i="14"/>
  <c r="J4" i="21" s="1"/>
  <c r="S6" i="18"/>
  <c r="S11" i="21" s="1"/>
  <c r="T3" i="18"/>
  <c r="T5" i="18" s="1"/>
  <c r="T11" i="22" s="1"/>
  <c r="AB9" i="15" l="1"/>
  <c r="AB10" i="15" s="1"/>
  <c r="AB12" i="15" s="1"/>
  <c r="AC4" i="13"/>
  <c r="Y5" i="16"/>
  <c r="Y9" i="23" s="1"/>
  <c r="X9" i="23"/>
  <c r="N6" i="16"/>
  <c r="M7" i="22"/>
  <c r="AL7" i="22" s="1"/>
  <c r="AL8" i="16"/>
  <c r="AA3" i="15"/>
  <c r="AA5" i="15" s="1"/>
  <c r="Z6" i="15"/>
  <c r="Z3" i="16" s="1"/>
  <c r="I3" i="20"/>
  <c r="I3" i="21"/>
  <c r="I7" i="17"/>
  <c r="K9" i="13"/>
  <c r="L3" i="13"/>
  <c r="L5" i="13" s="1"/>
  <c r="L6" i="13" s="1"/>
  <c r="G12" i="23"/>
  <c r="G4" i="22" s="1"/>
  <c r="J7" i="23"/>
  <c r="J10" i="22"/>
  <c r="G15" i="20"/>
  <c r="G18" i="22"/>
  <c r="J6" i="22"/>
  <c r="J8" i="23"/>
  <c r="H8" i="21"/>
  <c r="H9" i="20"/>
  <c r="H5" i="20"/>
  <c r="H7" i="20" s="1"/>
  <c r="K3" i="17"/>
  <c r="J17" i="14"/>
  <c r="J4" i="20" s="1"/>
  <c r="J8" i="17"/>
  <c r="J7" i="14"/>
  <c r="K7" i="15"/>
  <c r="K14" i="14"/>
  <c r="K15" i="14" s="1"/>
  <c r="K8" i="14"/>
  <c r="K3" i="14"/>
  <c r="K9" i="14"/>
  <c r="K10" i="14" s="1"/>
  <c r="T6" i="18"/>
  <c r="T11" i="21" s="1"/>
  <c r="U3" i="18"/>
  <c r="U5" i="18" s="1"/>
  <c r="U11" i="22" s="1"/>
  <c r="K13" i="15" l="1"/>
  <c r="K7" i="21" s="1"/>
  <c r="AD4" i="13"/>
  <c r="AC9" i="15"/>
  <c r="AM5" i="16"/>
  <c r="AB3" i="15"/>
  <c r="AB5" i="15" s="1"/>
  <c r="AA6" i="15"/>
  <c r="AM6" i="16"/>
  <c r="N7" i="16"/>
  <c r="N8" i="16" s="1"/>
  <c r="G13" i="20"/>
  <c r="J18" i="14"/>
  <c r="J3" i="21" s="1"/>
  <c r="J6" i="21" s="1"/>
  <c r="G17" i="22"/>
  <c r="G19" i="22" s="1"/>
  <c r="I16" i="20"/>
  <c r="I6" i="21"/>
  <c r="I5" i="22"/>
  <c r="I5" i="23"/>
  <c r="G14" i="20"/>
  <c r="J9" i="22"/>
  <c r="J6" i="23"/>
  <c r="H6" i="20"/>
  <c r="H8" i="20" s="1"/>
  <c r="H10" i="21"/>
  <c r="H12" i="21" s="1"/>
  <c r="H13" i="21" s="1"/>
  <c r="H14" i="21" s="1"/>
  <c r="H15" i="21" s="1"/>
  <c r="H11" i="20"/>
  <c r="H10" i="20"/>
  <c r="K9" i="17"/>
  <c r="L7" i="13"/>
  <c r="L9" i="13" s="1"/>
  <c r="K4" i="14"/>
  <c r="K5" i="14"/>
  <c r="K4" i="21" s="1"/>
  <c r="K6" i="14"/>
  <c r="K5" i="21" s="1"/>
  <c r="K11" i="14"/>
  <c r="K16" i="14"/>
  <c r="K4" i="17"/>
  <c r="K5" i="17"/>
  <c r="U6" i="18"/>
  <c r="U11" i="21" s="1"/>
  <c r="V3" i="18"/>
  <c r="V5" i="18" s="1"/>
  <c r="V11" i="22" s="1"/>
  <c r="AE4" i="13" l="1"/>
  <c r="AD9" i="15"/>
  <c r="AC10" i="15"/>
  <c r="AC12" i="15" s="1"/>
  <c r="J7" i="17"/>
  <c r="J5" i="22" s="1"/>
  <c r="AA3" i="16"/>
  <c r="AA5" i="16" s="1"/>
  <c r="AA9" i="23" s="1"/>
  <c r="O6" i="16"/>
  <c r="N7" i="22"/>
  <c r="N9" i="21"/>
  <c r="AC3" i="15"/>
  <c r="AC5" i="15" s="1"/>
  <c r="AB6" i="15"/>
  <c r="Z5" i="16"/>
  <c r="J3" i="20"/>
  <c r="J16" i="20"/>
  <c r="I9" i="20"/>
  <c r="I8" i="21"/>
  <c r="I5" i="20"/>
  <c r="I7" i="20" s="1"/>
  <c r="M3" i="13"/>
  <c r="L8" i="13"/>
  <c r="L9" i="14" s="1"/>
  <c r="L10" i="14" s="1"/>
  <c r="K6" i="17"/>
  <c r="K6" i="22" s="1"/>
  <c r="K7" i="23"/>
  <c r="K10" i="22"/>
  <c r="H12" i="20"/>
  <c r="H14" i="22"/>
  <c r="H3" i="23"/>
  <c r="H12" i="23" s="1"/>
  <c r="H4" i="22" s="1"/>
  <c r="J8" i="21"/>
  <c r="J5" i="20"/>
  <c r="J7" i="20" s="1"/>
  <c r="J9" i="20"/>
  <c r="K7" i="14"/>
  <c r="K8" i="17"/>
  <c r="V6" i="18"/>
  <c r="V11" i="21" s="1"/>
  <c r="W3" i="18"/>
  <c r="W5" i="18" s="1"/>
  <c r="W11" i="22" s="1"/>
  <c r="AF4" i="13" l="1"/>
  <c r="AE9" i="15"/>
  <c r="AD10" i="15"/>
  <c r="AD12" i="15" s="1"/>
  <c r="J5" i="23"/>
  <c r="AB3" i="16"/>
  <c r="AB5" i="16" s="1"/>
  <c r="AB9" i="23" s="1"/>
  <c r="AD3" i="15"/>
  <c r="AD5" i="15" s="1"/>
  <c r="AC6" i="15"/>
  <c r="AC3" i="16" s="1"/>
  <c r="N4" i="23"/>
  <c r="O7" i="16"/>
  <c r="O8" i="16"/>
  <c r="Z9" i="23"/>
  <c r="H13" i="20"/>
  <c r="L14" i="14"/>
  <c r="L15" i="14" s="1"/>
  <c r="L4" i="17" s="1"/>
  <c r="M5" i="13"/>
  <c r="M6" i="13" s="1"/>
  <c r="L8" i="14"/>
  <c r="L11" i="14" s="1"/>
  <c r="L7" i="15"/>
  <c r="L3" i="14"/>
  <c r="L5" i="14" s="1"/>
  <c r="L4" i="21" s="1"/>
  <c r="I6" i="20"/>
  <c r="I8" i="20" s="1"/>
  <c r="I10" i="21"/>
  <c r="I12" i="21" s="1"/>
  <c r="I13" i="21" s="1"/>
  <c r="I14" i="21" s="1"/>
  <c r="I15" i="21" s="1"/>
  <c r="I3" i="23" s="1"/>
  <c r="I12" i="23" s="1"/>
  <c r="I4" i="22" s="1"/>
  <c r="I11" i="20"/>
  <c r="I12" i="20" s="1"/>
  <c r="I10" i="20"/>
  <c r="K17" i="14"/>
  <c r="K4" i="20" s="1"/>
  <c r="L3" i="17"/>
  <c r="L5" i="17" s="1"/>
  <c r="K8" i="23"/>
  <c r="J6" i="20"/>
  <c r="J8" i="20" s="1"/>
  <c r="J10" i="21"/>
  <c r="J12" i="21" s="1"/>
  <c r="J11" i="20"/>
  <c r="J12" i="20" s="1"/>
  <c r="J10" i="20"/>
  <c r="K9" i="22"/>
  <c r="K6" i="23"/>
  <c r="H17" i="22"/>
  <c r="H14" i="20"/>
  <c r="H15" i="20"/>
  <c r="H18" i="22"/>
  <c r="L9" i="17"/>
  <c r="W6" i="18"/>
  <c r="W11" i="21" s="1"/>
  <c r="X3" i="18"/>
  <c r="X5" i="18" s="1"/>
  <c r="X11" i="22" s="1"/>
  <c r="AF9" i="15" l="1"/>
  <c r="AF10" i="15" s="1"/>
  <c r="AF12" i="15" s="1"/>
  <c r="AE10" i="15"/>
  <c r="AE12" i="15" s="1"/>
  <c r="L13" i="15"/>
  <c r="L7" i="21" s="1"/>
  <c r="AG4" i="13"/>
  <c r="P6" i="16"/>
  <c r="P7" i="16" s="1"/>
  <c r="O7" i="22"/>
  <c r="O9" i="21"/>
  <c r="AE3" i="15"/>
  <c r="AE5" i="15" s="1"/>
  <c r="AD6" i="15"/>
  <c r="I13" i="20"/>
  <c r="L16" i="14"/>
  <c r="I14" i="22"/>
  <c r="J13" i="21"/>
  <c r="J14" i="21" s="1"/>
  <c r="J15" i="21" s="1"/>
  <c r="J3" i="23" s="1"/>
  <c r="J12" i="23" s="1"/>
  <c r="J4" i="22" s="1"/>
  <c r="M7" i="13"/>
  <c r="L6" i="17"/>
  <c r="L8" i="23" s="1"/>
  <c r="L4" i="14"/>
  <c r="L6" i="14"/>
  <c r="L5" i="21" s="1"/>
  <c r="K18" i="14"/>
  <c r="K7" i="17" s="1"/>
  <c r="K5" i="23" s="1"/>
  <c r="I14" i="20"/>
  <c r="I17" i="22"/>
  <c r="L7" i="23"/>
  <c r="L10" i="22"/>
  <c r="H19" i="22"/>
  <c r="L8" i="17"/>
  <c r="X6" i="18"/>
  <c r="X11" i="21" s="1"/>
  <c r="Y3" i="18"/>
  <c r="AH4" i="13" l="1"/>
  <c r="AG9" i="15"/>
  <c r="AD3" i="16"/>
  <c r="AD5" i="16" s="1"/>
  <c r="AD9" i="23" s="1"/>
  <c r="AC5" i="16"/>
  <c r="O4" i="23"/>
  <c r="P8" i="16"/>
  <c r="P9" i="21"/>
  <c r="P4" i="23" s="1"/>
  <c r="AF3" i="15"/>
  <c r="AF5" i="15" s="1"/>
  <c r="AE6" i="15"/>
  <c r="J13" i="20"/>
  <c r="L7" i="14"/>
  <c r="J14" i="22"/>
  <c r="J15" i="20" s="1"/>
  <c r="I15" i="20"/>
  <c r="I18" i="22"/>
  <c r="I19" i="22" s="1"/>
  <c r="L17" i="14"/>
  <c r="L4" i="20" s="1"/>
  <c r="M3" i="17"/>
  <c r="M5" i="17" s="1"/>
  <c r="L6" i="22"/>
  <c r="M8" i="13"/>
  <c r="AL7" i="13"/>
  <c r="AL8" i="13" s="1"/>
  <c r="M9" i="13"/>
  <c r="N3" i="13"/>
  <c r="K3" i="20"/>
  <c r="K5" i="22"/>
  <c r="K3" i="21"/>
  <c r="K6" i="21" s="1"/>
  <c r="J17" i="22"/>
  <c r="J14" i="20"/>
  <c r="L6" i="23"/>
  <c r="L9" i="22"/>
  <c r="Y5" i="18"/>
  <c r="Z3" i="18"/>
  <c r="AI4" i="13" l="1"/>
  <c r="AH9" i="15"/>
  <c r="AG10" i="15"/>
  <c r="AG12" i="15" s="1"/>
  <c r="AL10" i="15"/>
  <c r="AM10" i="15"/>
  <c r="AE3" i="16"/>
  <c r="AE5" i="16" s="1"/>
  <c r="AE9" i="23" s="1"/>
  <c r="AG3" i="15"/>
  <c r="AG5" i="15" s="1"/>
  <c r="AF6" i="15"/>
  <c r="AF3" i="16" s="1"/>
  <c r="Q6" i="16"/>
  <c r="P7" i="22"/>
  <c r="AC9" i="23"/>
  <c r="K16" i="20"/>
  <c r="J18" i="22"/>
  <c r="J19" i="22" s="1"/>
  <c r="L18" i="14"/>
  <c r="L3" i="21" s="1"/>
  <c r="AM3" i="13"/>
  <c r="N5" i="13"/>
  <c r="N6" i="13" s="1"/>
  <c r="M7" i="15"/>
  <c r="M14" i="14"/>
  <c r="M15" i="14" s="1"/>
  <c r="M8" i="14"/>
  <c r="M9" i="14"/>
  <c r="M10" i="14" s="1"/>
  <c r="M9" i="17" s="1"/>
  <c r="AL9" i="17" s="1"/>
  <c r="M3" i="14"/>
  <c r="K8" i="21"/>
  <c r="K5" i="20"/>
  <c r="K7" i="20" s="1"/>
  <c r="K9" i="20"/>
  <c r="AM5" i="18"/>
  <c r="Y11" i="22"/>
  <c r="AM11" i="22" s="1"/>
  <c r="Y6" i="18"/>
  <c r="Y11" i="21" s="1"/>
  <c r="AN3" i="18"/>
  <c r="Z5" i="18"/>
  <c r="Z11" i="22" s="1"/>
  <c r="AI9" i="15" l="1"/>
  <c r="AI10" i="15" s="1"/>
  <c r="AI12" i="15" s="1"/>
  <c r="M13" i="15"/>
  <c r="M7" i="21" s="1"/>
  <c r="AJ4" i="13"/>
  <c r="AH10" i="15"/>
  <c r="AH12" i="15" s="1"/>
  <c r="AL12" i="15"/>
  <c r="AM12" i="15"/>
  <c r="Q7" i="16"/>
  <c r="Q8" i="16"/>
  <c r="AH3" i="15"/>
  <c r="AH5" i="15" s="1"/>
  <c r="AG6" i="15"/>
  <c r="M10" i="22"/>
  <c r="AL10" i="22" s="1"/>
  <c r="M7" i="23"/>
  <c r="N7" i="13"/>
  <c r="N8" i="13" s="1"/>
  <c r="L3" i="20"/>
  <c r="L7" i="17"/>
  <c r="L5" i="22" s="1"/>
  <c r="M6" i="14"/>
  <c r="M5" i="21" s="1"/>
  <c r="M4" i="14"/>
  <c r="M5" i="14"/>
  <c r="M11" i="14"/>
  <c r="M16" i="14"/>
  <c r="M4" i="17"/>
  <c r="M6" i="17" s="1"/>
  <c r="M6" i="22" s="1"/>
  <c r="AL6" i="22" s="1"/>
  <c r="L6" i="21"/>
  <c r="L16" i="20"/>
  <c r="K6" i="20"/>
  <c r="K8" i="20" s="1"/>
  <c r="K10" i="21"/>
  <c r="K12" i="21" s="1"/>
  <c r="K13" i="21" s="1"/>
  <c r="K14" i="21" s="1"/>
  <c r="K15" i="21" s="1"/>
  <c r="K11" i="20"/>
  <c r="K10" i="20"/>
  <c r="AA3" i="18"/>
  <c r="AA5" i="18" s="1"/>
  <c r="AA11" i="22" s="1"/>
  <c r="Z6" i="18"/>
  <c r="Z11" i="21" s="1"/>
  <c r="AK4" i="13" l="1"/>
  <c r="AJ9" i="15"/>
  <c r="AJ10" i="15" s="1"/>
  <c r="AJ12" i="15" s="1"/>
  <c r="AG3" i="16"/>
  <c r="AG5" i="16" s="1"/>
  <c r="AG9" i="23" s="1"/>
  <c r="AI3" i="15"/>
  <c r="AI5" i="15" s="1"/>
  <c r="AH6" i="15"/>
  <c r="AF5" i="16"/>
  <c r="R6" i="16"/>
  <c r="R7" i="16" s="1"/>
  <c r="Q7" i="22"/>
  <c r="Q9" i="21"/>
  <c r="M8" i="23"/>
  <c r="O3" i="13"/>
  <c r="O5" i="13" s="1"/>
  <c r="N9" i="13"/>
  <c r="L5" i="23"/>
  <c r="M17" i="14"/>
  <c r="N3" i="17"/>
  <c r="AL6" i="17"/>
  <c r="M4" i="21"/>
  <c r="M8" i="17"/>
  <c r="M7" i="14"/>
  <c r="L8" i="21"/>
  <c r="L5" i="20"/>
  <c r="L7" i="20" s="1"/>
  <c r="L9" i="20"/>
  <c r="K12" i="20"/>
  <c r="K14" i="22"/>
  <c r="K3" i="23"/>
  <c r="K12" i="23" s="1"/>
  <c r="K4" i="22" s="1"/>
  <c r="N7" i="15"/>
  <c r="N13" i="15" s="1"/>
  <c r="N14" i="14"/>
  <c r="N3" i="14"/>
  <c r="N8" i="14"/>
  <c r="N9" i="14"/>
  <c r="N10" i="14" s="1"/>
  <c r="AL4" i="13" l="1"/>
  <c r="AM4" i="13"/>
  <c r="AN4" i="13"/>
  <c r="AK9" i="15"/>
  <c r="AH3" i="16"/>
  <c r="AH5" i="16" s="1"/>
  <c r="AH9" i="23" s="1"/>
  <c r="Q4" i="23"/>
  <c r="R8" i="16"/>
  <c r="R9" i="21"/>
  <c r="R4" i="23" s="1"/>
  <c r="AF9" i="23"/>
  <c r="AJ3" i="15"/>
  <c r="AJ5" i="15" s="1"/>
  <c r="AI6" i="15"/>
  <c r="AI3" i="16" s="1"/>
  <c r="K13" i="20"/>
  <c r="AM3" i="17"/>
  <c r="N5" i="17"/>
  <c r="M4" i="20"/>
  <c r="AL4" i="20" s="1"/>
  <c r="M18" i="14"/>
  <c r="M6" i="23"/>
  <c r="AL8" i="17"/>
  <c r="M9" i="22"/>
  <c r="AL9" i="22" s="1"/>
  <c r="L6" i="20"/>
  <c r="L8" i="20" s="1"/>
  <c r="N9" i="17"/>
  <c r="K17" i="22"/>
  <c r="K14" i="20"/>
  <c r="K15" i="20"/>
  <c r="K18" i="22"/>
  <c r="L10" i="21"/>
  <c r="L12" i="21" s="1"/>
  <c r="L13" i="21" s="1"/>
  <c r="L14" i="21" s="1"/>
  <c r="L15" i="21" s="1"/>
  <c r="L10" i="20"/>
  <c r="L11" i="20"/>
  <c r="O6" i="13"/>
  <c r="O7" i="13" s="1"/>
  <c r="N11" i="14"/>
  <c r="N15" i="14"/>
  <c r="N7" i="21"/>
  <c r="N6" i="14"/>
  <c r="N5" i="21" s="1"/>
  <c r="N4" i="14"/>
  <c r="N5" i="14"/>
  <c r="N4" i="21" s="1"/>
  <c r="AB3" i="18"/>
  <c r="AB5" i="18" s="1"/>
  <c r="AB11" i="22" s="1"/>
  <c r="AA6" i="18"/>
  <c r="AA11" i="21" s="1"/>
  <c r="AK10" i="15" l="1"/>
  <c r="AK3" i="15"/>
  <c r="AK5" i="15" s="1"/>
  <c r="AJ6" i="15"/>
  <c r="S6" i="16"/>
  <c r="R7" i="22"/>
  <c r="AI5" i="16"/>
  <c r="M3" i="20"/>
  <c r="M3" i="21"/>
  <c r="M7" i="17"/>
  <c r="N7" i="23"/>
  <c r="N10" i="22"/>
  <c r="L12" i="20"/>
  <c r="L14" i="22"/>
  <c r="L3" i="23"/>
  <c r="L12" i="23" s="1"/>
  <c r="L4" i="22" s="1"/>
  <c r="K19" i="22"/>
  <c r="N4" i="17"/>
  <c r="N16" i="14"/>
  <c r="N7" i="14"/>
  <c r="N8" i="17"/>
  <c r="O8" i="13"/>
  <c r="P3" i="13"/>
  <c r="O9" i="13"/>
  <c r="AK12" i="15" l="1"/>
  <c r="AN12" i="15" s="1"/>
  <c r="AN10" i="15"/>
  <c r="AJ3" i="16"/>
  <c r="AJ5" i="16" s="1"/>
  <c r="AJ9" i="23" s="1"/>
  <c r="S7" i="16"/>
  <c r="S8" i="16" s="1"/>
  <c r="AN5" i="15"/>
  <c r="AK6" i="15"/>
  <c r="AK3" i="16" s="1"/>
  <c r="AI9" i="23"/>
  <c r="L13" i="20"/>
  <c r="AL7" i="17"/>
  <c r="M5" i="22"/>
  <c r="AL5" i="22" s="1"/>
  <c r="M5" i="23"/>
  <c r="M6" i="21"/>
  <c r="M16" i="20"/>
  <c r="A14" i="25"/>
  <c r="L15" i="20"/>
  <c r="L18" i="22"/>
  <c r="N9" i="22"/>
  <c r="N6" i="23"/>
  <c r="L17" i="22"/>
  <c r="L14" i="20"/>
  <c r="B9" i="19" s="1" a="1"/>
  <c r="B9" i="19" s="1"/>
  <c r="O7" i="15"/>
  <c r="O13" i="15" s="1"/>
  <c r="O14" i="14"/>
  <c r="O3" i="14"/>
  <c r="O9" i="14"/>
  <c r="O10" i="14" s="1"/>
  <c r="O8" i="14"/>
  <c r="N6" i="17"/>
  <c r="P5" i="13"/>
  <c r="AC3" i="18"/>
  <c r="AC5" i="18" s="1"/>
  <c r="AC11" i="22" s="1"/>
  <c r="AB6" i="18"/>
  <c r="AB11" i="21" s="1"/>
  <c r="AL6" i="15" l="1"/>
  <c r="AM6" i="15"/>
  <c r="AN6" i="15"/>
  <c r="T6" i="16"/>
  <c r="T7" i="16" s="1"/>
  <c r="S7" i="22"/>
  <c r="S9" i="21"/>
  <c r="S4" i="23" s="1"/>
  <c r="M9" i="20"/>
  <c r="M5" i="20"/>
  <c r="M7" i="20" s="1"/>
  <c r="M8" i="21"/>
  <c r="N6" i="22"/>
  <c r="N8" i="23"/>
  <c r="O9" i="17"/>
  <c r="L19" i="22"/>
  <c r="O3" i="17"/>
  <c r="N17" i="14"/>
  <c r="P6" i="13"/>
  <c r="O7" i="21"/>
  <c r="O11" i="14"/>
  <c r="O4" i="14"/>
  <c r="O5" i="14"/>
  <c r="O4" i="21" s="1"/>
  <c r="O6" i="14"/>
  <c r="O5" i="21" s="1"/>
  <c r="O15" i="14"/>
  <c r="T8" i="16" l="1"/>
  <c r="T9" i="21"/>
  <c r="T4" i="23" s="1"/>
  <c r="AK5" i="16"/>
  <c r="AL3" i="16"/>
  <c r="AN3" i="16"/>
  <c r="M6" i="20"/>
  <c r="M8" i="20" s="1"/>
  <c r="AL7" i="20"/>
  <c r="M10" i="21"/>
  <c r="M12" i="21" s="1"/>
  <c r="M13" i="21" s="1"/>
  <c r="M11" i="20"/>
  <c r="M10" i="20"/>
  <c r="N18" i="14"/>
  <c r="N7" i="17" s="1"/>
  <c r="N4" i="20"/>
  <c r="O7" i="23"/>
  <c r="O10" i="22"/>
  <c r="O8" i="17"/>
  <c r="O4" i="17"/>
  <c r="O16" i="14"/>
  <c r="O7" i="14"/>
  <c r="P7" i="13"/>
  <c r="O5" i="17"/>
  <c r="AD3" i="18"/>
  <c r="AD5" i="18" s="1"/>
  <c r="AD11" i="22" s="1"/>
  <c r="AC6" i="18"/>
  <c r="AC11" i="21" s="1"/>
  <c r="O6" i="17" l="1"/>
  <c r="O6" i="22" s="1"/>
  <c r="AK9" i="23"/>
  <c r="AN5" i="16"/>
  <c r="U6" i="16"/>
  <c r="U7" i="16" s="1"/>
  <c r="T7" i="22"/>
  <c r="AL8" i="20"/>
  <c r="M2" i="27" s="1"/>
  <c r="AL6" i="20"/>
  <c r="AL11" i="20"/>
  <c r="M12" i="20"/>
  <c r="AL12" i="20" s="1"/>
  <c r="Q2" i="27" s="1"/>
  <c r="M14" i="21"/>
  <c r="M15" i="21" s="1"/>
  <c r="AL13" i="21"/>
  <c r="N5" i="22"/>
  <c r="N5" i="23"/>
  <c r="O9" i="22"/>
  <c r="O6" i="23"/>
  <c r="O8" i="23"/>
  <c r="N3" i="21"/>
  <c r="N3" i="20"/>
  <c r="P3" i="17"/>
  <c r="O17" i="14"/>
  <c r="P8" i="13"/>
  <c r="P9" i="13"/>
  <c r="Q3" i="13"/>
  <c r="U8" i="16" l="1"/>
  <c r="U9" i="21"/>
  <c r="U4" i="23" s="1"/>
  <c r="AL9" i="23"/>
  <c r="AM9" i="23"/>
  <c r="AN9" i="23"/>
  <c r="M14" i="22"/>
  <c r="M3" i="23"/>
  <c r="M12" i="23" s="1"/>
  <c r="M4" i="22" s="1"/>
  <c r="M13" i="20" s="1"/>
  <c r="O18" i="14"/>
  <c r="O4" i="20"/>
  <c r="N6" i="21"/>
  <c r="N16" i="20"/>
  <c r="Q5" i="13"/>
  <c r="P5" i="17"/>
  <c r="P7" i="15"/>
  <c r="P13" i="15" s="1"/>
  <c r="P14" i="14"/>
  <c r="P3" i="14"/>
  <c r="P8" i="14"/>
  <c r="P9" i="14"/>
  <c r="P10" i="14" s="1"/>
  <c r="AE3" i="18"/>
  <c r="AE5" i="18" s="1"/>
  <c r="AE11" i="22" s="1"/>
  <c r="AD6" i="18"/>
  <c r="AD11" i="21" s="1"/>
  <c r="V6" i="16" l="1"/>
  <c r="U7" i="22"/>
  <c r="AL4" i="22"/>
  <c r="AL14" i="20" s="1"/>
  <c r="AL13" i="20"/>
  <c r="M14" i="20"/>
  <c r="B10" i="19" s="1"/>
  <c r="N22" i="27" s="1"/>
  <c r="M17" i="22"/>
  <c r="AL14" i="22"/>
  <c r="AL15" i="20" s="1"/>
  <c r="M15" i="20"/>
  <c r="M18" i="22"/>
  <c r="AL18" i="22" s="1"/>
  <c r="N8" i="21"/>
  <c r="N5" i="20"/>
  <c r="N7" i="20" s="1"/>
  <c r="N9" i="20"/>
  <c r="O3" i="21"/>
  <c r="O3" i="20"/>
  <c r="P9" i="17"/>
  <c r="O7" i="17"/>
  <c r="P11" i="14"/>
  <c r="P15" i="14"/>
  <c r="Q6" i="13"/>
  <c r="P5" i="14"/>
  <c r="P4" i="21" s="1"/>
  <c r="P4" i="14"/>
  <c r="P6" i="14"/>
  <c r="P5" i="21" s="1"/>
  <c r="P7" i="21"/>
  <c r="AF3" i="18"/>
  <c r="AF5" i="18" s="1"/>
  <c r="AF11" i="22" s="1"/>
  <c r="AE6" i="18"/>
  <c r="AE11" i="21" s="1"/>
  <c r="V7" i="16" l="1"/>
  <c r="V9" i="21" s="1"/>
  <c r="V4" i="23" s="1"/>
  <c r="B11" i="19"/>
  <c r="P22" i="27" s="1"/>
  <c r="AL17" i="22"/>
  <c r="AL19" i="22" s="1"/>
  <c r="M19" i="22"/>
  <c r="O6" i="21"/>
  <c r="O16" i="20"/>
  <c r="N6" i="20"/>
  <c r="N8" i="20" s="1"/>
  <c r="N10" i="21"/>
  <c r="N11" i="20"/>
  <c r="N10" i="20"/>
  <c r="O5" i="22"/>
  <c r="O5" i="23"/>
  <c r="P7" i="23"/>
  <c r="P10" i="22"/>
  <c r="P7" i="14"/>
  <c r="P8" i="17"/>
  <c r="Q7" i="13"/>
  <c r="P16" i="14"/>
  <c r="P4" i="17"/>
  <c r="AG3" i="18"/>
  <c r="AG5" i="18" s="1"/>
  <c r="AG11" i="22" s="1"/>
  <c r="AF6" i="18"/>
  <c r="AF11" i="21" s="1"/>
  <c r="V8" i="16" l="1"/>
  <c r="B13" i="19"/>
  <c r="Q22" i="27" s="1"/>
  <c r="B14" i="19"/>
  <c r="N12" i="21"/>
  <c r="O8" i="21"/>
  <c r="O5" i="20"/>
  <c r="O7" i="20" s="1"/>
  <c r="O9" i="20"/>
  <c r="P9" i="22"/>
  <c r="P6" i="23"/>
  <c r="N12" i="20"/>
  <c r="P6" i="17"/>
  <c r="Q8" i="13"/>
  <c r="R3" i="13"/>
  <c r="Q9" i="13"/>
  <c r="AH3" i="18"/>
  <c r="AH5" i="18" s="1"/>
  <c r="AH11" i="22" s="1"/>
  <c r="AG6" i="18"/>
  <c r="AG11" i="21" s="1"/>
  <c r="W6" i="16" l="1"/>
  <c r="W7" i="16" s="1"/>
  <c r="V7" i="22"/>
  <c r="U2" i="27"/>
  <c r="N13" i="21"/>
  <c r="N14" i="21" s="1"/>
  <c r="P6" i="22"/>
  <c r="P8" i="23"/>
  <c r="O6" i="20"/>
  <c r="O8" i="20" s="1"/>
  <c r="O10" i="21"/>
  <c r="O10" i="20"/>
  <c r="O11" i="20"/>
  <c r="R5" i="13"/>
  <c r="Q7" i="15"/>
  <c r="Q13" i="15" s="1"/>
  <c r="Q14" i="14"/>
  <c r="Q3" i="14"/>
  <c r="Q8" i="14"/>
  <c r="Q9" i="14"/>
  <c r="Q10" i="14" s="1"/>
  <c r="Q3" i="17"/>
  <c r="P17" i="14"/>
  <c r="AH6" i="18"/>
  <c r="AH11" i="21" s="1"/>
  <c r="AI3" i="18"/>
  <c r="AI5" i="18" s="1"/>
  <c r="AI11" i="22" s="1"/>
  <c r="W8" i="16" l="1"/>
  <c r="W9" i="21"/>
  <c r="W4" i="23" s="1"/>
  <c r="N15" i="21"/>
  <c r="O12" i="21"/>
  <c r="P18" i="14"/>
  <c r="P4" i="20"/>
  <c r="O12" i="20"/>
  <c r="Q5" i="17"/>
  <c r="Q11" i="14"/>
  <c r="Q9" i="17"/>
  <c r="Q6" i="14"/>
  <c r="Q5" i="21" s="1"/>
  <c r="Q5" i="14"/>
  <c r="Q4" i="21" s="1"/>
  <c r="Q4" i="14"/>
  <c r="Q15" i="14"/>
  <c r="Q7" i="21"/>
  <c r="R6" i="13"/>
  <c r="R7" i="13" s="1"/>
  <c r="AJ3" i="18"/>
  <c r="AJ5" i="18" s="1"/>
  <c r="AJ11" i="22" s="1"/>
  <c r="AI6" i="18"/>
  <c r="AI11" i="21" s="1"/>
  <c r="X6" i="16" l="1"/>
  <c r="W7" i="22"/>
  <c r="N14" i="22"/>
  <c r="N3" i="23"/>
  <c r="O13" i="21"/>
  <c r="O14" i="21" s="1"/>
  <c r="P3" i="20"/>
  <c r="P3" i="21"/>
  <c r="Q7" i="23"/>
  <c r="Q10" i="22"/>
  <c r="P7" i="17"/>
  <c r="R8" i="13"/>
  <c r="R9" i="13"/>
  <c r="S3" i="13"/>
  <c r="Q4" i="17"/>
  <c r="Q16" i="14"/>
  <c r="Q7" i="14"/>
  <c r="Q8" i="17"/>
  <c r="AJ6" i="18"/>
  <c r="AJ11" i="21" s="1"/>
  <c r="AK3" i="18"/>
  <c r="AK5" i="18" s="1"/>
  <c r="AK11" i="22" s="1"/>
  <c r="AN11" i="22" s="1"/>
  <c r="X7" i="16" l="1"/>
  <c r="X9" i="21" s="1"/>
  <c r="X4" i="23" s="1"/>
  <c r="O15" i="21"/>
  <c r="O14" i="22" s="1"/>
  <c r="N15" i="20"/>
  <c r="N18" i="22"/>
  <c r="N12" i="23"/>
  <c r="N4" i="22" s="1"/>
  <c r="N13" i="20" s="1"/>
  <c r="P6" i="21"/>
  <c r="P16" i="20"/>
  <c r="Q9" i="22"/>
  <c r="Q6" i="23"/>
  <c r="P5" i="22"/>
  <c r="P5" i="23"/>
  <c r="Q6" i="17"/>
  <c r="S5" i="13"/>
  <c r="S6" i="13" s="1"/>
  <c r="R7" i="15"/>
  <c r="R13" i="15" s="1"/>
  <c r="R14" i="14"/>
  <c r="R9" i="14"/>
  <c r="R10" i="14" s="1"/>
  <c r="R3" i="14"/>
  <c r="R8" i="14"/>
  <c r="X8" i="16" l="1"/>
  <c r="S7" i="13"/>
  <c r="T3" i="13" s="1"/>
  <c r="O18" i="22"/>
  <c r="O15" i="20"/>
  <c r="O3" i="23"/>
  <c r="A20" i="25" a="1"/>
  <c r="A20" i="25" s="1"/>
  <c r="N14" i="20"/>
  <c r="N17" i="22"/>
  <c r="N19" i="22" s="1"/>
  <c r="P8" i="21"/>
  <c r="P9" i="20"/>
  <c r="P5" i="20"/>
  <c r="P7" i="20" s="1"/>
  <c r="Q6" i="22"/>
  <c r="Q8" i="23"/>
  <c r="R5" i="14"/>
  <c r="R4" i="21" s="1"/>
  <c r="R4" i="14"/>
  <c r="R6" i="14"/>
  <c r="R5" i="21" s="1"/>
  <c r="R11" i="14"/>
  <c r="R9" i="17"/>
  <c r="R15" i="14"/>
  <c r="R7" i="21"/>
  <c r="R3" i="17"/>
  <c r="Q17" i="14"/>
  <c r="AK6" i="18"/>
  <c r="AK11" i="21" s="1"/>
  <c r="AN5" i="18"/>
  <c r="AL11" i="21" l="1"/>
  <c r="AM11" i="21"/>
  <c r="AN11" i="21"/>
  <c r="Y6" i="16"/>
  <c r="Y7" i="16" s="1"/>
  <c r="X7" i="22"/>
  <c r="S8" i="13"/>
  <c r="S7" i="15" s="1"/>
  <c r="S9" i="13"/>
  <c r="O12" i="23"/>
  <c r="O4" i="22" s="1"/>
  <c r="O13" i="20" s="1"/>
  <c r="R7" i="23"/>
  <c r="R10" i="22"/>
  <c r="P6" i="20"/>
  <c r="P8" i="20" s="1"/>
  <c r="P10" i="21"/>
  <c r="P10" i="20"/>
  <c r="P11" i="20"/>
  <c r="P12" i="20" s="1"/>
  <c r="Q18" i="14"/>
  <c r="Q7" i="17" s="1"/>
  <c r="Q4" i="20"/>
  <c r="R5" i="17"/>
  <c r="T5" i="13"/>
  <c r="T6" i="13" s="1"/>
  <c r="R7" i="14"/>
  <c r="R16" i="14"/>
  <c r="R4" i="17"/>
  <c r="R8" i="17"/>
  <c r="AL6" i="18"/>
  <c r="AM6" i="18"/>
  <c r="AN6" i="18"/>
  <c r="S13" i="15" l="1"/>
  <c r="S7" i="21" s="1"/>
  <c r="Y8" i="16"/>
  <c r="Y9" i="21"/>
  <c r="Y4" i="23" s="1"/>
  <c r="S3" i="14"/>
  <c r="S6" i="14" s="1"/>
  <c r="S5" i="21" s="1"/>
  <c r="S9" i="14"/>
  <c r="S10" i="14" s="1"/>
  <c r="S9" i="17" s="1"/>
  <c r="S8" i="14"/>
  <c r="S14" i="14"/>
  <c r="S15" i="14" s="1"/>
  <c r="S16" i="14" s="1"/>
  <c r="O17" i="22"/>
  <c r="O19" i="22" s="1"/>
  <c r="O14" i="20"/>
  <c r="P12" i="21"/>
  <c r="Q5" i="22"/>
  <c r="Q5" i="23"/>
  <c r="Q3" i="20"/>
  <c r="Q3" i="21"/>
  <c r="R6" i="23"/>
  <c r="R9" i="22"/>
  <c r="T7" i="13"/>
  <c r="R6" i="17"/>
  <c r="Z6" i="16" l="1"/>
  <c r="Y7" i="22"/>
  <c r="AM7" i="22" s="1"/>
  <c r="AM8" i="16"/>
  <c r="S11" i="14"/>
  <c r="S4" i="17"/>
  <c r="S5" i="14"/>
  <c r="S4" i="21" s="1"/>
  <c r="S4" i="14"/>
  <c r="P13" i="21"/>
  <c r="P14" i="21" s="1"/>
  <c r="S10" i="22"/>
  <c r="S7" i="23"/>
  <c r="R6" i="22"/>
  <c r="R8" i="23"/>
  <c r="Q6" i="21"/>
  <c r="Q16" i="20"/>
  <c r="S3" i="17"/>
  <c r="R17" i="14"/>
  <c r="T8" i="13"/>
  <c r="U3" i="13"/>
  <c r="T9" i="13"/>
  <c r="S7" i="14" l="1"/>
  <c r="AN6" i="16"/>
  <c r="Z7" i="16"/>
  <c r="S8" i="17"/>
  <c r="S6" i="23" s="1"/>
  <c r="P15" i="21"/>
  <c r="R18" i="14"/>
  <c r="R4" i="20"/>
  <c r="Q8" i="21"/>
  <c r="Q9" i="20"/>
  <c r="Q5" i="20"/>
  <c r="Q7" i="20" s="1"/>
  <c r="T7" i="15"/>
  <c r="T14" i="14"/>
  <c r="T15" i="14" s="1"/>
  <c r="T8" i="14"/>
  <c r="T9" i="14"/>
  <c r="T10" i="14" s="1"/>
  <c r="T3" i="14"/>
  <c r="U5" i="13"/>
  <c r="U6" i="13" s="1"/>
  <c r="S5" i="17"/>
  <c r="S6" i="17" s="1"/>
  <c r="S6" i="22" s="1"/>
  <c r="T13" i="15" l="1"/>
  <c r="T7" i="21" s="1"/>
  <c r="Z8" i="16"/>
  <c r="Z9" i="21"/>
  <c r="S9" i="22"/>
  <c r="P14" i="22"/>
  <c r="P3" i="23"/>
  <c r="R3" i="20"/>
  <c r="R3" i="21"/>
  <c r="R7" i="17"/>
  <c r="T9" i="17"/>
  <c r="Q6" i="20"/>
  <c r="Q8" i="20" s="1"/>
  <c r="Q10" i="21"/>
  <c r="Q10" i="20"/>
  <c r="Q11" i="20"/>
  <c r="Q12" i="20" s="1"/>
  <c r="S8" i="23"/>
  <c r="T3" i="17"/>
  <c r="T16" i="14"/>
  <c r="T4" i="17"/>
  <c r="S17" i="14"/>
  <c r="U7" i="13"/>
  <c r="T6" i="14"/>
  <c r="T5" i="21" s="1"/>
  <c r="T4" i="14"/>
  <c r="T5" i="14"/>
  <c r="T4" i="21" s="1"/>
  <c r="T11" i="14"/>
  <c r="Z4" i="23" l="1"/>
  <c r="AA6" i="16"/>
  <c r="Z7" i="22"/>
  <c r="P12" i="23"/>
  <c r="P4" i="22" s="1"/>
  <c r="P13" i="20" s="1"/>
  <c r="P15" i="20"/>
  <c r="P18" i="22"/>
  <c r="Q12" i="21"/>
  <c r="Q13" i="21" s="1"/>
  <c r="Q14" i="21" s="1"/>
  <c r="R5" i="22"/>
  <c r="R5" i="23"/>
  <c r="R6" i="21"/>
  <c r="R16" i="20"/>
  <c r="S18" i="14"/>
  <c r="S7" i="17" s="1"/>
  <c r="S5" i="23" s="1"/>
  <c r="S4" i="20"/>
  <c r="T10" i="22"/>
  <c r="T7" i="23"/>
  <c r="T8" i="17"/>
  <c r="T5" i="17"/>
  <c r="T6" i="17" s="1"/>
  <c r="V3" i="13"/>
  <c r="U8" i="13"/>
  <c r="U9" i="13"/>
  <c r="T7" i="14"/>
  <c r="AA7" i="16" l="1"/>
  <c r="Q15" i="21"/>
  <c r="Q14" i="22" s="1"/>
  <c r="P17" i="22"/>
  <c r="P19" i="22" s="1"/>
  <c r="P14" i="20"/>
  <c r="R8" i="21"/>
  <c r="R9" i="20"/>
  <c r="R5" i="20"/>
  <c r="R7" i="20" s="1"/>
  <c r="S5" i="22"/>
  <c r="T17" i="14"/>
  <c r="T6" i="22"/>
  <c r="T6" i="23"/>
  <c r="T9" i="22"/>
  <c r="T8" i="23"/>
  <c r="S3" i="20"/>
  <c r="S3" i="21"/>
  <c r="U7" i="15"/>
  <c r="U14" i="14"/>
  <c r="U15" i="14" s="1"/>
  <c r="U9" i="14"/>
  <c r="U10" i="14" s="1"/>
  <c r="U8" i="14"/>
  <c r="U3" i="14"/>
  <c r="V5" i="13"/>
  <c r="V6" i="13" s="1"/>
  <c r="U3" i="17"/>
  <c r="U13" i="15" l="1"/>
  <c r="U7" i="21" s="1"/>
  <c r="AA9" i="21"/>
  <c r="AA8" i="16"/>
  <c r="U11" i="14"/>
  <c r="Q3" i="23"/>
  <c r="R6" i="20"/>
  <c r="R8" i="20" s="1"/>
  <c r="R10" i="21"/>
  <c r="R10" i="20"/>
  <c r="R11" i="20"/>
  <c r="R12" i="20" s="1"/>
  <c r="U9" i="17"/>
  <c r="S6" i="21"/>
  <c r="S16" i="20"/>
  <c r="Q15" i="20"/>
  <c r="Q18" i="22"/>
  <c r="T18" i="14"/>
  <c r="T4" i="20"/>
  <c r="U4" i="14"/>
  <c r="U5" i="14"/>
  <c r="U4" i="21" s="1"/>
  <c r="U6" i="14"/>
  <c r="U5" i="21" s="1"/>
  <c r="U4" i="17"/>
  <c r="U16" i="14"/>
  <c r="U5" i="17"/>
  <c r="V7" i="13"/>
  <c r="AA4" i="23" l="1"/>
  <c r="AB6" i="16"/>
  <c r="AA7" i="22"/>
  <c r="U6" i="17"/>
  <c r="U6" i="22" s="1"/>
  <c r="Q12" i="23"/>
  <c r="Q4" i="22" s="1"/>
  <c r="Q13" i="20" s="1"/>
  <c r="R12" i="21"/>
  <c r="R13" i="21" s="1"/>
  <c r="R14" i="21" s="1"/>
  <c r="R15" i="21" s="1"/>
  <c r="R14" i="22" s="1"/>
  <c r="T3" i="21"/>
  <c r="T3" i="20"/>
  <c r="T7" i="17"/>
  <c r="S8" i="21"/>
  <c r="S5" i="20"/>
  <c r="S7" i="20" s="1"/>
  <c r="S9" i="20"/>
  <c r="U10" i="22"/>
  <c r="U7" i="23"/>
  <c r="V8" i="13"/>
  <c r="V9" i="13"/>
  <c r="W3" i="13"/>
  <c r="U8" i="17"/>
  <c r="U7" i="14"/>
  <c r="AB7" i="16" l="1"/>
  <c r="AB8" i="16"/>
  <c r="U8" i="23"/>
  <c r="U17" i="14"/>
  <c r="U18" i="14" s="1"/>
  <c r="U7" i="17" s="1"/>
  <c r="U5" i="23" s="1"/>
  <c r="V3" i="17"/>
  <c r="V5" i="17" s="1"/>
  <c r="Q17" i="22"/>
  <c r="Q19" i="22" s="1"/>
  <c r="Q14" i="20"/>
  <c r="R3" i="23"/>
  <c r="T6" i="21"/>
  <c r="T16" i="20"/>
  <c r="R15" i="20"/>
  <c r="R18" i="22"/>
  <c r="U9" i="22"/>
  <c r="U6" i="23"/>
  <c r="S6" i="20"/>
  <c r="S8" i="20" s="1"/>
  <c r="S10" i="21"/>
  <c r="S12" i="21" s="1"/>
  <c r="S13" i="21" s="1"/>
  <c r="S14" i="21" s="1"/>
  <c r="S15" i="21" s="1"/>
  <c r="S10" i="20"/>
  <c r="S11" i="20"/>
  <c r="S12" i="20" s="1"/>
  <c r="T5" i="22"/>
  <c r="T5" i="23"/>
  <c r="W5" i="13"/>
  <c r="W6" i="13" s="1"/>
  <c r="W7" i="13" s="1"/>
  <c r="V7" i="15"/>
  <c r="V14" i="14"/>
  <c r="V15" i="14" s="1"/>
  <c r="V3" i="14"/>
  <c r="V8" i="14"/>
  <c r="V9" i="14"/>
  <c r="V10" i="14" s="1"/>
  <c r="V13" i="15" l="1"/>
  <c r="V7" i="21" s="1"/>
  <c r="AC6" i="16"/>
  <c r="AC7" i="16" s="1"/>
  <c r="AB7" i="22"/>
  <c r="AB9" i="21"/>
  <c r="U4" i="20"/>
  <c r="R12" i="23"/>
  <c r="R4" i="22" s="1"/>
  <c r="R13" i="20" s="1"/>
  <c r="T8" i="21"/>
  <c r="T5" i="20"/>
  <c r="T7" i="20" s="1"/>
  <c r="T9" i="20"/>
  <c r="S14" i="22"/>
  <c r="S3" i="23"/>
  <c r="S12" i="23" s="1"/>
  <c r="V9" i="17"/>
  <c r="U5" i="22"/>
  <c r="U3" i="21"/>
  <c r="U3" i="20"/>
  <c r="W8" i="13"/>
  <c r="X3" i="13"/>
  <c r="W9" i="13"/>
  <c r="V4" i="14"/>
  <c r="V6" i="14"/>
  <c r="V5" i="21" s="1"/>
  <c r="V5" i="14"/>
  <c r="V4" i="21" s="1"/>
  <c r="V11" i="14"/>
  <c r="V4" i="17"/>
  <c r="V6" i="17" s="1"/>
  <c r="V16" i="14"/>
  <c r="AB4" i="23" l="1"/>
  <c r="AC8" i="16"/>
  <c r="AC9" i="21"/>
  <c r="AC4" i="23" s="1"/>
  <c r="S4" i="22"/>
  <c r="S13" i="20" s="1"/>
  <c r="R17" i="22"/>
  <c r="R19" i="22" s="1"/>
  <c r="R14" i="20"/>
  <c r="V6" i="22"/>
  <c r="V8" i="23"/>
  <c r="U6" i="21"/>
  <c r="U16" i="20"/>
  <c r="V10" i="22"/>
  <c r="V7" i="23"/>
  <c r="S15" i="20"/>
  <c r="S18" i="22"/>
  <c r="T6" i="20"/>
  <c r="T8" i="20" s="1"/>
  <c r="T10" i="21"/>
  <c r="T12" i="21" s="1"/>
  <c r="T13" i="21" s="1"/>
  <c r="T14" i="21" s="1"/>
  <c r="T15" i="21" s="1"/>
  <c r="T11" i="20"/>
  <c r="T10" i="20"/>
  <c r="W3" i="17"/>
  <c r="V17" i="14"/>
  <c r="V4" i="20" s="1"/>
  <c r="V7" i="14"/>
  <c r="V8" i="17"/>
  <c r="X5" i="13"/>
  <c r="X6" i="13" s="1"/>
  <c r="W7" i="15"/>
  <c r="W14" i="14"/>
  <c r="W15" i="14" s="1"/>
  <c r="W9" i="14"/>
  <c r="W10" i="14" s="1"/>
  <c r="W3" i="14"/>
  <c r="W8" i="14"/>
  <c r="W13" i="15" l="1"/>
  <c r="W7" i="21" s="1"/>
  <c r="AD6" i="16"/>
  <c r="AD7" i="16" s="1"/>
  <c r="AC7" i="22"/>
  <c r="X7" i="13"/>
  <c r="X8" i="13" s="1"/>
  <c r="S14" i="20"/>
  <c r="S17" i="22"/>
  <c r="S19" i="22" s="1"/>
  <c r="V18" i="14"/>
  <c r="V3" i="21" s="1"/>
  <c r="V6" i="21" s="1"/>
  <c r="U8" i="21"/>
  <c r="U5" i="20"/>
  <c r="U7" i="20" s="1"/>
  <c r="U9" i="20"/>
  <c r="V6" i="23"/>
  <c r="V9" i="22"/>
  <c r="T12" i="20"/>
  <c r="T14" i="22"/>
  <c r="T3" i="23"/>
  <c r="T12" i="23" s="1"/>
  <c r="T4" i="22" s="1"/>
  <c r="T13" i="20" s="1"/>
  <c r="W9" i="17"/>
  <c r="W11" i="14"/>
  <c r="W4" i="14"/>
  <c r="W6" i="14"/>
  <c r="W5" i="21" s="1"/>
  <c r="W5" i="14"/>
  <c r="W4" i="21" s="1"/>
  <c r="W4" i="17"/>
  <c r="W16" i="14"/>
  <c r="W5" i="17"/>
  <c r="AD8" i="16" l="1"/>
  <c r="AD9" i="21"/>
  <c r="X9" i="13"/>
  <c r="Y3" i="13"/>
  <c r="Y5" i="13" s="1"/>
  <c r="Y6" i="13" s="1"/>
  <c r="Y7" i="13" s="1"/>
  <c r="V7" i="17"/>
  <c r="V5" i="22" s="1"/>
  <c r="V3" i="20"/>
  <c r="W6" i="17"/>
  <c r="X3" i="17" s="1"/>
  <c r="W7" i="23"/>
  <c r="W10" i="22"/>
  <c r="T17" i="22"/>
  <c r="T14" i="20"/>
  <c r="T15" i="20"/>
  <c r="T18" i="22"/>
  <c r="V8" i="21"/>
  <c r="V9" i="20"/>
  <c r="V5" i="20"/>
  <c r="V7" i="20" s="1"/>
  <c r="V16" i="20"/>
  <c r="U6" i="20"/>
  <c r="U8" i="20" s="1"/>
  <c r="U10" i="21"/>
  <c r="U12" i="21" s="1"/>
  <c r="U13" i="21" s="1"/>
  <c r="U14" i="21" s="1"/>
  <c r="U15" i="21" s="1"/>
  <c r="U11" i="20"/>
  <c r="U10" i="20"/>
  <c r="X7" i="15"/>
  <c r="X14" i="14"/>
  <c r="X15" i="14" s="1"/>
  <c r="X8" i="14"/>
  <c r="X9" i="14"/>
  <c r="X10" i="14" s="1"/>
  <c r="X3" i="14"/>
  <c r="W8" i="17"/>
  <c r="W7" i="14"/>
  <c r="AL5" i="17"/>
  <c r="X13" i="15" l="1"/>
  <c r="X7" i="21" s="1"/>
  <c r="AD4" i="23"/>
  <c r="AE6" i="16"/>
  <c r="AE7" i="16" s="1"/>
  <c r="AD7" i="22"/>
  <c r="V5" i="23"/>
  <c r="W6" i="22"/>
  <c r="W17" i="14"/>
  <c r="W8" i="23"/>
  <c r="T19" i="22"/>
  <c r="X9" i="17"/>
  <c r="U12" i="20"/>
  <c r="U14" i="22"/>
  <c r="U3" i="23"/>
  <c r="U12" i="23" s="1"/>
  <c r="U4" i="22" s="1"/>
  <c r="U13" i="20" s="1"/>
  <c r="V6" i="20"/>
  <c r="V8" i="20" s="1"/>
  <c r="V10" i="21"/>
  <c r="V12" i="21" s="1"/>
  <c r="V13" i="21" s="1"/>
  <c r="V14" i="21" s="1"/>
  <c r="V15" i="21" s="1"/>
  <c r="V10" i="20"/>
  <c r="V11" i="20"/>
  <c r="V12" i="20" s="1"/>
  <c r="W6" i="23"/>
  <c r="W9" i="22"/>
  <c r="X4" i="17"/>
  <c r="X16" i="14"/>
  <c r="X5" i="17"/>
  <c r="X4" i="14"/>
  <c r="X6" i="14"/>
  <c r="X5" i="21" s="1"/>
  <c r="X5" i="14"/>
  <c r="X4" i="21" s="1"/>
  <c r="X11" i="14"/>
  <c r="AM7" i="13"/>
  <c r="AM8" i="13" s="1"/>
  <c r="Z3" i="13"/>
  <c r="Y9" i="13"/>
  <c r="Y8" i="13"/>
  <c r="AE8" i="16" l="1"/>
  <c r="AE9" i="21"/>
  <c r="AE4" i="23" s="1"/>
  <c r="V14" i="22"/>
  <c r="V18" i="22" s="1"/>
  <c r="W4" i="20"/>
  <c r="W18" i="14"/>
  <c r="V3" i="23"/>
  <c r="V12" i="23" s="1"/>
  <c r="V4" i="22" s="1"/>
  <c r="V13" i="20" s="1"/>
  <c r="U17" i="22"/>
  <c r="U14" i="20"/>
  <c r="U15" i="20"/>
  <c r="U18" i="22"/>
  <c r="X7" i="23"/>
  <c r="X10" i="22"/>
  <c r="Z5" i="13"/>
  <c r="AN3" i="13"/>
  <c r="Y7" i="15"/>
  <c r="Y14" i="14"/>
  <c r="Y15" i="14" s="1"/>
  <c r="Y9" i="14"/>
  <c r="Y10" i="14" s="1"/>
  <c r="Y3" i="14"/>
  <c r="Y8" i="14"/>
  <c r="X8" i="17"/>
  <c r="X7" i="14"/>
  <c r="X6" i="17"/>
  <c r="AL17" i="14"/>
  <c r="Y13" i="15" l="1"/>
  <c r="Y7" i="21" s="1"/>
  <c r="AF6" i="16"/>
  <c r="AF7" i="16" s="1"/>
  <c r="AE7" i="22"/>
  <c r="V17" i="22"/>
  <c r="V19" i="22" s="1"/>
  <c r="V15" i="20"/>
  <c r="W3" i="21"/>
  <c r="W7" i="17"/>
  <c r="W3" i="20"/>
  <c r="V14" i="20"/>
  <c r="U19" i="22"/>
  <c r="X6" i="22"/>
  <c r="X8" i="23"/>
  <c r="X9" i="22"/>
  <c r="X6" i="23"/>
  <c r="Y11" i="14"/>
  <c r="Y9" i="17"/>
  <c r="Y3" i="17"/>
  <c r="X17" i="14"/>
  <c r="X4" i="20" s="1"/>
  <c r="Y4" i="14"/>
  <c r="Y6" i="14"/>
  <c r="Y5" i="21" s="1"/>
  <c r="Y5" i="14"/>
  <c r="Y4" i="21" s="1"/>
  <c r="AM3" i="14"/>
  <c r="Y16" i="14"/>
  <c r="Y4" i="17"/>
  <c r="Z6" i="13"/>
  <c r="AF8" i="16" l="1"/>
  <c r="AF9" i="21"/>
  <c r="AF4" i="23" s="1"/>
  <c r="W6" i="21"/>
  <c r="W16" i="20"/>
  <c r="W5" i="22"/>
  <c r="W5" i="23"/>
  <c r="Y7" i="23"/>
  <c r="Y10" i="22"/>
  <c r="AM10" i="22" s="1"/>
  <c r="Z7" i="13"/>
  <c r="Y8" i="17"/>
  <c r="Y7" i="14"/>
  <c r="X18" i="14"/>
  <c r="Y5" i="17"/>
  <c r="AM9" i="17"/>
  <c r="AG6" i="16" l="1"/>
  <c r="AF7" i="22"/>
  <c r="W8" i="21"/>
  <c r="W5" i="20"/>
  <c r="W7" i="20" s="1"/>
  <c r="W9" i="20"/>
  <c r="Y6" i="23"/>
  <c r="Y9" i="22"/>
  <c r="AM9" i="22" s="1"/>
  <c r="X3" i="21"/>
  <c r="X3" i="20"/>
  <c r="Y6" i="17"/>
  <c r="AM5" i="17"/>
  <c r="X7" i="17"/>
  <c r="AM8" i="17"/>
  <c r="Z8" i="13"/>
  <c r="AA3" i="13"/>
  <c r="Z9" i="13"/>
  <c r="AG7" i="16" l="1"/>
  <c r="AG9" i="21" s="1"/>
  <c r="AG4" i="23" s="1"/>
  <c r="AG8" i="16"/>
  <c r="W10" i="20"/>
  <c r="W11" i="20"/>
  <c r="W12" i="20" s="1"/>
  <c r="W10" i="21"/>
  <c r="W12" i="21" s="1"/>
  <c r="W13" i="21" s="1"/>
  <c r="W14" i="21" s="1"/>
  <c r="W15" i="21" s="1"/>
  <c r="W6" i="20"/>
  <c r="W8" i="20" s="1"/>
  <c r="X5" i="22"/>
  <c r="X5" i="23"/>
  <c r="Y6" i="22"/>
  <c r="AM6" i="22" s="1"/>
  <c r="Y8" i="23"/>
  <c r="X6" i="21"/>
  <c r="X16" i="20"/>
  <c r="AA5" i="13"/>
  <c r="Z7" i="15"/>
  <c r="Z13" i="15" s="1"/>
  <c r="Z14" i="14"/>
  <c r="Z3" i="14"/>
  <c r="Z8" i="14"/>
  <c r="Z9" i="14"/>
  <c r="Z10" i="14" s="1"/>
  <c r="Z3" i="17"/>
  <c r="AM6" i="17"/>
  <c r="Y17" i="14"/>
  <c r="Y4" i="20" s="1"/>
  <c r="AM4" i="20" s="1"/>
  <c r="AH6" i="16" l="1"/>
  <c r="AH7" i="16" s="1"/>
  <c r="AG7" i="22"/>
  <c r="W14" i="22"/>
  <c r="W3" i="23"/>
  <c r="W12" i="23" s="1"/>
  <c r="W4" i="22" s="1"/>
  <c r="W13" i="20" s="1"/>
  <c r="X8" i="21"/>
  <c r="X5" i="20"/>
  <c r="X7" i="20" s="1"/>
  <c r="X9" i="20"/>
  <c r="Z11" i="14"/>
  <c r="Z9" i="17"/>
  <c r="Y18" i="14"/>
  <c r="AM17" i="14"/>
  <c r="AN3" i="17"/>
  <c r="Z5" i="17"/>
  <c r="Z15" i="14"/>
  <c r="Z7" i="21"/>
  <c r="AA6" i="13"/>
  <c r="Z4" i="14"/>
  <c r="Z5" i="14"/>
  <c r="Z4" i="21" s="1"/>
  <c r="Z6" i="14"/>
  <c r="Z5" i="21" s="1"/>
  <c r="AH8" i="16" l="1"/>
  <c r="AH9" i="21"/>
  <c r="AH4" i="23" s="1"/>
  <c r="W18" i="22"/>
  <c r="W15" i="20"/>
  <c r="W14" i="20"/>
  <c r="W17" i="22"/>
  <c r="X6" i="20"/>
  <c r="X8" i="20" s="1"/>
  <c r="X10" i="20"/>
  <c r="X11" i="20"/>
  <c r="X12" i="20" s="1"/>
  <c r="X10" i="21"/>
  <c r="X12" i="21" s="1"/>
  <c r="X13" i="21" s="1"/>
  <c r="X14" i="21" s="1"/>
  <c r="X15" i="21" s="1"/>
  <c r="Y3" i="20"/>
  <c r="Y3" i="21"/>
  <c r="Z10" i="22"/>
  <c r="Z7" i="23"/>
  <c r="Z7" i="14"/>
  <c r="Z8" i="17"/>
  <c r="AA7" i="13"/>
  <c r="Z16" i="14"/>
  <c r="Z4" i="17"/>
  <c r="Y7" i="17"/>
  <c r="AI6" i="16" l="1"/>
  <c r="AI7" i="16" s="1"/>
  <c r="AH7" i="22"/>
  <c r="W19" i="22"/>
  <c r="X14" i="22"/>
  <c r="X3" i="23"/>
  <c r="X12" i="23" s="1"/>
  <c r="X4" i="22" s="1"/>
  <c r="X13" i="20" s="1"/>
  <c r="Y5" i="22"/>
  <c r="AM5" i="22" s="1"/>
  <c r="Y5" i="23"/>
  <c r="Z6" i="23"/>
  <c r="Z9" i="22"/>
  <c r="Y6" i="21"/>
  <c r="Y16" i="20"/>
  <c r="AM7" i="17"/>
  <c r="Z6" i="17"/>
  <c r="AA8" i="13"/>
  <c r="AB3" i="13"/>
  <c r="AA9" i="13"/>
  <c r="AI8" i="16" l="1"/>
  <c r="AI9" i="21"/>
  <c r="AI4" i="23" s="1"/>
  <c r="X17" i="22"/>
  <c r="X14" i="20"/>
  <c r="X15" i="20"/>
  <c r="X18" i="22"/>
  <c r="Z6" i="22"/>
  <c r="Z8" i="23"/>
  <c r="Y8" i="21"/>
  <c r="Y9" i="20"/>
  <c r="Y5" i="20"/>
  <c r="Y7" i="20" s="1"/>
  <c r="AB5" i="13"/>
  <c r="AA7" i="15"/>
  <c r="AA13" i="15" s="1"/>
  <c r="AA14" i="14"/>
  <c r="AA8" i="14"/>
  <c r="AA9" i="14"/>
  <c r="AA10" i="14" s="1"/>
  <c r="AA3" i="14"/>
  <c r="AA3" i="17"/>
  <c r="Z17" i="14"/>
  <c r="Z4" i="20" s="1"/>
  <c r="AJ6" i="16" l="1"/>
  <c r="AI7" i="22"/>
  <c r="X19" i="22"/>
  <c r="AA9" i="17"/>
  <c r="Y6" i="20"/>
  <c r="Y8" i="20" s="1"/>
  <c r="AM7" i="20"/>
  <c r="Y10" i="21"/>
  <c r="Y12" i="21" s="1"/>
  <c r="Y13" i="21" s="1"/>
  <c r="Y10" i="20"/>
  <c r="Y11" i="20"/>
  <c r="Z18" i="14"/>
  <c r="AA5" i="17"/>
  <c r="AA4" i="14"/>
  <c r="AA5" i="14"/>
  <c r="AA4" i="21" s="1"/>
  <c r="AA6" i="14"/>
  <c r="AA5" i="21" s="1"/>
  <c r="AA11" i="14"/>
  <c r="AA15" i="14"/>
  <c r="AA7" i="21"/>
  <c r="AB6" i="13"/>
  <c r="AJ7" i="16" l="1"/>
  <c r="AJ9" i="21" s="1"/>
  <c r="AJ4" i="23" s="1"/>
  <c r="AM8" i="20"/>
  <c r="AM6" i="20"/>
  <c r="Y12" i="20"/>
  <c r="AM12" i="20" s="1"/>
  <c r="AM11" i="20"/>
  <c r="Y14" i="21"/>
  <c r="Y15" i="21" s="1"/>
  <c r="Y14" i="22" s="1"/>
  <c r="AM14" i="22" s="1"/>
  <c r="AM15" i="20" s="1"/>
  <c r="AM13" i="21"/>
  <c r="AA10" i="22"/>
  <c r="AA7" i="23"/>
  <c r="Z3" i="20"/>
  <c r="Z3" i="21"/>
  <c r="AA8" i="17"/>
  <c r="AB7" i="13"/>
  <c r="AA16" i="14"/>
  <c r="AA4" i="17"/>
  <c r="AA7" i="14"/>
  <c r="Z7" i="17"/>
  <c r="AJ8" i="16" l="1"/>
  <c r="Y3" i="23"/>
  <c r="Y12" i="23" s="1"/>
  <c r="Y4" i="22" s="1"/>
  <c r="Y13" i="20" s="1"/>
  <c r="Z6" i="21"/>
  <c r="Z16" i="20"/>
  <c r="Z5" i="22"/>
  <c r="Z5" i="23"/>
  <c r="AA6" i="23"/>
  <c r="AA9" i="22"/>
  <c r="Y15" i="20"/>
  <c r="Y18" i="22"/>
  <c r="AM18" i="22" s="1"/>
  <c r="AA6" i="17"/>
  <c r="AB8" i="13"/>
  <c r="AC3" i="13"/>
  <c r="AB9" i="13"/>
  <c r="AK6" i="16" l="1"/>
  <c r="AK7" i="16" s="1"/>
  <c r="AJ7" i="22"/>
  <c r="AM4" i="22"/>
  <c r="AM14" i="20" s="1"/>
  <c r="AM13" i="20"/>
  <c r="Y17" i="22"/>
  <c r="AM17" i="22" s="1"/>
  <c r="AM19" i="22" s="1"/>
  <c r="Y14" i="20"/>
  <c r="Z9" i="20"/>
  <c r="Z5" i="20"/>
  <c r="Z7" i="20" s="1"/>
  <c r="Z8" i="21"/>
  <c r="AA6" i="22"/>
  <c r="AA8" i="23"/>
  <c r="AC5" i="13"/>
  <c r="AB7" i="15"/>
  <c r="AB13" i="15" s="1"/>
  <c r="AB14" i="14"/>
  <c r="AB9" i="14"/>
  <c r="AB10" i="14" s="1"/>
  <c r="AB8" i="14"/>
  <c r="AB3" i="14"/>
  <c r="AB3" i="17"/>
  <c r="AA17" i="14"/>
  <c r="AA4" i="20" s="1"/>
  <c r="AK8" i="16" l="1"/>
  <c r="AK9" i="21"/>
  <c r="AL7" i="16"/>
  <c r="AM7" i="16"/>
  <c r="AN7" i="16"/>
  <c r="Y19" i="22"/>
  <c r="Z10" i="21"/>
  <c r="Z10" i="20"/>
  <c r="Z11" i="20"/>
  <c r="Z12" i="20" s="1"/>
  <c r="Z6" i="20"/>
  <c r="Z8" i="20" s="1"/>
  <c r="AA18" i="14"/>
  <c r="AB5" i="17"/>
  <c r="AB4" i="14"/>
  <c r="AB5" i="14"/>
  <c r="AB4" i="21" s="1"/>
  <c r="AB6" i="14"/>
  <c r="AB5" i="21" s="1"/>
  <c r="AB11" i="14"/>
  <c r="AB9" i="17"/>
  <c r="AB15" i="14"/>
  <c r="AB7" i="21"/>
  <c r="AC6" i="13"/>
  <c r="AL3" i="14"/>
  <c r="AK4" i="23" l="1"/>
  <c r="AL9" i="21"/>
  <c r="AM9" i="21"/>
  <c r="AN9" i="21"/>
  <c r="AN8" i="16"/>
  <c r="AK7" i="22"/>
  <c r="AN7" i="22" s="1"/>
  <c r="Z12" i="21"/>
  <c r="AB7" i="23"/>
  <c r="AB10" i="22"/>
  <c r="AA3" i="20"/>
  <c r="AA3" i="21"/>
  <c r="AB16" i="14"/>
  <c r="AB4" i="17"/>
  <c r="AB7" i="14"/>
  <c r="AC7" i="13"/>
  <c r="AA7" i="17"/>
  <c r="AB8" i="17"/>
  <c r="AL9" i="14"/>
  <c r="AM9" i="14"/>
  <c r="AL8" i="14"/>
  <c r="AM8" i="14"/>
  <c r="AL4" i="23" l="1"/>
  <c r="AM4" i="23"/>
  <c r="AN4" i="23"/>
  <c r="Z13" i="21"/>
  <c r="Z14" i="21" s="1"/>
  <c r="AB6" i="23"/>
  <c r="AB9" i="22"/>
  <c r="AA5" i="22"/>
  <c r="AA5" i="23"/>
  <c r="AA6" i="21"/>
  <c r="AA16" i="20"/>
  <c r="AC8" i="13"/>
  <c r="AD3" i="13"/>
  <c r="AC9" i="13"/>
  <c r="AB6" i="17"/>
  <c r="AL11" i="14"/>
  <c r="AM11" i="14"/>
  <c r="AL10" i="14"/>
  <c r="AM10" i="14"/>
  <c r="AL4" i="14"/>
  <c r="AM4" i="14"/>
  <c r="AL6" i="14"/>
  <c r="AM6" i="14"/>
  <c r="AL5" i="14"/>
  <c r="AM5" i="14"/>
  <c r="Z15" i="21" l="1"/>
  <c r="AB6" i="22"/>
  <c r="AB8" i="23"/>
  <c r="AA8" i="21"/>
  <c r="AA9" i="20"/>
  <c r="AA5" i="20"/>
  <c r="AA7" i="20" s="1"/>
  <c r="AC3" i="17"/>
  <c r="AB17" i="14"/>
  <c r="AB4" i="20" s="1"/>
  <c r="AC7" i="15"/>
  <c r="AC13" i="15" s="1"/>
  <c r="AC14" i="14"/>
  <c r="AC3" i="14"/>
  <c r="AC8" i="14"/>
  <c r="AC9" i="14"/>
  <c r="AD5" i="13"/>
  <c r="AL18" i="14"/>
  <c r="AM18" i="14"/>
  <c r="AL7" i="14"/>
  <c r="AM7" i="14"/>
  <c r="AM3" i="20" l="1"/>
  <c r="Z14" i="22"/>
  <c r="Z3" i="23"/>
  <c r="AA10" i="21"/>
  <c r="AA10" i="20"/>
  <c r="AA11" i="20"/>
  <c r="AA12" i="20" s="1"/>
  <c r="AA6" i="20"/>
  <c r="AA8" i="20" s="1"/>
  <c r="AD6" i="13"/>
  <c r="AC10" i="14"/>
  <c r="AC4" i="14"/>
  <c r="AC5" i="14"/>
  <c r="AC4" i="21" s="1"/>
  <c r="AC6" i="14"/>
  <c r="AC5" i="21" s="1"/>
  <c r="AC15" i="14"/>
  <c r="AC7" i="21"/>
  <c r="AB18" i="14"/>
  <c r="AC5" i="17"/>
  <c r="AA12" i="21" l="1"/>
  <c r="Z12" i="23"/>
  <c r="Z4" i="22" s="1"/>
  <c r="Z13" i="20" s="1"/>
  <c r="Z15" i="20"/>
  <c r="Z18" i="22"/>
  <c r="AB3" i="21"/>
  <c r="AB3" i="20"/>
  <c r="AC16" i="14"/>
  <c r="AC4" i="17"/>
  <c r="AC8" i="17"/>
  <c r="AC7" i="14"/>
  <c r="AC11" i="14"/>
  <c r="AC9" i="17"/>
  <c r="AB7" i="17"/>
  <c r="AD7" i="13"/>
  <c r="AA13" i="21" l="1"/>
  <c r="AA14" i="21" s="1"/>
  <c r="Z17" i="22"/>
  <c r="Z19" i="22" s="1"/>
  <c r="Z14" i="20"/>
  <c r="AB5" i="22"/>
  <c r="AB5" i="23"/>
  <c r="AB6" i="21"/>
  <c r="AB16" i="20"/>
  <c r="AC7" i="23"/>
  <c r="AC10" i="22"/>
  <c r="AC9" i="22"/>
  <c r="AC6" i="23"/>
  <c r="AD8" i="13"/>
  <c r="AE3" i="13"/>
  <c r="AD9" i="13"/>
  <c r="AC6" i="17"/>
  <c r="AA15" i="21" l="1"/>
  <c r="AC6" i="22"/>
  <c r="AC8" i="23"/>
  <c r="AB8" i="21"/>
  <c r="AB9" i="20"/>
  <c r="AB5" i="20"/>
  <c r="AB7" i="20" s="1"/>
  <c r="AD3" i="17"/>
  <c r="AC17" i="14"/>
  <c r="AC4" i="20" s="1"/>
  <c r="AE5" i="13"/>
  <c r="AE6" i="13" s="1"/>
  <c r="AD7" i="15"/>
  <c r="AD13" i="15" s="1"/>
  <c r="AD14" i="14"/>
  <c r="AD3" i="14"/>
  <c r="AD9" i="14"/>
  <c r="AD8" i="14"/>
  <c r="AE7" i="13" l="1"/>
  <c r="AE8" i="13" s="1"/>
  <c r="AA14" i="22"/>
  <c r="AA3" i="23"/>
  <c r="AB10" i="21"/>
  <c r="AB11" i="20"/>
  <c r="AB12" i="20" s="1"/>
  <c r="AB10" i="20"/>
  <c r="AB6" i="20"/>
  <c r="AB8" i="20" s="1"/>
  <c r="AD10" i="14"/>
  <c r="AD4" i="14"/>
  <c r="AD5" i="14"/>
  <c r="AD4" i="21" s="1"/>
  <c r="AD6" i="14"/>
  <c r="AD5" i="21" s="1"/>
  <c r="AD15" i="14"/>
  <c r="AD7" i="21"/>
  <c r="AC18" i="14"/>
  <c r="AD5" i="17"/>
  <c r="AE9" i="13" l="1"/>
  <c r="AF3" i="13"/>
  <c r="AF5" i="13" s="1"/>
  <c r="AF6" i="13" s="1"/>
  <c r="AB12" i="21"/>
  <c r="AA15" i="20"/>
  <c r="AA18" i="22"/>
  <c r="AA12" i="23"/>
  <c r="AA4" i="22" s="1"/>
  <c r="AA13" i="20" s="1"/>
  <c r="AC3" i="21"/>
  <c r="AC3" i="20"/>
  <c r="AC7" i="17"/>
  <c r="AE7" i="15"/>
  <c r="AE14" i="14"/>
  <c r="AE15" i="14" s="1"/>
  <c r="AE8" i="14"/>
  <c r="AE3" i="14"/>
  <c r="AE9" i="14"/>
  <c r="AD16" i="14"/>
  <c r="AD4" i="17"/>
  <c r="AD7" i="14"/>
  <c r="AD8" i="17"/>
  <c r="AD9" i="17"/>
  <c r="AD11" i="14"/>
  <c r="AE13" i="15" l="1"/>
  <c r="AE7" i="21" s="1"/>
  <c r="AF7" i="13"/>
  <c r="AF8" i="13" s="1"/>
  <c r="AA17" i="22"/>
  <c r="AA19" i="22" s="1"/>
  <c r="AA14" i="20"/>
  <c r="AB13" i="21"/>
  <c r="AB14" i="21" s="1"/>
  <c r="AD7" i="23"/>
  <c r="AD10" i="22"/>
  <c r="AC5" i="22"/>
  <c r="AC5" i="23"/>
  <c r="AD9" i="22"/>
  <c r="AD6" i="23"/>
  <c r="AC6" i="21"/>
  <c r="AC16" i="20"/>
  <c r="AE10" i="14"/>
  <c r="AE11" i="14" s="1"/>
  <c r="AE4" i="14"/>
  <c r="AE5" i="14"/>
  <c r="AE4" i="21" s="1"/>
  <c r="AE6" i="14"/>
  <c r="AE5" i="21" s="1"/>
  <c r="AE16" i="14"/>
  <c r="AE4" i="17"/>
  <c r="AD6" i="17"/>
  <c r="AG3" i="13" l="1"/>
  <c r="AG5" i="13" s="1"/>
  <c r="AG6" i="13" s="1"/>
  <c r="AF9" i="13"/>
  <c r="AB15" i="21"/>
  <c r="AD6" i="22"/>
  <c r="AD8" i="23"/>
  <c r="AC8" i="21"/>
  <c r="AC9" i="20"/>
  <c r="AC5" i="20"/>
  <c r="AC7" i="20" s="1"/>
  <c r="AE7" i="14"/>
  <c r="AF7" i="15"/>
  <c r="AF14" i="14"/>
  <c r="AF15" i="14" s="1"/>
  <c r="AF3" i="14"/>
  <c r="AF9" i="14"/>
  <c r="AF8" i="14"/>
  <c r="AE8" i="17"/>
  <c r="AE9" i="17"/>
  <c r="AE3" i="17"/>
  <c r="AD17" i="14"/>
  <c r="AD4" i="20" s="1"/>
  <c r="AF13" i="15" l="1"/>
  <c r="AF7" i="21" s="1"/>
  <c r="AG7" i="13"/>
  <c r="AG9" i="13" s="1"/>
  <c r="AB14" i="22"/>
  <c r="AB3" i="23"/>
  <c r="AC10" i="21"/>
  <c r="AC11" i="20"/>
  <c r="AC12" i="20" s="1"/>
  <c r="AC10" i="20"/>
  <c r="AE7" i="23"/>
  <c r="AE10" i="22"/>
  <c r="AE9" i="22"/>
  <c r="AE6" i="23"/>
  <c r="AC6" i="20"/>
  <c r="AC8" i="20" s="1"/>
  <c r="AE5" i="17"/>
  <c r="AE6" i="17" s="1"/>
  <c r="AE8" i="23" s="1"/>
  <c r="AF10" i="14"/>
  <c r="AF11" i="14" s="1"/>
  <c r="AD18" i="14"/>
  <c r="AF5" i="14"/>
  <c r="AF4" i="21" s="1"/>
  <c r="AF6" i="14"/>
  <c r="AF5" i="21" s="1"/>
  <c r="AF4" i="14"/>
  <c r="AF16" i="14"/>
  <c r="AF4" i="17"/>
  <c r="AH3" i="13" l="1"/>
  <c r="AH5" i="13" s="1"/>
  <c r="AH6" i="13" s="1"/>
  <c r="AG8" i="13"/>
  <c r="AG3" i="14" s="1"/>
  <c r="AC12" i="21"/>
  <c r="AB18" i="22"/>
  <c r="AB15" i="20"/>
  <c r="AB12" i="23"/>
  <c r="AB4" i="22" s="1"/>
  <c r="AB13" i="20" s="1"/>
  <c r="AD3" i="21"/>
  <c r="AD3" i="20"/>
  <c r="AE17" i="14"/>
  <c r="AE6" i="22"/>
  <c r="AF7" i="14"/>
  <c r="AF8" i="17"/>
  <c r="AD7" i="17"/>
  <c r="AF9" i="17"/>
  <c r="AF3" i="17"/>
  <c r="AG9" i="14" l="1"/>
  <c r="AG10" i="14" s="1"/>
  <c r="AG8" i="14"/>
  <c r="AG14" i="14"/>
  <c r="AG15" i="14" s="1"/>
  <c r="AG4" i="17" s="1"/>
  <c r="AG7" i="15"/>
  <c r="AB14" i="20"/>
  <c r="AB17" i="22"/>
  <c r="AB19" i="22" s="1"/>
  <c r="AC13" i="21"/>
  <c r="AC14" i="21" s="1"/>
  <c r="AD6" i="21"/>
  <c r="AD16" i="20"/>
  <c r="AF7" i="23"/>
  <c r="AF10" i="22"/>
  <c r="AD5" i="22"/>
  <c r="AD5" i="23"/>
  <c r="AF9" i="22"/>
  <c r="AF6" i="23"/>
  <c r="AE18" i="14"/>
  <c r="AE4" i="20"/>
  <c r="AG4" i="14"/>
  <c r="AG5" i="14"/>
  <c r="AG4" i="21" s="1"/>
  <c r="AG6" i="14"/>
  <c r="AG5" i="21" s="1"/>
  <c r="AF5" i="17"/>
  <c r="AF6" i="17" s="1"/>
  <c r="AF6" i="22" s="1"/>
  <c r="AH7" i="13"/>
  <c r="AG13" i="15" l="1"/>
  <c r="AG7" i="21" s="1"/>
  <c r="AG16" i="14"/>
  <c r="AC15" i="21"/>
  <c r="AF17" i="14"/>
  <c r="AF4" i="20" s="1"/>
  <c r="AE3" i="20"/>
  <c r="AE3" i="21"/>
  <c r="AE7" i="17"/>
  <c r="AF8" i="23"/>
  <c r="AD8" i="21"/>
  <c r="AD9" i="20"/>
  <c r="AD5" i="20"/>
  <c r="AD7" i="20" s="1"/>
  <c r="AG9" i="17"/>
  <c r="AH8" i="13"/>
  <c r="AH9" i="13"/>
  <c r="AI3" i="13"/>
  <c r="AG11" i="14"/>
  <c r="AG3" i="17"/>
  <c r="AG7" i="14"/>
  <c r="AG8" i="17"/>
  <c r="AF18" i="14" l="1"/>
  <c r="AF7" i="17" s="1"/>
  <c r="AF5" i="23" s="1"/>
  <c r="AC14" i="22"/>
  <c r="AC3" i="23"/>
  <c r="AG9" i="22"/>
  <c r="AG6" i="23"/>
  <c r="AG10" i="22"/>
  <c r="AG7" i="23"/>
  <c r="AD6" i="20"/>
  <c r="AD8" i="20" s="1"/>
  <c r="AD10" i="21"/>
  <c r="AD11" i="20"/>
  <c r="AD12" i="20" s="1"/>
  <c r="AD10" i="20"/>
  <c r="AE5" i="22"/>
  <c r="AE5" i="23"/>
  <c r="AE6" i="21"/>
  <c r="AE16" i="20"/>
  <c r="AG5" i="17"/>
  <c r="AG6" i="17" s="1"/>
  <c r="AG6" i="22" s="1"/>
  <c r="AI5" i="13"/>
  <c r="AI6" i="13" s="1"/>
  <c r="AH3" i="14"/>
  <c r="AH7" i="15"/>
  <c r="AH14" i="14"/>
  <c r="AH15" i="14" s="1"/>
  <c r="AH9" i="14"/>
  <c r="AH10" i="14" s="1"/>
  <c r="AH8" i="14"/>
  <c r="AH13" i="15" l="1"/>
  <c r="AH7" i="21" s="1"/>
  <c r="AF3" i="21"/>
  <c r="AF16" i="20" s="1"/>
  <c r="AF3" i="20"/>
  <c r="AH11" i="14"/>
  <c r="AG17" i="14"/>
  <c r="AG18" i="14" s="1"/>
  <c r="AG7" i="17" s="1"/>
  <c r="AG5" i="23" s="1"/>
  <c r="AD12" i="21"/>
  <c r="AG8" i="23"/>
  <c r="AC15" i="20"/>
  <c r="AC18" i="22"/>
  <c r="AC12" i="23"/>
  <c r="AC4" i="22" s="1"/>
  <c r="AC13" i="20" s="1"/>
  <c r="AH9" i="17"/>
  <c r="AE8" i="21"/>
  <c r="AE9" i="20"/>
  <c r="AE5" i="20"/>
  <c r="AE7" i="20" s="1"/>
  <c r="AF5" i="22"/>
  <c r="AH16" i="14"/>
  <c r="AH4" i="17"/>
  <c r="AH4" i="14"/>
  <c r="AH5" i="14"/>
  <c r="AH4" i="21" s="1"/>
  <c r="AH6" i="14"/>
  <c r="AH5" i="21" s="1"/>
  <c r="AI7" i="13"/>
  <c r="AH3" i="17"/>
  <c r="AF6" i="21" l="1"/>
  <c r="AF8" i="21" s="1"/>
  <c r="AG4" i="20"/>
  <c r="AD13" i="21"/>
  <c r="AD14" i="21" s="1"/>
  <c r="AC17" i="22"/>
  <c r="AC19" i="22" s="1"/>
  <c r="AC14" i="20"/>
  <c r="AH10" i="22"/>
  <c r="AH7" i="23"/>
  <c r="AE6" i="20"/>
  <c r="AE8" i="20" s="1"/>
  <c r="AE10" i="21"/>
  <c r="AE12" i="21" s="1"/>
  <c r="AE11" i="20"/>
  <c r="AE12" i="20" s="1"/>
  <c r="AE10" i="20"/>
  <c r="AG3" i="20"/>
  <c r="AG3" i="21"/>
  <c r="AG5" i="22"/>
  <c r="AH5" i="17"/>
  <c r="AH6" i="17" s="1"/>
  <c r="AH6" i="22" s="1"/>
  <c r="AI8" i="13"/>
  <c r="AI9" i="13"/>
  <c r="AJ3" i="13"/>
  <c r="AJ5" i="13" s="1"/>
  <c r="AJ6" i="13" s="1"/>
  <c r="AJ7" i="13" s="1"/>
  <c r="AH8" i="17"/>
  <c r="AH7" i="14"/>
  <c r="AF9" i="20" l="1"/>
  <c r="AF5" i="20"/>
  <c r="AF7" i="20" s="1"/>
  <c r="AE13" i="21"/>
  <c r="AE14" i="21" s="1"/>
  <c r="AE15" i="21" s="1"/>
  <c r="AE3" i="23" s="1"/>
  <c r="AE12" i="23" s="1"/>
  <c r="AD15" i="21"/>
  <c r="AH17" i="14"/>
  <c r="AF10" i="21"/>
  <c r="AF12" i="21" s="1"/>
  <c r="AF11" i="20"/>
  <c r="AF12" i="20" s="1"/>
  <c r="AF10" i="20"/>
  <c r="AG6" i="21"/>
  <c r="AG16" i="20"/>
  <c r="AH8" i="23"/>
  <c r="AH6" i="23"/>
  <c r="AH9" i="22"/>
  <c r="AJ8" i="13"/>
  <c r="AK3" i="13"/>
  <c r="AK5" i="13" s="1"/>
  <c r="AJ9" i="13"/>
  <c r="AI7" i="15"/>
  <c r="AI14" i="14"/>
  <c r="AI15" i="14" s="1"/>
  <c r="AI3" i="14"/>
  <c r="AI9" i="14"/>
  <c r="AI10" i="14" s="1"/>
  <c r="AI8" i="14"/>
  <c r="AI3" i="17"/>
  <c r="AI13" i="15" l="1"/>
  <c r="AI7" i="21" s="1"/>
  <c r="AF6" i="20"/>
  <c r="AF8" i="20" s="1"/>
  <c r="AF13" i="21"/>
  <c r="AF14" i="21" s="1"/>
  <c r="AF15" i="21" s="1"/>
  <c r="AF3" i="23" s="1"/>
  <c r="AF12" i="23" s="1"/>
  <c r="AL5" i="13"/>
  <c r="AM5" i="13"/>
  <c r="AD14" i="22"/>
  <c r="AD3" i="23"/>
  <c r="AI9" i="17"/>
  <c r="AH4" i="20"/>
  <c r="AH18" i="14"/>
  <c r="AG8" i="21"/>
  <c r="AG5" i="20"/>
  <c r="AG7" i="20" s="1"/>
  <c r="AG9" i="20"/>
  <c r="AI11" i="14"/>
  <c r="AI5" i="17"/>
  <c r="AI4" i="14"/>
  <c r="AI5" i="14"/>
  <c r="AI4" i="21" s="1"/>
  <c r="AI6" i="14"/>
  <c r="AI5" i="21" s="1"/>
  <c r="AI16" i="14"/>
  <c r="AI4" i="17"/>
  <c r="AK6" i="13"/>
  <c r="AN5" i="13"/>
  <c r="AJ7" i="15"/>
  <c r="AJ14" i="14"/>
  <c r="AJ15" i="14" s="1"/>
  <c r="AJ8" i="14"/>
  <c r="AJ9" i="14"/>
  <c r="AJ10" i="14" s="1"/>
  <c r="AJ3" i="14"/>
  <c r="AJ13" i="15" l="1"/>
  <c r="AJ7" i="21" s="1"/>
  <c r="AD12" i="23"/>
  <c r="AD4" i="22" s="1"/>
  <c r="AD13" i="20" s="1"/>
  <c r="AD18" i="22"/>
  <c r="AD15" i="20"/>
  <c r="AE14" i="22"/>
  <c r="AH3" i="20"/>
  <c r="AH3" i="21"/>
  <c r="AH7" i="17"/>
  <c r="AI7" i="23"/>
  <c r="AI10" i="22"/>
  <c r="AG6" i="20"/>
  <c r="AG8" i="20" s="1"/>
  <c r="AG10" i="21"/>
  <c r="AG12" i="21" s="1"/>
  <c r="AG13" i="21" s="1"/>
  <c r="AG14" i="21" s="1"/>
  <c r="AG15" i="21" s="1"/>
  <c r="AG11" i="20"/>
  <c r="AG10" i="20"/>
  <c r="AJ9" i="17"/>
  <c r="AJ4" i="14"/>
  <c r="AJ5" i="14"/>
  <c r="AJ4" i="21" s="1"/>
  <c r="AJ6" i="14"/>
  <c r="AJ5" i="21" s="1"/>
  <c r="AJ16" i="14"/>
  <c r="AJ4" i="17"/>
  <c r="AJ11" i="14"/>
  <c r="AK7" i="13"/>
  <c r="AL6" i="13"/>
  <c r="AM6" i="13"/>
  <c r="AN6" i="13"/>
  <c r="AI8" i="17"/>
  <c r="AI7" i="14"/>
  <c r="AI6" i="17"/>
  <c r="AE4" i="22" l="1"/>
  <c r="AE13" i="20" s="1"/>
  <c r="AD17" i="22"/>
  <c r="AD19" i="22" s="1"/>
  <c r="AD14" i="20"/>
  <c r="AE18" i="22"/>
  <c r="AF14" i="22"/>
  <c r="AG14" i="22" s="1"/>
  <c r="AE15" i="20"/>
  <c r="AI6" i="23"/>
  <c r="AI9" i="22"/>
  <c r="AH5" i="22"/>
  <c r="AH5" i="23"/>
  <c r="AJ7" i="23"/>
  <c r="AJ10" i="22"/>
  <c r="AG12" i="20"/>
  <c r="AG3" i="23"/>
  <c r="AG12" i="23" s="1"/>
  <c r="AI6" i="22"/>
  <c r="AI8" i="23"/>
  <c r="AH6" i="21"/>
  <c r="AH16" i="20"/>
  <c r="AJ3" i="17"/>
  <c r="AI17" i="14"/>
  <c r="AK8" i="13"/>
  <c r="AN7" i="13"/>
  <c r="AN8" i="13" s="1"/>
  <c r="AK9" i="13"/>
  <c r="AJ8" i="17"/>
  <c r="AJ7" i="14"/>
  <c r="AE17" i="22" l="1"/>
  <c r="AE19" i="22" s="1"/>
  <c r="AE14" i="20"/>
  <c r="AF4" i="22"/>
  <c r="AF13" i="20" s="1"/>
  <c r="AF15" i="20"/>
  <c r="AF18" i="22"/>
  <c r="AJ6" i="23"/>
  <c r="AJ9" i="22"/>
  <c r="AI18" i="14"/>
  <c r="AI4" i="20"/>
  <c r="AH8" i="21"/>
  <c r="AH5" i="20"/>
  <c r="AH7" i="20" s="1"/>
  <c r="AH9" i="20"/>
  <c r="AG15" i="20"/>
  <c r="AG18" i="22"/>
  <c r="AL9" i="13"/>
  <c r="AM9" i="13"/>
  <c r="AN9" i="13"/>
  <c r="AK7" i="15"/>
  <c r="AK13" i="15" s="1"/>
  <c r="AK14" i="14"/>
  <c r="AK3" i="14"/>
  <c r="AK8" i="14"/>
  <c r="AN8" i="14" s="1"/>
  <c r="AK9" i="14"/>
  <c r="AJ5" i="17"/>
  <c r="AJ6" i="17" s="1"/>
  <c r="AJ6" i="22" s="1"/>
  <c r="AG4" i="22" l="1"/>
  <c r="AG13" i="20" s="1"/>
  <c r="AJ17" i="14"/>
  <c r="AJ18" i="14" s="1"/>
  <c r="AF17" i="22"/>
  <c r="AF19" i="22" s="1"/>
  <c r="AF14" i="20"/>
  <c r="AI3" i="20"/>
  <c r="AI3" i="21"/>
  <c r="AI7" i="17"/>
  <c r="AH6" i="20"/>
  <c r="AH8" i="20" s="1"/>
  <c r="AH10" i="21"/>
  <c r="AH12" i="21" s="1"/>
  <c r="AH13" i="21" s="1"/>
  <c r="AH14" i="21" s="1"/>
  <c r="AH15" i="21" s="1"/>
  <c r="AH11" i="20"/>
  <c r="AH10" i="20"/>
  <c r="AJ8" i="23"/>
  <c r="AK15" i="14"/>
  <c r="AL14" i="14"/>
  <c r="AM14" i="14"/>
  <c r="AN14" i="14"/>
  <c r="AK3" i="17"/>
  <c r="AK10" i="14"/>
  <c r="AN9" i="14"/>
  <c r="AK6" i="14"/>
  <c r="AK5" i="21" s="1"/>
  <c r="AK5" i="14"/>
  <c r="AK4" i="21" s="1"/>
  <c r="AK4" i="14"/>
  <c r="AN3" i="14"/>
  <c r="AK7" i="21"/>
  <c r="AL7" i="15"/>
  <c r="AM7" i="15"/>
  <c r="AN7" i="15"/>
  <c r="AG17" i="22" l="1"/>
  <c r="AG19" i="22" s="1"/>
  <c r="AG14" i="20"/>
  <c r="AJ4" i="20"/>
  <c r="AL4" i="21"/>
  <c r="AM4" i="21"/>
  <c r="AN4" i="21"/>
  <c r="AL5" i="21"/>
  <c r="AM5" i="21"/>
  <c r="AN5" i="21"/>
  <c r="AL7" i="21"/>
  <c r="AM7" i="21"/>
  <c r="AN7" i="21"/>
  <c r="AH14" i="22"/>
  <c r="AH3" i="23"/>
  <c r="AH12" i="23" s="1"/>
  <c r="AH4" i="22" s="1"/>
  <c r="AH13" i="20" s="1"/>
  <c r="AI5" i="22"/>
  <c r="AI5" i="23"/>
  <c r="AI6" i="21"/>
  <c r="AI16" i="20"/>
  <c r="AJ3" i="20"/>
  <c r="AJ3" i="21"/>
  <c r="AJ7" i="17"/>
  <c r="AJ5" i="23" s="1"/>
  <c r="AH12" i="20"/>
  <c r="AK8" i="17"/>
  <c r="AN5" i="14"/>
  <c r="AK5" i="17"/>
  <c r="AN5" i="17" s="1"/>
  <c r="AK7" i="14"/>
  <c r="AN7" i="14" s="1"/>
  <c r="AN4" i="14"/>
  <c r="AN6" i="14"/>
  <c r="AK11" i="14"/>
  <c r="AN11" i="14" s="1"/>
  <c r="AK9" i="17"/>
  <c r="AN10" i="14"/>
  <c r="AL13" i="15"/>
  <c r="AM13" i="15"/>
  <c r="AN13" i="15"/>
  <c r="AK16" i="14"/>
  <c r="AK4" i="17"/>
  <c r="AL15" i="14"/>
  <c r="AM15" i="14"/>
  <c r="AN15" i="14"/>
  <c r="AH15" i="20" l="1"/>
  <c r="AH18" i="22"/>
  <c r="AK7" i="23"/>
  <c r="AK10" i="22"/>
  <c r="AN10" i="22" s="1"/>
  <c r="AK9" i="22"/>
  <c r="AN9" i="22" s="1"/>
  <c r="AK6" i="23"/>
  <c r="AJ5" i="22"/>
  <c r="AJ6" i="21"/>
  <c r="AJ16" i="20"/>
  <c r="AK6" i="17"/>
  <c r="AK17" i="14" s="1"/>
  <c r="AI8" i="21"/>
  <c r="AI5" i="20"/>
  <c r="AI7" i="20" s="1"/>
  <c r="AI9" i="20"/>
  <c r="AH17" i="22"/>
  <c r="AH14" i="20"/>
  <c r="AN9" i="17"/>
  <c r="AL4" i="17"/>
  <c r="AM4" i="17"/>
  <c r="AN4" i="17"/>
  <c r="AN8" i="17"/>
  <c r="AL16" i="14"/>
  <c r="AM16" i="14"/>
  <c r="AN16" i="14"/>
  <c r="AL7" i="23" l="1"/>
  <c r="AM7" i="23"/>
  <c r="AN7" i="23"/>
  <c r="AL6" i="23"/>
  <c r="AM6" i="23"/>
  <c r="AN6" i="23"/>
  <c r="AN17" i="14"/>
  <c r="AK4" i="20"/>
  <c r="AH19" i="22"/>
  <c r="AI6" i="20"/>
  <c r="AI8" i="20" s="1"/>
  <c r="AI10" i="21"/>
  <c r="AI12" i="21" s="1"/>
  <c r="AI13" i="21" s="1"/>
  <c r="AI14" i="21" s="1"/>
  <c r="AI15" i="21" s="1"/>
  <c r="AI11" i="20"/>
  <c r="AI10" i="20"/>
  <c r="AN6" i="17"/>
  <c r="AK6" i="22"/>
  <c r="AN6" i="22" s="1"/>
  <c r="AK8" i="23"/>
  <c r="AJ8" i="21"/>
  <c r="AJ5" i="20"/>
  <c r="AJ7" i="20" s="1"/>
  <c r="AJ9" i="20"/>
  <c r="AK18" i="14"/>
  <c r="AN4" i="20" l="1"/>
  <c r="E2" i="27"/>
  <c r="AL8" i="23"/>
  <c r="AM8" i="23"/>
  <c r="AN8" i="23"/>
  <c r="AK3" i="21"/>
  <c r="AK3" i="20"/>
  <c r="AJ6" i="20"/>
  <c r="AJ8" i="20" s="1"/>
  <c r="AJ10" i="21"/>
  <c r="AJ12" i="21" s="1"/>
  <c r="AJ13" i="21" s="1"/>
  <c r="AJ14" i="21" s="1"/>
  <c r="AJ15" i="21" s="1"/>
  <c r="AJ11" i="20"/>
  <c r="AJ10" i="20"/>
  <c r="AI12" i="20"/>
  <c r="AI14" i="22"/>
  <c r="AI3" i="23"/>
  <c r="AI12" i="23" s="1"/>
  <c r="AI4" i="22" s="1"/>
  <c r="AI13" i="20" s="1"/>
  <c r="AK7" i="17"/>
  <c r="AN18" i="14"/>
  <c r="AN3" i="20" s="1"/>
  <c r="AK6" i="21" l="1"/>
  <c r="AL3" i="21"/>
  <c r="AL16" i="20" s="1"/>
  <c r="AM3" i="21"/>
  <c r="AM16" i="20" s="1"/>
  <c r="AN3" i="21"/>
  <c r="AK5" i="22"/>
  <c r="AN5" i="22" s="1"/>
  <c r="AK5" i="23"/>
  <c r="AJ14" i="22"/>
  <c r="AJ3" i="23"/>
  <c r="AJ12" i="23" s="1"/>
  <c r="AJ4" i="22" s="1"/>
  <c r="AJ13" i="20" s="1"/>
  <c r="AI17" i="22"/>
  <c r="AI14" i="20"/>
  <c r="AI15" i="20"/>
  <c r="AI18" i="22"/>
  <c r="AK16" i="20"/>
  <c r="AJ12" i="20"/>
  <c r="AN7" i="17"/>
  <c r="AN16" i="20" l="1"/>
  <c r="A2" i="27"/>
  <c r="AK5" i="20"/>
  <c r="AK7" i="20" s="1"/>
  <c r="AK9" i="20"/>
  <c r="AL6" i="21"/>
  <c r="AL9" i="20" s="1"/>
  <c r="AM6" i="21"/>
  <c r="AM9" i="20" s="1"/>
  <c r="AN6" i="21"/>
  <c r="AN9" i="20" s="1"/>
  <c r="C26" i="27" s="1"/>
  <c r="AK8" i="21"/>
  <c r="AK10" i="21" s="1"/>
  <c r="AL5" i="23"/>
  <c r="AM5" i="23"/>
  <c r="AN5" i="23"/>
  <c r="AJ17" i="22"/>
  <c r="AJ14" i="20"/>
  <c r="AJ15" i="20"/>
  <c r="AJ18" i="22"/>
  <c r="AI19" i="22"/>
  <c r="AK11" i="20" l="1"/>
  <c r="AN11" i="20" s="1"/>
  <c r="AK10" i="20"/>
  <c r="AN5" i="20"/>
  <c r="AL5" i="20"/>
  <c r="AM5" i="20"/>
  <c r="AK6" i="20"/>
  <c r="AN7" i="20"/>
  <c r="C24" i="27" s="1"/>
  <c r="AK12" i="21"/>
  <c r="AL10" i="21"/>
  <c r="AM10" i="21"/>
  <c r="AN10" i="21"/>
  <c r="AL8" i="21"/>
  <c r="AL10" i="20" s="1"/>
  <c r="AM8" i="21"/>
  <c r="AM10" i="20" s="1"/>
  <c r="AN8" i="21"/>
  <c r="AN10" i="20" s="1"/>
  <c r="I2" i="27" s="1"/>
  <c r="AJ19" i="22"/>
  <c r="AK8" i="20" l="1"/>
  <c r="AN8" i="20" s="1"/>
  <c r="AK12" i="20"/>
  <c r="AN12" i="20" s="1"/>
  <c r="AN6" i="20"/>
  <c r="C22" i="27" s="1"/>
  <c r="AK13" i="21"/>
  <c r="AL12" i="21"/>
  <c r="AM12" i="21"/>
  <c r="AN12" i="21"/>
  <c r="AL12" i="23"/>
  <c r="AM12" i="23"/>
  <c r="AK14" i="21" l="1"/>
  <c r="AN13" i="21"/>
  <c r="AK15" i="21" l="1"/>
  <c r="AL14" i="21"/>
  <c r="AM14" i="21"/>
  <c r="AN14" i="21"/>
  <c r="AK14" i="22" l="1"/>
  <c r="AL15" i="21"/>
  <c r="AM15" i="21"/>
  <c r="AN15" i="21"/>
  <c r="AK3" i="23"/>
  <c r="AL3" i="23" l="1"/>
  <c r="AM3" i="23"/>
  <c r="AN3" i="23"/>
  <c r="AK12" i="23"/>
  <c r="AN14" i="22"/>
  <c r="AN15" i="20" s="1"/>
  <c r="AK15" i="20"/>
  <c r="AK18" i="22"/>
  <c r="AN18" i="22" s="1"/>
  <c r="AK4" i="22" l="1"/>
  <c r="AN12" i="23"/>
  <c r="AK13" i="20" l="1"/>
  <c r="AN13" i="20" s="1"/>
  <c r="A8" i="25" a="1"/>
  <c r="A8" i="25" s="1"/>
  <c r="AN4" i="22"/>
  <c r="AN14" i="20" s="1"/>
  <c r="R22" i="27" s="1"/>
  <c r="AK14" i="20"/>
  <c r="AK17" i="22"/>
  <c r="A2" i="25" l="1"/>
  <c r="AK19" i="22"/>
  <c r="AN17" i="22"/>
  <c r="AN19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<sst xmlns="http://schemas.openxmlformats.org/spreadsheetml/2006/main" count="463" uniqueCount="344">
  <si>
    <t>Month Index</t>
  </si>
  <si>
    <t>Month Label</t>
  </si>
  <si>
    <t>Year</t>
  </si>
  <si>
    <t>Quarter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</si>
  <si>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</si>
  <si>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</si>
  <si>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</si>
  <si>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</si>
  <si>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</si>
  <si>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</si>
  <si>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</si>
  <si>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</si>
  <si>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</si>
  <si>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</si>
  <si>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</si>
  <si>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</si>
  <si>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</si>
  <si>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</si>
  <si>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</si>
  <si>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</si>
  <si>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</si>
  <si>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</si>
  <si>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</si>
  <si>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</si>
  <si>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</si>
  <si>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</si>
  <si>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</si>
  <si>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</si>
  <si>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</si>
  <si>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</si>
  <si>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</si>
  <si>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</si>
  <si>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</si>
  <si>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</si>
  <si>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</si>
  <si>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</si>
  <si>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</si>
  <si>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</si>
  <si>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</si>
  <si>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</si>
  <si>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</si>
  <si>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</si>
  <si>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</si>
  <si>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</si>
  <si>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</si>
  <si>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</si>
  <si>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</si>
  <si>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</si>
  <si>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</si>
  <si>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</si>
  <si>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</si>
  <si>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</si>
  <si>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Variable</t>
  </si>
  <si>
    <t>Base</t>
  </si>
  <si>
    <t>Downside</t>
  </si>
  <si>
    <t>Upside</t>
  </si>
  <si>
    <t>Acquisition Growth Multiplier</t>
  </si>
  <si>
    <t>Scenario</t>
  </si>
  <si>
    <t>Tax</t>
  </si>
  <si>
    <t>Gross Profit</t>
  </si>
  <si>
    <t>EBITDA</t>
  </si>
  <si>
    <t>EBIT</t>
  </si>
  <si>
    <t>EBT</t>
  </si>
  <si>
    <t>Net Income</t>
  </si>
  <si>
    <t>Assets:</t>
  </si>
  <si>
    <t>Cash</t>
  </si>
  <si>
    <t>Liabilities:</t>
  </si>
  <si>
    <t>Deferred Revenue</t>
  </si>
  <si>
    <t>Debt</t>
  </si>
  <si>
    <t>Equity:</t>
  </si>
  <si>
    <t>Share Capital</t>
  </si>
  <si>
    <t>Retained Earnings</t>
  </si>
  <si>
    <t>Capex</t>
  </si>
  <si>
    <t>Net Change in Cash</t>
  </si>
  <si>
    <t>Y1 Total</t>
  </si>
  <si>
    <t>Y2 Total</t>
  </si>
  <si>
    <t>Y3 Total</t>
  </si>
  <si>
    <t>Acquisition</t>
  </si>
  <si>
    <t>Starting Customers</t>
  </si>
  <si>
    <t>New Customers Month 1</t>
  </si>
  <si>
    <t>MoM Acquisition Growth</t>
  </si>
  <si>
    <t>Acquisition Cap</t>
  </si>
  <si>
    <t>Monthly Churn</t>
  </si>
  <si>
    <t>Reactivation Rate</t>
  </si>
  <si>
    <t>Active Rate</t>
  </si>
  <si>
    <t>Retention</t>
  </si>
  <si>
    <t>Payments</t>
  </si>
  <si>
    <t>GMV per Active Customer</t>
  </si>
  <si>
    <t>Take Rate</t>
  </si>
  <si>
    <t>Processing Cost</t>
  </si>
  <si>
    <t>Chargebacks</t>
  </si>
  <si>
    <t>Card</t>
  </si>
  <si>
    <t>Interchange Revenue / Active</t>
  </si>
  <si>
    <t>Subscription Attach Rate</t>
  </si>
  <si>
    <t>Subscription Price</t>
  </si>
  <si>
    <t>Lending</t>
  </si>
  <si>
    <t>Lending Penetration (annual %)</t>
  </si>
  <si>
    <t>Avg Principal</t>
  </si>
  <si>
    <t>Origination Fee</t>
  </si>
  <si>
    <t>Monthly Yield on Outstanding</t>
  </si>
  <si>
    <t>CAC &amp; Marketing</t>
  </si>
  <si>
    <t>CAC Month 1</t>
  </si>
  <si>
    <t>CAC MoM Change</t>
  </si>
  <si>
    <t>CAC Floor</t>
  </si>
  <si>
    <t>Fixed Brand Marketing</t>
  </si>
  <si>
    <t>Function</t>
  </si>
  <si>
    <t>Month 1 HC</t>
  </si>
  <si>
    <t>Engineering</t>
  </si>
  <si>
    <t>Data</t>
  </si>
  <si>
    <t>Sales</t>
  </si>
  <si>
    <t>CX</t>
  </si>
  <si>
    <t>G&amp;A</t>
  </si>
  <si>
    <t>Headcount &amp; Payroll</t>
  </si>
  <si>
    <t>Salary</t>
  </si>
  <si>
    <t>Benefits Load</t>
  </si>
  <si>
    <t>Hiring Plan</t>
  </si>
  <si>
    <t>Hires</t>
  </si>
  <si>
    <t>Cloud &amp; SaaS</t>
  </si>
  <si>
    <t>Rent</t>
  </si>
  <si>
    <t>Legal/Audit</t>
  </si>
  <si>
    <t>G&amp;A Misc</t>
  </si>
  <si>
    <t>R&amp;D Non-People</t>
  </si>
  <si>
    <t>Capitalized Software % of Eng+Data Payroll</t>
  </si>
  <si>
    <t>Other Capex Monthly</t>
  </si>
  <si>
    <t>Depreciation Life (Years)</t>
  </si>
  <si>
    <t>AR Days</t>
  </si>
  <si>
    <t>AP Days</t>
  </si>
  <si>
    <t>Subscription Deferred Months</t>
  </si>
  <si>
    <t>Starting Cash</t>
  </si>
  <si>
    <t>Equity Raise Month</t>
  </si>
  <si>
    <t>Equity Raise Amount</t>
  </si>
  <si>
    <t>Debt Facility</t>
  </si>
  <si>
    <t>Debt Draw Month 1</t>
  </si>
  <si>
    <t>Debt Draw Amount 1</t>
  </si>
  <si>
    <t>Debt Draw Month 2</t>
  </si>
  <si>
    <t>Debt Draw Amount 2</t>
  </si>
  <si>
    <t>Interest Rate</t>
  </si>
  <si>
    <t>Corporate Tax Rate</t>
  </si>
  <si>
    <t>Churn Mult</t>
  </si>
  <si>
    <t>CAC Mult</t>
  </si>
  <si>
    <t>Take Rate Mult</t>
  </si>
  <si>
    <t>Raise Timing Shift (months)</t>
  </si>
  <si>
    <t>Core Assumptions &amp; Strategic Rationale</t>
  </si>
  <si>
    <t>Starting CAC: 110 AED</t>
  </si>
  <si>
    <t>4m AED venture debt facility</t>
  </si>
  <si>
    <t>Effective</t>
  </si>
  <si>
    <t>Effective Assumption = Base Assumption × Scenario Multiplier</t>
  </si>
  <si>
    <t>Beginning Customers</t>
  </si>
  <si>
    <t>New Customers</t>
  </si>
  <si>
    <t>Churned Customers</t>
  </si>
  <si>
    <t>Reactivated Customers</t>
  </si>
  <si>
    <t>Ending Customers</t>
  </si>
  <si>
    <t>Active Customers</t>
  </si>
  <si>
    <t>Net Customer Growth</t>
  </si>
  <si>
    <t>GMV</t>
  </si>
  <si>
    <t>Payments Revenue</t>
  </si>
  <si>
    <t>Payments Gross Profit</t>
  </si>
  <si>
    <t>Card Interchange Revenue</t>
  </si>
  <si>
    <t>Subscribed Users</t>
  </si>
  <si>
    <t>Subscription Revenue</t>
  </si>
  <si>
    <t>Card Total Revenue</t>
  </si>
  <si>
    <t>Lending Active Flag</t>
  </si>
  <si>
    <t>Raise Month</t>
  </si>
  <si>
    <t>Monthly Penetration</t>
  </si>
  <si>
    <t>New Loans Issued</t>
  </si>
  <si>
    <t>Loan Principal Issued</t>
  </si>
  <si>
    <t>Origination Fee Revenue</t>
  </si>
  <si>
    <t>Interest Revenue</t>
  </si>
  <si>
    <t>Total Revenue</t>
  </si>
  <si>
    <t>Variable Support Cost</t>
  </si>
  <si>
    <t>Beginning HC</t>
  </si>
  <si>
    <t>New Hires</t>
  </si>
  <si>
    <t>Ending HC</t>
  </si>
  <si>
    <t>Weighted Salary</t>
  </si>
  <si>
    <t>(Weighted Average Salary)</t>
  </si>
  <si>
    <t>Payroll Cost</t>
  </si>
  <si>
    <t>Platform Serving Costs</t>
  </si>
  <si>
    <t>Variable Support Cost per Active Customer (monthly)</t>
  </si>
  <si>
    <t>Fixed OPEX Cost</t>
  </si>
  <si>
    <t>Total</t>
  </si>
  <si>
    <t>Total OPEX</t>
  </si>
  <si>
    <t>Beginning Loan Balance</t>
  </si>
  <si>
    <t>Principal Repayment</t>
  </si>
  <si>
    <t>Repayment Rate</t>
  </si>
  <si>
    <t>Ending Loan Balance</t>
  </si>
  <si>
    <t>Capitalized Software</t>
  </si>
  <si>
    <t>Other CAPEX</t>
  </si>
  <si>
    <t>Total CAPEX</t>
  </si>
  <si>
    <t>Beginning Net PPE</t>
  </si>
  <si>
    <t>Depreciation</t>
  </si>
  <si>
    <t>Ending Net PPE</t>
  </si>
  <si>
    <t>Monthly Depreciation</t>
  </si>
  <si>
    <t>Accounts Payable</t>
  </si>
  <si>
    <t>Accounts Receivable</t>
  </si>
  <si>
    <t>Deferred Income</t>
  </si>
  <si>
    <t>Total Opex</t>
  </si>
  <si>
    <t>Interest Expense</t>
  </si>
  <si>
    <t>Beginning Debt</t>
  </si>
  <si>
    <t>Debt Draw</t>
  </si>
  <si>
    <t>Ending Debt</t>
  </si>
  <si>
    <t>Equity Injection</t>
  </si>
  <si>
    <t>Accounts Payables</t>
  </si>
  <si>
    <t>Loan Balance</t>
  </si>
  <si>
    <t>Net PP&amp;E</t>
  </si>
  <si>
    <t>Change in AR</t>
  </si>
  <si>
    <t>Change in AP</t>
  </si>
  <si>
    <t>Change in Deferred Revenue</t>
  </si>
  <si>
    <t>Change in Loan Balance</t>
  </si>
  <si>
    <t>Equity Raise</t>
  </si>
  <si>
    <t>Net Assets</t>
  </si>
  <si>
    <t>Net Liabilities + equity</t>
  </si>
  <si>
    <t>Balance Check</t>
  </si>
  <si>
    <t>Cumulative EBT</t>
  </si>
  <si>
    <t>Monthly Revenue Growth</t>
  </si>
  <si>
    <t>Annual Recuring Revenue</t>
  </si>
  <si>
    <t>Lifetime Value</t>
  </si>
  <si>
    <t>CAC Payback Period</t>
  </si>
  <si>
    <t>LTV / CAC Ratio</t>
  </si>
  <si>
    <t>Gross Profit Margin</t>
  </si>
  <si>
    <t>EBITDA Margin</t>
  </si>
  <si>
    <t>Burn</t>
  </si>
  <si>
    <t>Burn Multiple</t>
  </si>
  <si>
    <t>Runway</t>
  </si>
  <si>
    <t>Net Debt</t>
  </si>
  <si>
    <t>D / E Ratio</t>
  </si>
  <si>
    <t>Loan Book</t>
  </si>
  <si>
    <t>GP per Active</t>
  </si>
  <si>
    <t>Minimum Runway Target</t>
  </si>
  <si>
    <t>Min Runway</t>
  </si>
  <si>
    <t>First Negative Cash</t>
  </si>
  <si>
    <t>MinCash Pre-Raise</t>
  </si>
  <si>
    <t>Runway Post-Raise</t>
  </si>
  <si>
    <t>Annual Churn</t>
  </si>
  <si>
    <t>Assumptions</t>
  </si>
  <si>
    <t>Target Raise Month</t>
  </si>
  <si>
    <t>Raise Amount</t>
  </si>
  <si>
    <t>Revenue Multiple (Base)</t>
  </si>
  <si>
    <t>ARR Multiple (Base)</t>
  </si>
  <si>
    <t>Enterprise Value</t>
  </si>
  <si>
    <t>Equity Value</t>
  </si>
  <si>
    <t>Post Money Valuation</t>
  </si>
  <si>
    <t>Dilution %</t>
  </si>
  <si>
    <t>Existing Ownership %</t>
  </si>
  <si>
    <t>Metric</t>
  </si>
  <si>
    <t>Growth</t>
  </si>
  <si>
    <t>Profitability</t>
  </si>
  <si>
    <t>Liquidity</t>
  </si>
  <si>
    <t>Dilution</t>
  </si>
  <si>
    <t>Revenue (Y3)</t>
  </si>
  <si>
    <t>ARR (M36)</t>
  </si>
  <si>
    <t>Active Customers (M36)</t>
  </si>
  <si>
    <t>Capital Efficiency</t>
  </si>
  <si>
    <t>Capital Strategy</t>
  </si>
  <si>
    <t>Gross Margin % (Y3)</t>
  </si>
  <si>
    <t>EBITDA Margin % (Y3)</t>
  </si>
  <si>
    <t>Net Income (Y3)</t>
  </si>
  <si>
    <t>Burn Multiple (M12)</t>
  </si>
  <si>
    <t>LTV/CAC (M12)</t>
  </si>
  <si>
    <t>CAC Payback (M12)</t>
  </si>
  <si>
    <t>First Negative Cash Month</t>
  </si>
  <si>
    <t>Net Debt (M36)</t>
  </si>
  <si>
    <t>Runway Post Raise</t>
  </si>
  <si>
    <t>Min Cash Pre Raise</t>
  </si>
  <si>
    <t>Cash (M12)</t>
  </si>
  <si>
    <t>CAC</t>
  </si>
  <si>
    <t>Unit Economics</t>
  </si>
  <si>
    <t>CAC Payback (Months)</t>
  </si>
  <si>
    <t>ARR M36</t>
  </si>
  <si>
    <t>Sensitivity Summary</t>
  </si>
  <si>
    <t>Pre - Money Equity Value</t>
  </si>
  <si>
    <t>Post - Money Equity Value</t>
  </si>
  <si>
    <t>Raise Size</t>
  </si>
  <si>
    <t>EBITDA Margin M36</t>
  </si>
  <si>
    <t>Eng. + Data payroll %</t>
  </si>
  <si>
    <t>ARR before Raise</t>
  </si>
  <si>
    <t>Net Debt before Raise</t>
  </si>
  <si>
    <t>CAC MoM</t>
  </si>
  <si>
    <t>Performance Marketing Spend</t>
  </si>
  <si>
    <t>Total Marketing Spend</t>
  </si>
  <si>
    <t>Version</t>
  </si>
  <si>
    <t>Date</t>
  </si>
  <si>
    <t>Change</t>
  </si>
  <si>
    <t>v1.0</t>
  </si>
  <si>
    <t>Initial 3-statement build</t>
  </si>
  <si>
    <t>Added lending module</t>
  </si>
  <si>
    <t>v1.1</t>
  </si>
  <si>
    <t>Added capital sensitivity tables</t>
  </si>
  <si>
    <t>v1.2</t>
  </si>
  <si>
    <t>v1.3</t>
  </si>
  <si>
    <t>Final dashboard + scenario compare</t>
  </si>
  <si>
    <t>v1.4</t>
  </si>
  <si>
    <t>v1.5</t>
  </si>
  <si>
    <t>Integrated CAC MoM &amp; floor into engine</t>
  </si>
  <si>
    <t>Refined capex capitalization (Eng+Data only)</t>
  </si>
  <si>
    <t>v1.6</t>
  </si>
  <si>
    <t>Finalized Assumptions and Executive Summary</t>
  </si>
  <si>
    <t>A.</t>
  </si>
  <si>
    <t>Business Model</t>
  </si>
  <si>
    <t>Payments + subscription + lending</t>
  </si>
  <si>
    <t>Customer Growth</t>
  </si>
  <si>
    <t>B.</t>
  </si>
  <si>
    <t>Starting customers: 2,000 (initial GTM ramp)</t>
  </si>
  <si>
    <t>MoM acquisition growth: 6% (early-stage scaling)</t>
  </si>
  <si>
    <t>Acquisition cap at 12,000/month: operational constraint realism</t>
  </si>
  <si>
    <t>C.</t>
  </si>
  <si>
    <t>Reactivation rate: 0.3% (modest win-back)</t>
  </si>
  <si>
    <t>Monthly churn: 3.5%(mid-market fintech benchmark)</t>
  </si>
  <si>
    <t>Active rate: 85% (engagement realism)</t>
  </si>
  <si>
    <t>D.</t>
  </si>
  <si>
    <t>MoM improvement: -0.5%</t>
  </si>
  <si>
    <t>Floor at 80 AED (market efficiency boundary)</t>
  </si>
  <si>
    <t>E.</t>
  </si>
  <si>
    <t>Seed: 5m initial equity</t>
  </si>
  <si>
    <t>Raise at Month 6</t>
  </si>
  <si>
    <t>ARR multiple: 8x (growth fintech range)</t>
  </si>
  <si>
    <t>F.</t>
  </si>
  <si>
    <t>Cost Structure</t>
  </si>
  <si>
    <t>Fixed brand marketing included in OPEX</t>
  </si>
  <si>
    <t>Capitalization only on Eng + Data payroll</t>
  </si>
  <si>
    <t>Lending activated following equity raise (timing scenario-dependent).</t>
  </si>
  <si>
    <t>Capital Strategy (M6, 25m)</t>
  </si>
  <si>
    <t>Project Overview</t>
  </si>
  <si>
    <t>Built a fully integrated 36-month operating model for a high-growth multi-product fintech (payments, subscription, and lending), incorporating unit economics, capital planning, venture debt, and valuation sensitivity.</t>
  </si>
  <si>
    <t>The model links operating drivers (acquisition, churn, CAC, lending penetration) to 3-statement outputs, funding strategy, and ownership dilution outcomes.</t>
  </si>
  <si>
    <t>Base Scenario — 36-Month Outlook</t>
  </si>
  <si>
    <t>Revenue (Y3): 29.3m</t>
  </si>
  <si>
    <t>ARR (M36): 21.2m</t>
  </si>
  <si>
    <t>Gross Margin: 81%</t>
  </si>
  <si>
    <t>EBITDA Margin (Y3): -51.3%</t>
  </si>
  <si>
    <t>LTV/CAC (M12): 5.31</t>
  </si>
  <si>
    <t>Burn Multiple (M12): 26.8</t>
  </si>
  <si>
    <t>Lending activates Month 9 (scenario-dependent).</t>
  </si>
  <si>
    <t>4m venture debt facility (10% annual) integrated into funding structure.</t>
  </si>
  <si>
    <t>Initial Seed: 5m equity</t>
  </si>
  <si>
    <t>Raise Size Required for ≥12m Runway: 25m</t>
  </si>
  <si>
    <t>Equity Raise: Month 6</t>
  </si>
  <si>
    <t>Pre-Money Equity Value: 8.6m</t>
  </si>
  <si>
    <t>Post-Money Equity Value: 33.6m</t>
  </si>
  <si>
    <t>Dilution: 74.4%</t>
  </si>
  <si>
    <t>Bridge funding assumed between insolvency point (Month 4) and raise close.</t>
  </si>
  <si>
    <t>Strategic Insight</t>
  </si>
  <si>
    <t>Delaying capital raise does not materially reduce dilution due to high burn intensity. Capital requirement scales alongside operating losses.</t>
  </si>
  <si>
    <t>Ownership preservation is more sensitive to operating efficiency improvements (CAC reduction, margin expansion, lending economics) than raise timing alone.</t>
  </si>
  <si>
    <t>The model demonstrates the structural capital intensity of early-stage fintech expansion under realistic cost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</si>
</sst>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indexed="64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indexed="64"/>
      </right>
      <top style="medium">
        <color theme="2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2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2" tint="-0.499984740745262"/>
      </right>
      <top style="medium">
        <color theme="2" tint="-0.499984740745262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2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/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medium">
        <color theme="2" tint="-0.499984740745262"/>
      </right>
      <top style="thin">
        <color indexed="64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2" tint="-0.499984740745262"/>
      </right>
      <top style="medium">
        <color indexed="64"/>
      </top>
      <bottom/>
      <diagonal/>
    </border>
    <border>
      <left style="medium">
        <color theme="2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2" tint="-0.499984740745262"/>
      </right>
      <top/>
      <bottom style="medium">
        <color indexed="64"/>
      </bottom>
      <diagonal/>
    </border>
    <border>
      <left style="medium">
        <color theme="2" tint="-0.499984740745262"/>
      </left>
      <right style="medium">
        <color indexed="64"/>
      </right>
      <top/>
      <bottom style="medium">
        <color theme="2" tint="-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theme="2" tint="-0.499984740745262"/>
      </bottom>
      <diagonal/>
    </border>
    <border>
      <left style="medium">
        <color indexed="64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indexed="64"/>
      </bottom>
      <diagonal/>
    </border>
    <border>
      <left style="medium">
        <color indexed="64"/>
      </left>
      <right style="medium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2" tint="-0.499984740745262"/>
      </bottom>
      <diagonal/>
    </border>
    <border>
      <left style="medium">
        <color indexed="64"/>
      </left>
      <right style="medium">
        <color theme="2" tint="-0.499984740745262"/>
      </right>
      <top style="medium">
        <color indexed="64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thin">
        <color indexed="64"/>
      </left>
      <right style="medium">
        <color theme="2" tint="-0.499984740745262"/>
      </right>
      <top style="medium">
        <color theme="2" tint="-0.499984740745262"/>
      </top>
      <bottom style="medium">
        <color indexed="64"/>
      </bottom>
      <diagonal/>
    </border>
    <border>
      <left style="medium">
        <color theme="2" tint="-0.499984740745262"/>
      </left>
      <right/>
      <top style="medium">
        <color indexed="64"/>
      </top>
      <bottom/>
      <diagonal/>
    </border>
    <border>
      <left/>
      <right style="medium">
        <color theme="2" tint="-0.499984740745262"/>
      </right>
      <top style="medium">
        <color indexed="64"/>
      </top>
      <bottom/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indexed="64"/>
      </top>
      <bottom style="medium">
        <color theme="2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2" fillId="0" borderId="10" xfId="0" applyFont="1" applyBorder="1"/>
    <xf numFmtId="0" fontId="0" fillId="0" borderId="13" xfId="0" applyBorder="1"/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2" fillId="0" borderId="5" xfId="0" applyFont="1" applyBorder="1"/>
    <xf numFmtId="0" fontId="0" fillId="0" borderId="3" xfId="0" applyBorder="1" applyAlignment="1">
      <alignment horizontal="left" vertical="center" wrapText="1"/>
    </xf>
    <xf numFmtId="3" fontId="0" fillId="0" borderId="13" xfId="0" applyNumberFormat="1" applyBorder="1" applyAlignment="1">
      <alignment horizontal="center" vertical="center" wrapText="1"/>
    </xf>
    <xf numFmtId="10" fontId="0" fillId="0" borderId="1" xfId="2" applyNumberFormat="1" applyFont="1" applyBorder="1"/>
    <xf numFmtId="165" fontId="0" fillId="0" borderId="0" xfId="1" applyNumberFormat="1" applyFont="1"/>
    <xf numFmtId="43" fontId="0" fillId="0" borderId="2" xfId="1" applyFont="1" applyBorder="1"/>
    <xf numFmtId="10" fontId="0" fillId="0" borderId="3" xfId="0" applyNumberForma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0" fillId="0" borderId="4" xfId="0" applyBorder="1"/>
    <xf numFmtId="43" fontId="0" fillId="0" borderId="0" xfId="1" applyFont="1"/>
    <xf numFmtId="10" fontId="0" fillId="0" borderId="1" xfId="2" applyNumberFormat="1" applyFont="1" applyBorder="1" applyAlignment="1">
      <alignment vertical="center" wrapText="1"/>
    </xf>
    <xf numFmtId="0" fontId="0" fillId="0" borderId="14" xfId="0" applyBorder="1"/>
    <xf numFmtId="165" fontId="0" fillId="0" borderId="15" xfId="1" applyNumberFormat="1" applyFont="1" applyBorder="1"/>
    <xf numFmtId="0" fontId="0" fillId="0" borderId="15" xfId="0" applyBorder="1"/>
    <xf numFmtId="0" fontId="0" fillId="0" borderId="16" xfId="0" applyBorder="1"/>
    <xf numFmtId="165" fontId="0" fillId="0" borderId="0" xfId="1" applyNumberFormat="1" applyFont="1" applyBorder="1"/>
    <xf numFmtId="0" fontId="0" fillId="0" borderId="17" xfId="0" applyBorder="1"/>
    <xf numFmtId="165" fontId="0" fillId="0" borderId="18" xfId="1" applyNumberFormat="1" applyFont="1" applyBorder="1"/>
    <xf numFmtId="0" fontId="0" fillId="0" borderId="18" xfId="0" applyBorder="1"/>
    <xf numFmtId="166" fontId="0" fillId="0" borderId="0" xfId="2" applyNumberFormat="1" applyFont="1" applyBorder="1"/>
    <xf numFmtId="0" fontId="0" fillId="0" borderId="19" xfId="0" applyBorder="1"/>
    <xf numFmtId="0" fontId="0" fillId="0" borderId="20" xfId="0" applyBorder="1"/>
    <xf numFmtId="43" fontId="0" fillId="0" borderId="20" xfId="1" applyFont="1" applyBorder="1"/>
    <xf numFmtId="165" fontId="0" fillId="0" borderId="18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65" fontId="0" fillId="0" borderId="22" xfId="1" applyNumberFormat="1" applyFont="1" applyBorder="1"/>
    <xf numFmtId="165" fontId="0" fillId="0" borderId="24" xfId="1" applyNumberFormat="1" applyFont="1" applyBorder="1"/>
    <xf numFmtId="165" fontId="0" fillId="0" borderId="23" xfId="1" applyNumberFormat="1" applyFont="1" applyBorder="1"/>
    <xf numFmtId="165" fontId="0" fillId="0" borderId="14" xfId="1" applyNumberFormat="1" applyFont="1" applyBorder="1"/>
    <xf numFmtId="165" fontId="0" fillId="0" borderId="16" xfId="1" applyNumberFormat="1" applyFont="1" applyBorder="1"/>
    <xf numFmtId="165" fontId="0" fillId="0" borderId="17" xfId="1" applyNumberFormat="1" applyFont="1" applyBorder="1"/>
    <xf numFmtId="0" fontId="0" fillId="0" borderId="25" xfId="0" applyBorder="1"/>
    <xf numFmtId="165" fontId="0" fillId="0" borderId="19" xfId="1" applyNumberFormat="1" applyFont="1" applyBorder="1"/>
    <xf numFmtId="165" fontId="0" fillId="0" borderId="20" xfId="1" applyNumberFormat="1" applyFont="1" applyBorder="1"/>
    <xf numFmtId="165" fontId="0" fillId="0" borderId="25" xfId="1" applyNumberFormat="1" applyFont="1" applyBorder="1"/>
    <xf numFmtId="43" fontId="0" fillId="0" borderId="14" xfId="1" applyFont="1" applyBorder="1"/>
    <xf numFmtId="43" fontId="0" fillId="0" borderId="15" xfId="1" applyFont="1" applyBorder="1"/>
    <xf numFmtId="43" fontId="0" fillId="0" borderId="22" xfId="1" applyFont="1" applyBorder="1"/>
    <xf numFmtId="43" fontId="0" fillId="0" borderId="18" xfId="1" applyFont="1" applyBorder="1"/>
    <xf numFmtId="0" fontId="2" fillId="0" borderId="14" xfId="0" applyFont="1" applyBorder="1"/>
    <xf numFmtId="165" fontId="0" fillId="0" borderId="0" xfId="0" applyNumberFormat="1"/>
    <xf numFmtId="0" fontId="2" fillId="0" borderId="17" xfId="0" applyFont="1" applyBorder="1"/>
    <xf numFmtId="43" fontId="0" fillId="0" borderId="16" xfId="1" applyFont="1" applyBorder="1"/>
    <xf numFmtId="43" fontId="0" fillId="0" borderId="0" xfId="1" applyFont="1" applyBorder="1"/>
    <xf numFmtId="43" fontId="0" fillId="0" borderId="24" xfId="1" applyFont="1" applyBorder="1"/>
    <xf numFmtId="43" fontId="0" fillId="0" borderId="17" xfId="1" applyFont="1" applyBorder="1"/>
    <xf numFmtId="43" fontId="0" fillId="0" borderId="23" xfId="1" applyFont="1" applyBorder="1"/>
    <xf numFmtId="164" fontId="0" fillId="0" borderId="0" xfId="1" applyNumberFormat="1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0" borderId="26" xfId="0" applyFont="1" applyBorder="1"/>
    <xf numFmtId="0" fontId="2" fillId="0" borderId="28" xfId="0" applyFont="1" applyBorder="1"/>
    <xf numFmtId="0" fontId="2" fillId="0" borderId="27" xfId="0" applyFont="1" applyBorder="1"/>
    <xf numFmtId="0" fontId="0" fillId="0" borderId="21" xfId="0" applyBorder="1"/>
    <xf numFmtId="0" fontId="0" fillId="0" borderId="3" xfId="0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165" fontId="0" fillId="0" borderId="1" xfId="1" applyNumberFormat="1" applyFont="1" applyBorder="1"/>
    <xf numFmtId="0" fontId="0" fillId="0" borderId="0" xfId="0" applyAlignment="1">
      <alignment horizontal="left" vertical="center" indent="1"/>
    </xf>
    <xf numFmtId="3" fontId="0" fillId="0" borderId="0" xfId="0" applyNumberFormat="1"/>
    <xf numFmtId="43" fontId="0" fillId="0" borderId="0" xfId="0" applyNumberFormat="1"/>
    <xf numFmtId="0" fontId="0" fillId="0" borderId="16" xfId="0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165" fontId="0" fillId="0" borderId="0" xfId="1" applyNumberFormat="1" applyFont="1" applyBorder="1" applyAlignment="1">
      <alignment horizontal="left" vertical="center" indent="1"/>
    </xf>
    <xf numFmtId="165" fontId="0" fillId="0" borderId="18" xfId="1" applyNumberFormat="1" applyFont="1" applyBorder="1" applyAlignment="1">
      <alignment horizontal="left" vertical="center" indent="1"/>
    </xf>
    <xf numFmtId="165" fontId="0" fillId="0" borderId="15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24" xfId="0" applyNumberFormat="1" applyBorder="1"/>
    <xf numFmtId="0" fontId="0" fillId="0" borderId="26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27" xfId="0" applyBorder="1" applyAlignment="1">
      <alignment horizontal="left" vertical="center" indent="1"/>
    </xf>
    <xf numFmtId="166" fontId="0" fillId="0" borderId="0" xfId="2" applyNumberFormat="1" applyFont="1"/>
    <xf numFmtId="10" fontId="0" fillId="0" borderId="15" xfId="2" applyNumberFormat="1" applyFont="1" applyBorder="1"/>
    <xf numFmtId="166" fontId="0" fillId="0" borderId="15" xfId="2" applyNumberFormat="1" applyFont="1" applyBorder="1"/>
    <xf numFmtId="166" fontId="0" fillId="0" borderId="22" xfId="2" applyNumberFormat="1" applyFont="1" applyBorder="1"/>
    <xf numFmtId="43" fontId="0" fillId="0" borderId="15" xfId="0" applyNumberFormat="1" applyBorder="1"/>
    <xf numFmtId="0" fontId="0" fillId="0" borderId="0" xfId="0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9" fontId="0" fillId="0" borderId="1" xfId="0" applyNumberFormat="1" applyBorder="1"/>
    <xf numFmtId="0" fontId="2" fillId="0" borderId="19" xfId="0" applyFont="1" applyBorder="1"/>
    <xf numFmtId="165" fontId="2" fillId="0" borderId="20" xfId="0" applyNumberFormat="1" applyFont="1" applyBorder="1"/>
    <xf numFmtId="165" fontId="2" fillId="0" borderId="19" xfId="1" applyNumberFormat="1" applyFont="1" applyBorder="1"/>
    <xf numFmtId="165" fontId="2" fillId="0" borderId="20" xfId="1" applyNumberFormat="1" applyFont="1" applyBorder="1"/>
    <xf numFmtId="165" fontId="2" fillId="0" borderId="25" xfId="1" applyNumberFormat="1" applyFont="1" applyBorder="1"/>
    <xf numFmtId="165" fontId="2" fillId="0" borderId="18" xfId="1" applyNumberFormat="1" applyFont="1" applyBorder="1"/>
    <xf numFmtId="165" fontId="2" fillId="0" borderId="17" xfId="1" applyNumberFormat="1" applyFont="1" applyBorder="1"/>
    <xf numFmtId="165" fontId="2" fillId="0" borderId="23" xfId="1" applyNumberFormat="1" applyFont="1" applyBorder="1"/>
    <xf numFmtId="43" fontId="2" fillId="0" borderId="18" xfId="0" applyNumberFormat="1" applyFont="1" applyBorder="1"/>
    <xf numFmtId="165" fontId="2" fillId="0" borderId="15" xfId="1" applyNumberFormat="1" applyFont="1" applyBorder="1"/>
    <xf numFmtId="165" fontId="2" fillId="0" borderId="14" xfId="1" applyNumberFormat="1" applyFont="1" applyBorder="1"/>
    <xf numFmtId="165" fontId="2" fillId="0" borderId="22" xfId="1" applyNumberFormat="1" applyFont="1" applyBorder="1"/>
    <xf numFmtId="165" fontId="2" fillId="0" borderId="0" xfId="1" applyNumberFormat="1" applyFont="1" applyBorder="1"/>
    <xf numFmtId="43" fontId="2" fillId="0" borderId="20" xfId="1" applyFont="1" applyBorder="1"/>
    <xf numFmtId="0" fontId="2" fillId="0" borderId="15" xfId="0" applyFont="1" applyBorder="1"/>
    <xf numFmtId="0" fontId="2" fillId="0" borderId="22" xfId="0" applyFont="1" applyBorder="1"/>
    <xf numFmtId="165" fontId="2" fillId="0" borderId="24" xfId="1" applyNumberFormat="1" applyFont="1" applyBorder="1"/>
    <xf numFmtId="0" fontId="2" fillId="0" borderId="21" xfId="0" applyFont="1" applyBorder="1"/>
    <xf numFmtId="165" fontId="2" fillId="0" borderId="16" xfId="1" applyNumberFormat="1" applyFont="1" applyBorder="1"/>
    <xf numFmtId="165" fontId="1" fillId="0" borderId="14" xfId="1" applyNumberFormat="1" applyFont="1" applyBorder="1"/>
    <xf numFmtId="165" fontId="1" fillId="0" borderId="15" xfId="1" applyNumberFormat="1" applyFont="1" applyBorder="1"/>
    <xf numFmtId="165" fontId="1" fillId="0" borderId="22" xfId="1" applyNumberFormat="1" applyFont="1" applyBorder="1"/>
    <xf numFmtId="165" fontId="1" fillId="0" borderId="16" xfId="1" applyNumberFormat="1" applyFont="1" applyBorder="1"/>
    <xf numFmtId="165" fontId="1" fillId="0" borderId="0" xfId="1" applyNumberFormat="1" applyFont="1" applyBorder="1"/>
    <xf numFmtId="165" fontId="1" fillId="0" borderId="24" xfId="1" applyNumberFormat="1" applyFont="1" applyBorder="1"/>
    <xf numFmtId="165" fontId="2" fillId="0" borderId="18" xfId="0" applyNumberFormat="1" applyFont="1" applyBorder="1"/>
    <xf numFmtId="165" fontId="2" fillId="0" borderId="0" xfId="0" applyNumberFormat="1" applyFont="1"/>
    <xf numFmtId="0" fontId="2" fillId="0" borderId="20" xfId="0" applyFont="1" applyBorder="1"/>
    <xf numFmtId="0" fontId="2" fillId="0" borderId="25" xfId="0" applyFont="1" applyBorder="1"/>
    <xf numFmtId="165" fontId="0" fillId="0" borderId="26" xfId="1" applyNumberFormat="1" applyFont="1" applyBorder="1"/>
    <xf numFmtId="165" fontId="0" fillId="0" borderId="28" xfId="1" applyNumberFormat="1" applyFont="1" applyBorder="1"/>
    <xf numFmtId="165" fontId="0" fillId="0" borderId="27" xfId="1" applyNumberFormat="1" applyFont="1" applyBorder="1"/>
    <xf numFmtId="165" fontId="0" fillId="0" borderId="21" xfId="1" applyNumberFormat="1" applyFont="1" applyBorder="1"/>
    <xf numFmtId="165" fontId="0" fillId="0" borderId="16" xfId="0" applyNumberFormat="1" applyBorder="1"/>
    <xf numFmtId="165" fontId="0" fillId="0" borderId="17" xfId="0" applyNumberFormat="1" applyBorder="1"/>
    <xf numFmtId="165" fontId="0" fillId="0" borderId="14" xfId="0" applyNumberFormat="1" applyBorder="1"/>
    <xf numFmtId="9" fontId="0" fillId="0" borderId="15" xfId="2" applyFont="1" applyBorder="1"/>
    <xf numFmtId="9" fontId="0" fillId="0" borderId="22" xfId="2" applyFont="1" applyBorder="1"/>
    <xf numFmtId="166" fontId="0" fillId="0" borderId="14" xfId="2" applyNumberFormat="1" applyFont="1" applyBorder="1"/>
    <xf numFmtId="43" fontId="0" fillId="0" borderId="1" xfId="0" applyNumberFormat="1" applyBorder="1"/>
    <xf numFmtId="9" fontId="0" fillId="0" borderId="18" xfId="2" applyFont="1" applyBorder="1"/>
    <xf numFmtId="9" fontId="0" fillId="0" borderId="17" xfId="2" applyFont="1" applyBorder="1"/>
    <xf numFmtId="9" fontId="0" fillId="0" borderId="23" xfId="2" applyFont="1" applyBorder="1"/>
    <xf numFmtId="0" fontId="0" fillId="0" borderId="0" xfId="1" applyNumberFormat="1" applyFont="1"/>
    <xf numFmtId="0" fontId="0" fillId="0" borderId="30" xfId="0" applyBorder="1"/>
    <xf numFmtId="165" fontId="0" fillId="0" borderId="30" xfId="1" applyNumberFormat="1" applyFont="1" applyBorder="1"/>
    <xf numFmtId="10" fontId="0" fillId="0" borderId="30" xfId="2" applyNumberFormat="1" applyFont="1" applyBorder="1"/>
    <xf numFmtId="43" fontId="0" fillId="0" borderId="30" xfId="1" applyFont="1" applyBorder="1"/>
    <xf numFmtId="165" fontId="0" fillId="0" borderId="31" xfId="1" applyNumberFormat="1" applyFont="1" applyBorder="1"/>
    <xf numFmtId="165" fontId="0" fillId="0" borderId="13" xfId="1" applyNumberFormat="1" applyFont="1" applyBorder="1"/>
    <xf numFmtId="10" fontId="0" fillId="0" borderId="13" xfId="2" applyNumberFormat="1" applyFont="1" applyBorder="1"/>
    <xf numFmtId="43" fontId="0" fillId="0" borderId="13" xfId="1" applyFont="1" applyBorder="1"/>
    <xf numFmtId="0" fontId="2" fillId="0" borderId="34" xfId="0" applyFont="1" applyBorder="1"/>
    <xf numFmtId="0" fontId="0" fillId="0" borderId="35" xfId="0" applyBorder="1"/>
    <xf numFmtId="0" fontId="0" fillId="0" borderId="36" xfId="0" applyBorder="1"/>
    <xf numFmtId="165" fontId="0" fillId="0" borderId="37" xfId="1" applyNumberFormat="1" applyFont="1" applyBorder="1"/>
    <xf numFmtId="43" fontId="0" fillId="0" borderId="31" xfId="1" applyFont="1" applyBorder="1"/>
    <xf numFmtId="43" fontId="0" fillId="0" borderId="37" xfId="1" applyFont="1" applyBorder="1"/>
    <xf numFmtId="165" fontId="0" fillId="0" borderId="32" xfId="1" applyNumberFormat="1" applyFont="1" applyBorder="1"/>
    <xf numFmtId="165" fontId="0" fillId="0" borderId="33" xfId="1" applyNumberFormat="1" applyFont="1" applyBorder="1"/>
    <xf numFmtId="10" fontId="0" fillId="0" borderId="32" xfId="2" applyNumberFormat="1" applyFont="1" applyBorder="1"/>
    <xf numFmtId="10" fontId="0" fillId="0" borderId="33" xfId="2" applyNumberFormat="1" applyFont="1" applyBorder="1"/>
    <xf numFmtId="43" fontId="0" fillId="0" borderId="32" xfId="1" applyFont="1" applyBorder="1"/>
    <xf numFmtId="0" fontId="0" fillId="0" borderId="0" xfId="0" applyAlignment="1">
      <alignment wrapText="1"/>
    </xf>
    <xf numFmtId="43" fontId="2" fillId="0" borderId="1" xfId="0" applyNumberFormat="1" applyFont="1" applyBorder="1"/>
    <xf numFmtId="0" fontId="2" fillId="0" borderId="25" xfId="0" applyFont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39" xfId="0" applyBorder="1"/>
    <xf numFmtId="0" fontId="0" fillId="0" borderId="57" xfId="0" applyBorder="1"/>
    <xf numFmtId="0" fontId="2" fillId="0" borderId="66" xfId="0" applyFont="1" applyBorder="1" applyAlignment="1">
      <alignment horizontal="center" vertical="center"/>
    </xf>
    <xf numFmtId="166" fontId="0" fillId="0" borderId="66" xfId="2" applyNumberFormat="1" applyFont="1" applyBorder="1" applyAlignment="1">
      <alignment horizontal="center" vertical="center"/>
    </xf>
    <xf numFmtId="166" fontId="0" fillId="0" borderId="69" xfId="2" applyNumberFormat="1" applyFont="1" applyBorder="1" applyAlignment="1">
      <alignment horizontal="center" vertical="center"/>
    </xf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2" fillId="0" borderId="68" xfId="0" applyFont="1" applyBorder="1" applyAlignment="1">
      <alignment horizontal="center" vertical="center"/>
    </xf>
    <xf numFmtId="0" fontId="2" fillId="0" borderId="80" xfId="0" applyFont="1" applyBorder="1"/>
    <xf numFmtId="0" fontId="0" fillId="0" borderId="81" xfId="0" applyBorder="1"/>
    <xf numFmtId="166" fontId="2" fillId="0" borderId="1" xfId="2" applyNumberFormat="1" applyFont="1" applyBorder="1"/>
    <xf numFmtId="14" fontId="0" fillId="0" borderId="1" xfId="0" applyNumberFormat="1" applyBorder="1"/>
    <xf numFmtId="43" fontId="0" fillId="0" borderId="29" xfId="1" applyFont="1" applyBorder="1"/>
    <xf numFmtId="43" fontId="0" fillId="0" borderId="28" xfId="1" applyFont="1" applyBorder="1"/>
    <xf numFmtId="0" fontId="6" fillId="0" borderId="0" xfId="0" applyFont="1"/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165" fontId="0" fillId="0" borderId="59" xfId="0" applyNumberFormat="1" applyBorder="1" applyAlignment="1">
      <alignment horizontal="center" vertical="center"/>
    </xf>
    <xf numFmtId="165" fontId="0" fillId="0" borderId="64" xfId="0" applyNumberForma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165" fontId="0" fillId="0" borderId="26" xfId="0" applyNumberFormat="1" applyBorder="1" applyAlignment="1">
      <alignment horizontal="center" vertical="center"/>
    </xf>
    <xf numFmtId="165" fontId="0" fillId="0" borderId="63" xfId="0" applyNumberForma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6" fontId="0" fillId="0" borderId="19" xfId="2" applyNumberFormat="1" applyFont="1" applyBorder="1" applyAlignment="1">
      <alignment horizontal="center" vertical="center"/>
    </xf>
    <xf numFmtId="166" fontId="0" fillId="0" borderId="25" xfId="2" applyNumberFormat="1" applyFont="1" applyBorder="1" applyAlignment="1">
      <alignment horizontal="center" vertical="center"/>
    </xf>
    <xf numFmtId="10" fontId="0" fillId="0" borderId="19" xfId="2" applyNumberFormat="1" applyFont="1" applyBorder="1" applyAlignment="1">
      <alignment horizontal="center" vertical="center"/>
    </xf>
    <xf numFmtId="10" fontId="0" fillId="0" borderId="25" xfId="2" applyNumberFormat="1" applyFont="1" applyBorder="1" applyAlignment="1">
      <alignment horizontal="center" vertical="center"/>
    </xf>
    <xf numFmtId="166" fontId="0" fillId="0" borderId="67" xfId="2" applyNumberFormat="1" applyFont="1" applyBorder="1" applyAlignment="1">
      <alignment horizontal="center" vertical="center"/>
    </xf>
    <xf numFmtId="166" fontId="0" fillId="0" borderId="68" xfId="2" applyNumberFormat="1" applyFont="1" applyBorder="1" applyAlignment="1">
      <alignment horizontal="center" vertical="center"/>
    </xf>
    <xf numFmtId="165" fontId="0" fillId="0" borderId="19" xfId="1" applyNumberFormat="1" applyFont="1" applyBorder="1" applyAlignment="1">
      <alignment horizontal="center" vertical="center"/>
    </xf>
    <xf numFmtId="165" fontId="0" fillId="0" borderId="25" xfId="1" applyNumberFormat="1" applyFont="1" applyBorder="1" applyAlignment="1">
      <alignment horizontal="center" vertical="center"/>
    </xf>
    <xf numFmtId="165" fontId="0" fillId="0" borderId="67" xfId="1" applyNumberFormat="1" applyFont="1" applyBorder="1" applyAlignment="1">
      <alignment horizontal="center" vertical="center"/>
    </xf>
    <xf numFmtId="165" fontId="0" fillId="0" borderId="68" xfId="1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66" fontId="0" fillId="0" borderId="26" xfId="2" applyNumberFormat="1" applyFont="1" applyBorder="1" applyAlignment="1">
      <alignment horizontal="center" vertical="center"/>
    </xf>
    <xf numFmtId="166" fontId="0" fillId="0" borderId="63" xfId="2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2" fontId="2" fillId="0" borderId="45" xfId="0" applyNumberFormat="1" applyFont="1" applyBorder="1" applyAlignment="1">
      <alignment horizontal="center" vertical="center"/>
    </xf>
    <xf numFmtId="9" fontId="2" fillId="0" borderId="45" xfId="2" applyFont="1" applyBorder="1" applyAlignment="1">
      <alignment horizontal="center" vertical="center"/>
    </xf>
    <xf numFmtId="9" fontId="2" fillId="0" borderId="50" xfId="2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2" fontId="7" fillId="0" borderId="38" xfId="0" applyNumberFormat="1" applyFont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 vertical="center"/>
    </xf>
    <xf numFmtId="2" fontId="7" fillId="0" borderId="40" xfId="0" applyNumberFormat="1" applyFont="1" applyBorder="1" applyAlignment="1">
      <alignment horizontal="center" vertical="center"/>
    </xf>
    <xf numFmtId="166" fontId="7" fillId="0" borderId="14" xfId="2" applyNumberFormat="1" applyFont="1" applyBorder="1" applyAlignment="1">
      <alignment horizontal="center" vertical="center"/>
    </xf>
    <xf numFmtId="166" fontId="7" fillId="0" borderId="15" xfId="2" applyNumberFormat="1" applyFont="1" applyBorder="1" applyAlignment="1">
      <alignment horizontal="center" vertical="center"/>
    </xf>
    <xf numFmtId="166" fontId="7" fillId="0" borderId="76" xfId="2" applyNumberFormat="1" applyFont="1" applyBorder="1" applyAlignment="1">
      <alignment horizontal="center" vertical="center"/>
    </xf>
    <xf numFmtId="166" fontId="7" fillId="0" borderId="16" xfId="2" applyNumberFormat="1" applyFont="1" applyBorder="1" applyAlignment="1">
      <alignment horizontal="center" vertical="center"/>
    </xf>
    <xf numFmtId="166" fontId="7" fillId="0" borderId="0" xfId="2" applyNumberFormat="1" applyFont="1" applyBorder="1" applyAlignment="1">
      <alignment horizontal="center" vertical="center"/>
    </xf>
    <xf numFmtId="166" fontId="7" fillId="0" borderId="55" xfId="2" applyNumberFormat="1" applyFont="1" applyBorder="1" applyAlignment="1">
      <alignment horizontal="center" vertical="center"/>
    </xf>
    <xf numFmtId="166" fontId="7" fillId="0" borderId="38" xfId="2" applyNumberFormat="1" applyFont="1" applyBorder="1" applyAlignment="1">
      <alignment horizontal="center" vertical="center"/>
    </xf>
    <xf numFmtId="166" fontId="7" fillId="0" borderId="39" xfId="2" applyNumberFormat="1" applyFont="1" applyBorder="1" applyAlignment="1">
      <alignment horizontal="center" vertical="center"/>
    </xf>
    <xf numFmtId="166" fontId="7" fillId="0" borderId="57" xfId="2" applyNumberFormat="1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3" fontId="7" fillId="0" borderId="75" xfId="1" applyNumberFormat="1" applyFont="1" applyBorder="1" applyAlignment="1">
      <alignment horizontal="center" vertical="center"/>
    </xf>
    <xf numFmtId="3" fontId="7" fillId="0" borderId="15" xfId="1" applyNumberFormat="1" applyFont="1" applyBorder="1" applyAlignment="1">
      <alignment horizontal="center" vertical="center"/>
    </xf>
    <xf numFmtId="3" fontId="7" fillId="0" borderId="22" xfId="1" applyNumberFormat="1" applyFont="1" applyBorder="1" applyAlignment="1">
      <alignment horizontal="center" vertical="center"/>
    </xf>
    <xf numFmtId="3" fontId="7" fillId="0" borderId="54" xfId="1" applyNumberFormat="1" applyFont="1" applyBorder="1" applyAlignment="1">
      <alignment horizontal="center" vertical="center"/>
    </xf>
    <xf numFmtId="3" fontId="7" fillId="0" borderId="0" xfId="1" applyNumberFormat="1" applyFont="1" applyBorder="1" applyAlignment="1">
      <alignment horizontal="center" vertical="center"/>
    </xf>
    <xf numFmtId="3" fontId="7" fillId="0" borderId="24" xfId="1" applyNumberFormat="1" applyFont="1" applyBorder="1" applyAlignment="1">
      <alignment horizontal="center" vertical="center"/>
    </xf>
    <xf numFmtId="3" fontId="7" fillId="0" borderId="56" xfId="1" applyNumberFormat="1" applyFont="1" applyBorder="1" applyAlignment="1">
      <alignment horizontal="center" vertical="center"/>
    </xf>
    <xf numFmtId="3" fontId="7" fillId="0" borderId="39" xfId="1" applyNumberFormat="1" applyFont="1" applyBorder="1" applyAlignment="1">
      <alignment horizontal="center" vertical="center"/>
    </xf>
    <xf numFmtId="3" fontId="7" fillId="0" borderId="40" xfId="1" applyNumberFormat="1" applyFont="1" applyBorder="1" applyAlignment="1">
      <alignment horizontal="center" vertical="center"/>
    </xf>
    <xf numFmtId="3" fontId="7" fillId="0" borderId="14" xfId="1" applyNumberFormat="1" applyFont="1" applyBorder="1" applyAlignment="1">
      <alignment horizontal="center" vertical="center"/>
    </xf>
    <xf numFmtId="3" fontId="7" fillId="0" borderId="16" xfId="1" applyNumberFormat="1" applyFont="1" applyBorder="1" applyAlignment="1">
      <alignment horizontal="center" vertical="center"/>
    </xf>
    <xf numFmtId="3" fontId="7" fillId="0" borderId="38" xfId="1" applyNumberFormat="1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15" xfId="0" applyNumberFormat="1" applyFont="1" applyBorder="1" applyAlignment="1">
      <alignment horizontal="center" vertical="center"/>
    </xf>
    <xf numFmtId="166" fontId="7" fillId="0" borderId="22" xfId="0" applyNumberFormat="1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7" fillId="0" borderId="24" xfId="0" applyNumberFormat="1" applyFont="1" applyBorder="1" applyAlignment="1">
      <alignment horizontal="center" vertical="center"/>
    </xf>
    <xf numFmtId="166" fontId="7" fillId="0" borderId="38" xfId="0" applyNumberFormat="1" applyFont="1" applyBorder="1" applyAlignment="1">
      <alignment horizontal="center" vertical="center"/>
    </xf>
    <xf numFmtId="166" fontId="7" fillId="0" borderId="39" xfId="0" applyNumberFormat="1" applyFont="1" applyBorder="1" applyAlignment="1">
      <alignment horizontal="center" vertical="center"/>
    </xf>
    <xf numFmtId="166" fontId="7" fillId="0" borderId="4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Ending Cash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'12_Balance Sheet'!$B$2:$AK$2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'12_Balance Sheet'!$B$4:$AK$4</c:f>
              <c:numCache>
                <c:formatCode>_-* #,##0_-;\-* #,##0_-;_-* "-"??_-;_-@_-</c:formatCode>
                <c:ptCount val="36"/>
                <c:pt idx="0">
                  <c:v>3631012.5</c:v>
                </c:pt>
                <c:pt idx="1">
                  <c:v>2229127.3194353571</c:v>
                </c:pt>
                <c:pt idx="2">
                  <c:v>794508.6765593742</c:v>
                </c:pt>
                <c:pt idx="3">
                  <c:v>-672630.54884137469</c:v>
                </c:pt>
                <c:pt idx="4">
                  <c:v>-2172026.9373985273</c:v>
                </c:pt>
                <c:pt idx="5">
                  <c:v>22292468.847348943</c:v>
                </c:pt>
                <c:pt idx="6">
                  <c:v>20721227.611632615</c:v>
                </c:pt>
                <c:pt idx="7">
                  <c:v>19118844.035630085</c:v>
                </c:pt>
                <c:pt idx="8">
                  <c:v>18329667.418520719</c:v>
                </c:pt>
                <c:pt idx="9">
                  <c:v>16502351.710577786</c:v>
                </c:pt>
                <c:pt idx="10">
                  <c:v>14640270.98361421</c:v>
                </c:pt>
                <c:pt idx="11">
                  <c:v>12743961.823086567</c:v>
                </c:pt>
                <c:pt idx="12">
                  <c:v>10839713.134337723</c:v>
                </c:pt>
                <c:pt idx="13">
                  <c:v>8928129.5805149022</c:v>
                </c:pt>
                <c:pt idx="14">
                  <c:v>7009856.7642344087</c:v>
                </c:pt>
                <c:pt idx="15">
                  <c:v>5085585.8940881314</c:v>
                </c:pt>
                <c:pt idx="16">
                  <c:v>3156058.5337997926</c:v>
                </c:pt>
                <c:pt idx="17">
                  <c:v>1222071.4601340955</c:v>
                </c:pt>
                <c:pt idx="18">
                  <c:v>-715518.34446595889</c:v>
                </c:pt>
                <c:pt idx="19">
                  <c:v>-2655788.5385223804</c:v>
                </c:pt>
                <c:pt idx="20">
                  <c:v>-4597746.0812988328</c:v>
                </c:pt>
                <c:pt idx="21">
                  <c:v>-6540321.6792699136</c:v>
                </c:pt>
                <c:pt idx="22">
                  <c:v>-8482363.9924136773</c:v>
                </c:pt>
                <c:pt idx="23">
                  <c:v>-10422633.572895292</c:v>
                </c:pt>
                <c:pt idx="24">
                  <c:v>-12359796.508013543</c:v>
                </c:pt>
                <c:pt idx="25">
                  <c:v>-14292417.738452047</c:v>
                </c:pt>
                <c:pt idx="26">
                  <c:v>-16218954.02191267</c:v>
                </c:pt>
                <c:pt idx="27">
                  <c:v>-18137746.511108201</c:v>
                </c:pt>
                <c:pt idx="28">
                  <c:v>-20047012.913852576</c:v>
                </c:pt>
                <c:pt idx="29">
                  <c:v>-21944839.201606955</c:v>
                </c:pt>
                <c:pt idx="30">
                  <c:v>-23829170.831315272</c:v>
                </c:pt>
                <c:pt idx="31">
                  <c:v>-25682198.730930902</c:v>
                </c:pt>
                <c:pt idx="32">
                  <c:v>-27454311.966687366</c:v>
                </c:pt>
                <c:pt idx="33">
                  <c:v>-29145783.463577986</c:v>
                </c:pt>
                <c:pt idx="34">
                  <c:v>-30757150.734143343</c:v>
                </c:pt>
                <c:pt idx="35">
                  <c:v>-32289183.869240232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7-4BF1-B158-73848FD24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121424"/>
        <c:axId val="56563952"/>
      </c:lineChart>
      <c:catAx>
        <c:axId val="53312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3952"/>
        <c:crosses val="autoZero"/>
        <c:auto val="1"/>
        <c:lblAlgn val="ctr"/>
        <c:lblOffset val="100"/>
        <c:tickLblSkip val="3"/>
        <c:noMultiLvlLbl val="0"/>
      </c:catAx>
      <c:valAx>
        <c:axId val="56563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2142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'03_KPIs'!$B$2:$AK$2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'10_Income_Statement'!$B$3:$AK$3</c:f>
              <c:numCache>
                <c:formatCode>_-* #,##0_-;\-* #,##0_-;_-* "-"??_-;_-@_-</c:formatCode>
                <c:ptCount val="36"/>
                <c:pt idx="0">
                  <c:v>39610</c:v>
                </c:pt>
                <c:pt idx="1">
                  <c:v>80214.409049999987</c:v>
                </c:pt>
                <c:pt idx="2">
                  <c:v>121921.12324620024</c:v>
                </c:pt>
                <c:pt idx="3">
                  <c:v>164842.82941052405</c:v>
                </c:pt>
                <c:pt idx="4">
                  <c:v>209097.35126384383</c:v>
                </c:pt>
                <c:pt idx="5">
                  <c:v>254808.01432022805</c:v>
                </c:pt>
                <c:pt idx="6">
                  <c:v>302104.03069698386</c:v>
                </c:pt>
                <c:pt idx="7">
                  <c:v>351120.90510446037</c:v>
                </c:pt>
                <c:pt idx="8">
                  <c:v>407513.27862516517</c:v>
                </c:pt>
                <c:pt idx="9">
                  <c:v>462767.907487327</c:v>
                </c:pt>
                <c:pt idx="10">
                  <c:v>520300.78348194563</c:v>
                </c:pt>
                <c:pt idx="11">
                  <c:v>580281.63285944541</c:v>
                </c:pt>
                <c:pt idx="12">
                  <c:v>642889.47579381289</c:v>
                </c:pt>
                <c:pt idx="13">
                  <c:v>708313.19314739562</c:v>
                </c:pt>
                <c:pt idx="14">
                  <c:v>776752.12874927069</c:v>
                </c:pt>
                <c:pt idx="15">
                  <c:v>848416.72911319567</c:v>
                </c:pt>
                <c:pt idx="16">
                  <c:v>923529.2226565528</c:v>
                </c:pt>
                <c:pt idx="17">
                  <c:v>1002324.3406234491</c:v>
                </c:pt>
                <c:pt idx="18">
                  <c:v>1085050.0820638197</c:v>
                </c:pt>
                <c:pt idx="19">
                  <c:v>1171968.5253765006</c:v>
                </c:pt>
                <c:pt idx="20">
                  <c:v>1263356.6890883925</c:v>
                </c:pt>
                <c:pt idx="21">
                  <c:v>1359507.4447146296</c:v>
                </c:pt>
                <c:pt idx="22">
                  <c:v>1460730.4847266858</c:v>
                </c:pt>
                <c:pt idx="23">
                  <c:v>1567353.3488472989</c:v>
                </c:pt>
                <c:pt idx="24">
                  <c:v>1679722.5120935838</c:v>
                </c:pt>
                <c:pt idx="25">
                  <c:v>1798204.5382035282</c:v>
                </c:pt>
                <c:pt idx="26">
                  <c:v>1923187.3023069226</c:v>
                </c:pt>
                <c:pt idx="27">
                  <c:v>2055081.2869404596</c:v>
                </c:pt>
                <c:pt idx="28">
                  <c:v>2194320.9557591123</c:v>
                </c:pt>
                <c:pt idx="29">
                  <c:v>2341366.2095628041</c:v>
                </c:pt>
                <c:pt idx="30">
                  <c:v>2496703.929539782</c:v>
                </c:pt>
                <c:pt idx="31">
                  <c:v>2657312.0945818862</c:v>
                </c:pt>
                <c:pt idx="32">
                  <c:v>2812715.9169828957</c:v>
                </c:pt>
                <c:pt idx="33">
                  <c:v>2963063.662339434</c:v>
                </c:pt>
                <c:pt idx="34">
                  <c:v>3108501.2008484537</c:v>
                </c:pt>
                <c:pt idx="35">
                  <c:v>3249171.8593673371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A-42BE-9CBC-0D4D7A173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689296"/>
        <c:axId val="1414689776"/>
      </c:lineChart>
      <c:lineChart>
        <c:grouping val="standard"/>
        <c:varyColors val="0"/>
        <c:ser>
          <c:idx val="1"/>
          <c:order val="1"/>
          <c:tx>
            <c:v>ARR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'03_KPIs'!$B$2:$AK$2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'03_KPIs'!$B$4:$AK$4</c:f>
              <c:numCache>
                <c:formatCode>_-* #,##0_-;\-* #,##0_-;_-* "-"??_-;_-@_-</c:formatCode>
                <c:ptCount val="36"/>
                <c:pt idx="0">
                  <c:v>255000</c:v>
                </c:pt>
                <c:pt idx="1">
                  <c:v>516401.77499999997</c:v>
                </c:pt>
                <c:pt idx="2">
                  <c:v>784899.93506137491</c:v>
                </c:pt>
                <c:pt idx="3">
                  <c:v>1061219.931827408</c:v>
                </c:pt>
                <c:pt idx="4">
                  <c:v>1346120.2871062907</c:v>
                </c:pt>
                <c:pt idx="5">
                  <c:v>1640394.941975717</c:v>
                </c:pt>
                <c:pt idx="6">
                  <c:v>1944875.7341007544</c:v>
                </c:pt>
                <c:pt idx="7">
                  <c:v>2260435.011402105</c:v>
                </c:pt>
                <c:pt idx="8">
                  <c:v>2598236.8247117051</c:v>
                </c:pt>
                <c:pt idx="9">
                  <c:v>2959737.3529971736</c:v>
                </c:pt>
                <c:pt idx="10">
                  <c:v>3336207.709966124</c:v>
                </c:pt>
                <c:pt idx="11">
                  <c:v>3728742.717700311</c:v>
                </c:pt>
                <c:pt idx="12">
                  <c:v>4138499.1818804531</c:v>
                </c:pt>
                <c:pt idx="13">
                  <c:v>4566699.4771334492</c:v>
                </c:pt>
                <c:pt idx="14">
                  <c:v>5014635.3740798067</c:v>
                </c:pt>
                <c:pt idx="15">
                  <c:v>5483672.1198295457</c:v>
                </c:pt>
                <c:pt idx="16">
                  <c:v>5975252.784628042</c:v>
                </c:pt>
                <c:pt idx="17">
                  <c:v>6490902.8883422557</c:v>
                </c:pt>
                <c:pt idx="18">
                  <c:v>7032235.3215066679</c:v>
                </c:pt>
                <c:pt idx="19">
                  <c:v>7600955.5767208328</c:v>
                </c:pt>
                <c:pt idx="20">
                  <c:v>8198867.3073111363</c:v>
                </c:pt>
                <c:pt idx="21">
                  <c:v>8827878.2313422114</c:v>
                </c:pt>
                <c:pt idx="22">
                  <c:v>9490006.4002929479</c:v>
                </c:pt>
                <c:pt idx="23">
                  <c:v>10187386.85300282</c:v>
                </c:pt>
                <c:pt idx="24">
                  <c:v>10922278.676850874</c:v>
                </c:pt>
                <c:pt idx="25">
                  <c:v>11697072.499557329</c:v>
                </c:pt>
                <c:pt idx="26">
                  <c:v>12514298.436501227</c:v>
                </c:pt>
                <c:pt idx="27">
                  <c:v>13376634.520032715</c:v>
                </c:pt>
                <c:pt idx="28">
                  <c:v>14286915.638930365</c:v>
                </c:pt>
                <c:pt idx="29">
                  <c:v>15248143.01791908</c:v>
                </c:pt>
                <c:pt idx="30">
                  <c:v>16263494.269028205</c:v>
                </c:pt>
                <c:pt idx="31">
                  <c:v>17313779.420471199</c:v>
                </c:pt>
                <c:pt idx="32">
                  <c:v>18332215.822891191</c:v>
                </c:pt>
                <c:pt idx="33">
                  <c:v>19319514.759107292</c:v>
                </c:pt>
                <c:pt idx="34">
                  <c:v>20276396.031664483</c:v>
                </c:pt>
                <c:pt idx="35">
                  <c:v>21203584.88720943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A-42BE-9CBC-0D4D7A173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850800"/>
        <c:axId val="1366503696"/>
      </c:lineChart>
      <c:catAx>
        <c:axId val="14146892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89776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414689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Revenue (AED)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8929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366503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 (AED)</a:t>
                </a:r>
              </a:p>
            </c:rich>
          </c:tx>
          <c:layout>
            <c:manualLayout>
              <c:xMode val="edge"/>
              <c:yMode val="edge"/>
              <c:x val="0.95303756385290539"/>
              <c:y val="0.19554938520493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50800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554850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50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Lifetime Value per CAC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'03_KPIs'!$B$2:$AK$2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'03_KPIs'!$B$8:$AK$8</c:f>
              <c:numCache>
                <c:formatCode>_(* #,##0.00_);_(* \(#,##0.00\);_(* "-"??_);_(@_)</c:formatCode>
                <c:ptCount val="36"/>
                <c:pt idx="0">
                  <c:v>4.883116883116883</c:v>
                </c:pt>
                <c:pt idx="1">
                  <c:v>4.9076551589114379</c:v>
                </c:pt>
                <c:pt idx="2">
                  <c:v>4.932316742624562</c:v>
                </c:pt>
                <c:pt idx="3">
                  <c:v>4.9571022538940328</c:v>
                </c:pt>
                <c:pt idx="4">
                  <c:v>4.9820123154713896</c:v>
                </c:pt>
                <c:pt idx="5">
                  <c:v>5.0070475532375776</c:v>
                </c:pt>
                <c:pt idx="6">
                  <c:v>5.0322085962186716</c:v>
                </c:pt>
                <c:pt idx="7">
                  <c:v>5.0574960766016801</c:v>
                </c:pt>
                <c:pt idx="8">
                  <c:v>5.1692930736975207</c:v>
                </c:pt>
                <c:pt idx="9">
                  <c:v>5.218051889047528</c:v>
                </c:pt>
                <c:pt idx="10">
                  <c:v>5.2632109299510788</c:v>
                </c:pt>
                <c:pt idx="11">
                  <c:v>5.305661871943018</c:v>
                </c:pt>
                <c:pt idx="12">
                  <c:v>5.3460258205844706</c:v>
                </c:pt>
                <c:pt idx="13">
                  <c:v>5.3847497511288074</c:v>
                </c:pt>
                <c:pt idx="14">
                  <c:v>5.4221643773465749</c:v>
                </c:pt>
                <c:pt idx="15">
                  <c:v>5.4585203243192204</c:v>
                </c:pt>
                <c:pt idx="16">
                  <c:v>5.4940115389480173</c:v>
                </c:pt>
                <c:pt idx="17">
                  <c:v>5.5287909013855163</c:v>
                </c:pt>
                <c:pt idx="18">
                  <c:v>5.5629809108330646</c:v>
                </c:pt>
                <c:pt idx="19">
                  <c:v>5.5966811697721655</c:v>
                </c:pt>
                <c:pt idx="20">
                  <c:v>5.6299737339064775</c:v>
                </c:pt>
                <c:pt idx="21">
                  <c:v>5.6629270069835549</c:v>
                </c:pt>
                <c:pt idx="22">
                  <c:v>5.6955986234225984</c:v>
                </c:pt>
                <c:pt idx="23">
                  <c:v>5.7280376140202716</c:v>
                </c:pt>
                <c:pt idx="24">
                  <c:v>5.760286055505909</c:v>
                </c:pt>
                <c:pt idx="25">
                  <c:v>5.7923803429272782</c:v>
                </c:pt>
                <c:pt idx="26">
                  <c:v>5.8243521826538238</c:v>
                </c:pt>
                <c:pt idx="27">
                  <c:v>5.8562293758305142</c:v>
                </c:pt>
                <c:pt idx="28">
                  <c:v>5.8880364428372349</c:v>
                </c:pt>
                <c:pt idx="29">
                  <c:v>5.9197951258140105</c:v>
                </c:pt>
                <c:pt idx="30">
                  <c:v>5.9515247967361287</c:v>
                </c:pt>
                <c:pt idx="31">
                  <c:v>5.9834916264877496</c:v>
                </c:pt>
                <c:pt idx="32">
                  <c:v>6.0163848790001646</c:v>
                </c:pt>
                <c:pt idx="33">
                  <c:v>6.049997299139914</c:v>
                </c:pt>
                <c:pt idx="34">
                  <c:v>6.0841759341389476</c:v>
                </c:pt>
                <c:pt idx="35">
                  <c:v>6.1188062277795252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1-4C6B-8B1C-1F4A640E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193952"/>
        <c:axId val="289199712"/>
      </c:lineChart>
      <c:catAx>
        <c:axId val="28919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99712"/>
        <c:crosses val="autoZero"/>
        <c:auto val="1"/>
        <c:lblAlgn val="ctr"/>
        <c:lblOffset val="100"/>
        <c:tickLblSkip val="6"/>
        <c:noMultiLvlLbl val="0"/>
      </c:catAx>
      <c:valAx>
        <c:axId val="28919971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9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13062</xdr:colOff>
      <xdr:row>4</xdr:row>
      <xdr:rowOff>8708</xdr:rowOff>
    </xdr:from>
    <xdr:to>
      <xdr:col>23</xdr:col>
      <xdr:colOff>509451</xdr:colOff>
      <xdr:row>16</xdr:row>
      <xdr:rowOff>167639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A4DF4A-6871-BDF0-4A72-8C976F99B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8708</xdr:rowOff>
    </xdr:from>
    <xdr:to>
      <xdr:col>11</xdr:col>
      <xdr:colOff>478972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D41C0-DA69-5050-A4E3-0A828FDEF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12033</xdr:colOff>
      <xdr:row>17</xdr:row>
      <xdr:rowOff>8367</xdr:rowOff>
    </xdr:from>
    <xdr:to>
      <xdr:col>11</xdr:col>
      <xdr:colOff>481263</xdr:colOff>
      <xdr:row>26</xdr:row>
      <xdr:rowOff>176464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66C2C0-8975-3FC4-3C5C-4C2C2A94E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0.21815</cdr:x>
      <cdr:y>0.00324</cdr:y>
    </cdr:from>
    <cdr:to>
      <cdr:x>0.21815</cdr:x>
      <cdr:y>0.99768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8812B70-32A1-13F2-32A9-6C6EA53728B1}"/>
            </a:ext>
          </a:extLst>
        </cdr:cNvPr>
        <cdr:cNvCxnSpPr/>
      </cdr:nvCxnSpPr>
      <cdr:spPr>
        <a:xfrm xmlns:a="http://schemas.openxmlformats.org/drawingml/2006/main">
          <a:off x="1688410" y="7620"/>
          <a:ext cx="0" cy="234041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0.16576</cdr:x>
      <cdr:y>0.74955</cdr:y>
    </cdr:from>
    <cdr:to>
      <cdr:x>0.29076</cdr:x>
      <cdr:y>0.87073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186C3ED-018E-45DC-FC81-B93A9A82D353}"/>
            </a:ext>
          </a:extLst>
        </cdr:cNvPr>
        <cdr:cNvSpPr txBox="1"/>
      </cdr:nvSpPr>
      <cdr:spPr>
        <a:xfrm xmlns:a="http://schemas.openxmlformats.org/drawingml/2006/main">
          <a:off x="1173050" y="1764057"/>
          <a:ext cx="884600" cy="2852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kern="1200"/>
            <a:t>Equity Raise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F5CC-AB30-4952-AA79-430E82B70DE6}">
  <dimension ref="A1:A31"/>
  <sheetViews>
    <sheetView workbookViewId="0">
      <selection activeCell="E17" sqref="E17"/>
    </sheetView>
  </sheetViews>
  <sheetFormatPr defaultRowHeight="14.4" x14ac:dyDescent="0.3"/>
  <cols>
    <col min="1" max="1" width="83.109375" customWidth="1"/>
  </cols>
  <sheetData>
    <row r="1" spans="1:1" ht="23.4" x14ac:dyDescent="0.45">
      <c r="A1" s="215" t="s">
        <v>321</v>
      </c>
    </row>
    <row r="3" spans="1:1" ht="43.2" x14ac:dyDescent="0.3">
      <c r="A3" s="191" t="s">
        <v>322</v>
      </c>
    </row>
    <row r="4" spans="1:1" ht="28.8" x14ac:dyDescent="0.3">
      <c r="A4" s="191" t="s">
        <v>323</v>
      </c>
    </row>
    <row r="6" spans="1:1" ht="18" x14ac:dyDescent="0.35">
      <c r="A6" s="41" t="s">
        <v>324</v>
      </c>
    </row>
    <row r="7" spans="1:1" x14ac:dyDescent="0.3">
      <c r="A7" t="s">
        <v>325</v>
      </c>
    </row>
    <row r="8" spans="1:1" x14ac:dyDescent="0.3">
      <c r="A8" t="s">
        <v>326</v>
      </c>
    </row>
    <row r="9" spans="1:1" x14ac:dyDescent="0.3">
      <c r="A9" t="s">
        <v>327</v>
      </c>
    </row>
    <row r="10" spans="1:1" x14ac:dyDescent="0.3">
      <c r="A10" t="s">
        <v>328</v>
      </c>
    </row>
    <row r="11" spans="1:1" x14ac:dyDescent="0.3">
      <c r="A11" t="s">
        <v>329</v>
      </c>
    </row>
    <row r="12" spans="1:1" x14ac:dyDescent="0.3">
      <c r="A12" t="s">
        <v>330</v>
      </c>
    </row>
    <row r="14" spans="1:1" x14ac:dyDescent="0.3">
      <c r="A14" t="s">
        <v>331</v>
      </c>
    </row>
    <row r="15" spans="1:1" x14ac:dyDescent="0.3">
      <c r="A15" t="s">
        <v>332</v>
      </c>
    </row>
    <row r="17" spans="1:1" ht="18" x14ac:dyDescent="0.35">
      <c r="A17" s="41" t="s">
        <v>252</v>
      </c>
    </row>
    <row r="18" spans="1:1" x14ac:dyDescent="0.3">
      <c r="A18" t="s">
        <v>333</v>
      </c>
    </row>
    <row r="19" spans="1:1" x14ac:dyDescent="0.3">
      <c r="A19" t="s">
        <v>335</v>
      </c>
    </row>
    <row r="20" spans="1:1" x14ac:dyDescent="0.3">
      <c r="A20" t="s">
        <v>334</v>
      </c>
    </row>
    <row r="22" spans="1:1" x14ac:dyDescent="0.3">
      <c r="A22" t="s">
        <v>336</v>
      </c>
    </row>
    <row r="23" spans="1:1" x14ac:dyDescent="0.3">
      <c r="A23" t="s">
        <v>337</v>
      </c>
    </row>
    <row r="24" spans="1:1" x14ac:dyDescent="0.3">
      <c r="A24" t="s">
        <v>338</v>
      </c>
    </row>
    <row r="26" spans="1:1" x14ac:dyDescent="0.3">
      <c r="A26" t="s">
        <v>339</v>
      </c>
    </row>
    <row r="28" spans="1:1" ht="18" x14ac:dyDescent="0.35">
      <c r="A28" s="41" t="s">
        <v>340</v>
      </c>
    </row>
    <row r="29" spans="1:1" ht="28.8" x14ac:dyDescent="0.3">
      <c r="A29" s="191" t="s">
        <v>341</v>
      </c>
    </row>
    <row r="30" spans="1:1" ht="28.8" x14ac:dyDescent="0.3">
      <c r="A30" s="191" t="s">
        <v>342</v>
      </c>
    </row>
    <row r="31" spans="1:1" ht="28.8" x14ac:dyDescent="0.3">
      <c r="A31" s="191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89FD-9AC2-4097-BB49-788E5F7CDCA8}">
  <dimension ref="A1:X27"/>
  <sheetViews>
    <sheetView tabSelected="1" zoomScaleNormal="100" workbookViewId="0">
      <selection activeCell="I2" sqref="I2:L4"/>
    </sheetView>
  </sheetViews>
  <sheetFormatPr defaultRowHeight="14.4" x14ac:dyDescent="0.3"/>
  <cols>
    <col min="1" max="1" width="11.6640625" bestFit="1" customWidth="1"/>
    <col min="2" max="2" width="7" customWidth="1"/>
    <col min="3" max="4" width="8.5546875" customWidth="1"/>
    <col min="5" max="12" width="7.21875" customWidth="1"/>
    <col min="13" max="13" width="10" customWidth="1"/>
    <col min="14" max="14" width="12" customWidth="1"/>
    <col min="15" max="15" width="11.21875" customWidth="1"/>
    <col min="16" max="16" width="11.6640625" customWidth="1"/>
    <col min="17" max="17" width="8.88671875" customWidth="1"/>
    <col min="18" max="18" width="11.21875" customWidth="1"/>
    <col min="19" max="19" width="10" customWidth="1"/>
    <col min="20" max="20" width="7.5546875" customWidth="1"/>
    <col min="21" max="21" width="6.77734375" customWidth="1"/>
    <col min="22" max="22" width="7.5546875" customWidth="1"/>
    <col min="23" max="23" width="8.6640625" customWidth="1"/>
    <col min="24" max="24" width="7.5546875" customWidth="1"/>
  </cols>
  <sheetData>
    <row r="1" spans="1:24" ht="18.600000000000001" thickBot="1" x14ac:dyDescent="0.35">
      <c r="A1" s="290" t="s">
        <v>248</v>
      </c>
      <c r="B1" s="269"/>
      <c r="C1" s="269"/>
      <c r="D1" s="270"/>
      <c r="E1" s="268" t="s">
        <v>249</v>
      </c>
      <c r="F1" s="269"/>
      <c r="G1" s="269"/>
      <c r="H1" s="270"/>
      <c r="I1" s="268" t="s">
        <v>254</v>
      </c>
      <c r="J1" s="269"/>
      <c r="K1" s="269"/>
      <c r="L1" s="270"/>
      <c r="M1" s="268" t="s">
        <v>257</v>
      </c>
      <c r="N1" s="269"/>
      <c r="O1" s="269"/>
      <c r="P1" s="270"/>
      <c r="Q1" s="268" t="s">
        <v>256</v>
      </c>
      <c r="R1" s="269"/>
      <c r="S1" s="269"/>
      <c r="T1" s="270"/>
      <c r="U1" s="268" t="s">
        <v>241</v>
      </c>
      <c r="V1" s="269"/>
      <c r="W1" s="269"/>
      <c r="X1" s="271"/>
    </row>
    <row r="2" spans="1:24" ht="18.600000000000001" customHeight="1" x14ac:dyDescent="0.3">
      <c r="A2" s="291">
        <f>'10_Income_Statement'!AN3</f>
        <v>29279351.468526199</v>
      </c>
      <c r="B2" s="292"/>
      <c r="C2" s="292"/>
      <c r="D2" s="293"/>
      <c r="E2" s="300">
        <f>'03_KPIs'!AK4</f>
        <v>21203584.88720943</v>
      </c>
      <c r="F2" s="292"/>
      <c r="G2" s="292"/>
      <c r="H2" s="293"/>
      <c r="I2" s="303">
        <f>'03_KPIs'!AN10</f>
        <v>-0.51265641004602935</v>
      </c>
      <c r="J2" s="304"/>
      <c r="K2" s="304"/>
      <c r="L2" s="305"/>
      <c r="M2" s="272">
        <f>'03_KPIs'!AL8</f>
        <v>5.305661871943018</v>
      </c>
      <c r="N2" s="273"/>
      <c r="O2" s="273"/>
      <c r="P2" s="274"/>
      <c r="Q2" s="272">
        <f>'03_KPIs'!AL12</f>
        <v>26.802941240547554</v>
      </c>
      <c r="R2" s="273"/>
      <c r="S2" s="273"/>
      <c r="T2" s="274"/>
      <c r="U2" s="281">
        <f>'02_Valuation'!B13</f>
        <v>0.74411548947921435</v>
      </c>
      <c r="V2" s="282"/>
      <c r="W2" s="282"/>
      <c r="X2" s="283"/>
    </row>
    <row r="3" spans="1:24" ht="18" customHeight="1" x14ac:dyDescent="0.3">
      <c r="A3" s="294"/>
      <c r="B3" s="295"/>
      <c r="C3" s="295"/>
      <c r="D3" s="296"/>
      <c r="E3" s="301"/>
      <c r="F3" s="295"/>
      <c r="G3" s="295"/>
      <c r="H3" s="296"/>
      <c r="I3" s="306"/>
      <c r="J3" s="307"/>
      <c r="K3" s="307"/>
      <c r="L3" s="308"/>
      <c r="M3" s="275"/>
      <c r="N3" s="276"/>
      <c r="O3" s="276"/>
      <c r="P3" s="277"/>
      <c r="Q3" s="275"/>
      <c r="R3" s="276"/>
      <c r="S3" s="276"/>
      <c r="T3" s="277"/>
      <c r="U3" s="284"/>
      <c r="V3" s="285"/>
      <c r="W3" s="285"/>
      <c r="X3" s="286"/>
    </row>
    <row r="4" spans="1:24" ht="18" customHeight="1" thickBot="1" x14ac:dyDescent="0.35">
      <c r="A4" s="297"/>
      <c r="B4" s="298"/>
      <c r="C4" s="298"/>
      <c r="D4" s="299"/>
      <c r="E4" s="302"/>
      <c r="F4" s="298"/>
      <c r="G4" s="298"/>
      <c r="H4" s="299"/>
      <c r="I4" s="309"/>
      <c r="J4" s="310"/>
      <c r="K4" s="310"/>
      <c r="L4" s="311"/>
      <c r="M4" s="278"/>
      <c r="N4" s="279"/>
      <c r="O4" s="279"/>
      <c r="P4" s="280"/>
      <c r="Q4" s="278"/>
      <c r="R4" s="279"/>
      <c r="S4" s="279"/>
      <c r="T4" s="280"/>
      <c r="U4" s="287"/>
      <c r="V4" s="288"/>
      <c r="W4" s="288"/>
      <c r="X4" s="289"/>
    </row>
    <row r="5" spans="1:24" ht="15" thickBot="1" x14ac:dyDescent="0.35">
      <c r="A5" s="205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7"/>
      <c r="M5" s="205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7"/>
    </row>
    <row r="6" spans="1:24" x14ac:dyDescent="0.3">
      <c r="A6" s="197"/>
      <c r="L6" s="198"/>
      <c r="M6" s="197"/>
      <c r="X6" s="198"/>
    </row>
    <row r="7" spans="1:24" x14ac:dyDescent="0.3">
      <c r="A7" s="197"/>
      <c r="L7" s="198"/>
      <c r="M7" s="197"/>
      <c r="X7" s="198"/>
    </row>
    <row r="8" spans="1:24" x14ac:dyDescent="0.3">
      <c r="A8" s="197"/>
      <c r="L8" s="198"/>
      <c r="M8" s="197"/>
      <c r="X8" s="198"/>
    </row>
    <row r="9" spans="1:24" x14ac:dyDescent="0.3">
      <c r="A9" s="197"/>
      <c r="L9" s="198"/>
      <c r="M9" s="197"/>
      <c r="X9" s="198"/>
    </row>
    <row r="10" spans="1:24" x14ac:dyDescent="0.3">
      <c r="A10" s="197"/>
      <c r="L10" s="198"/>
      <c r="M10" s="197"/>
      <c r="X10" s="198"/>
    </row>
    <row r="11" spans="1:24" x14ac:dyDescent="0.3">
      <c r="A11" s="197"/>
      <c r="L11" s="198"/>
      <c r="M11" s="197"/>
      <c r="X11" s="198"/>
    </row>
    <row r="12" spans="1:24" x14ac:dyDescent="0.3">
      <c r="A12" s="197"/>
      <c r="L12" s="198"/>
      <c r="M12" s="197"/>
      <c r="X12" s="198"/>
    </row>
    <row r="13" spans="1:24" x14ac:dyDescent="0.3">
      <c r="A13" s="197"/>
      <c r="L13" s="198"/>
      <c r="M13" s="197"/>
      <c r="X13" s="198"/>
    </row>
    <row r="14" spans="1:24" x14ac:dyDescent="0.3">
      <c r="A14" s="197"/>
      <c r="L14" s="198"/>
      <c r="M14" s="197"/>
      <c r="X14" s="198"/>
    </row>
    <row r="15" spans="1:24" x14ac:dyDescent="0.3">
      <c r="A15" s="197"/>
      <c r="L15" s="198"/>
      <c r="M15" s="197"/>
      <c r="X15" s="198"/>
    </row>
    <row r="16" spans="1:24" x14ac:dyDescent="0.3">
      <c r="A16" s="197"/>
      <c r="L16" s="198"/>
      <c r="M16" s="197"/>
      <c r="X16" s="198"/>
    </row>
    <row r="17" spans="1:24" ht="15" thickBot="1" x14ac:dyDescent="0.35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1"/>
      <c r="M17" s="199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1"/>
    </row>
    <row r="18" spans="1:24" ht="18" customHeight="1" x14ac:dyDescent="0.3">
      <c r="A18" s="260" t="s">
        <v>265</v>
      </c>
      <c r="B18" s="261"/>
      <c r="C18" s="262"/>
      <c r="D18" s="194"/>
      <c r="E18" s="195"/>
      <c r="F18" s="195"/>
      <c r="G18" s="195"/>
      <c r="H18" s="195"/>
      <c r="I18" s="195"/>
      <c r="J18" s="195"/>
      <c r="K18" s="195"/>
      <c r="L18" s="196"/>
      <c r="M18" s="216" t="s">
        <v>252</v>
      </c>
      <c r="N18" s="217"/>
      <c r="O18" s="217"/>
      <c r="P18" s="217"/>
      <c r="Q18" s="217"/>
      <c r="R18" s="218"/>
      <c r="S18" s="220" t="s">
        <v>268</v>
      </c>
      <c r="T18" s="220"/>
      <c r="U18" s="220"/>
      <c r="V18" s="220"/>
      <c r="W18" s="220"/>
      <c r="X18" s="221"/>
    </row>
    <row r="19" spans="1:24" ht="18.600000000000001" customHeight="1" thickBot="1" x14ac:dyDescent="0.35">
      <c r="A19" s="263"/>
      <c r="B19" s="264"/>
      <c r="C19" s="265"/>
      <c r="D19" s="197"/>
      <c r="L19" s="198"/>
      <c r="M19" s="219"/>
      <c r="N19" s="220"/>
      <c r="O19" s="220"/>
      <c r="P19" s="220"/>
      <c r="Q19" s="220"/>
      <c r="R19" s="221"/>
      <c r="S19" s="228"/>
      <c r="T19" s="228"/>
      <c r="U19" s="228"/>
      <c r="V19" s="228"/>
      <c r="W19" s="228"/>
      <c r="X19" s="229"/>
    </row>
    <row r="20" spans="1:24" ht="15" customHeight="1" thickBot="1" x14ac:dyDescent="0.35">
      <c r="A20" s="248" t="s">
        <v>264</v>
      </c>
      <c r="B20" s="249"/>
      <c r="C20" s="252">
        <f>'32_Inputs_GrowthRetention'!$D$15</f>
        <v>110</v>
      </c>
      <c r="D20" s="197"/>
      <c r="L20" s="198"/>
      <c r="M20" s="256" t="s">
        <v>162</v>
      </c>
      <c r="N20" s="224" t="s">
        <v>269</v>
      </c>
      <c r="O20" s="224" t="s">
        <v>271</v>
      </c>
      <c r="P20" s="224" t="s">
        <v>270</v>
      </c>
      <c r="Q20" s="258" t="s">
        <v>241</v>
      </c>
      <c r="R20" s="242" t="s">
        <v>260</v>
      </c>
      <c r="S20" s="193" t="s">
        <v>57</v>
      </c>
      <c r="T20" s="230" t="s">
        <v>267</v>
      </c>
      <c r="U20" s="231"/>
      <c r="V20" s="230" t="s">
        <v>272</v>
      </c>
      <c r="W20" s="231"/>
      <c r="X20" s="202" t="s">
        <v>247</v>
      </c>
    </row>
    <row r="21" spans="1:24" ht="15" thickBot="1" x14ac:dyDescent="0.35">
      <c r="A21" s="248"/>
      <c r="B21" s="249"/>
      <c r="C21" s="252"/>
      <c r="D21" s="197"/>
      <c r="L21" s="198"/>
      <c r="M21" s="257"/>
      <c r="N21" s="225"/>
      <c r="O21" s="225"/>
      <c r="P21" s="225"/>
      <c r="Q21" s="259"/>
      <c r="R21" s="243"/>
      <c r="S21" s="193" t="s">
        <v>54</v>
      </c>
      <c r="T21" s="238">
        <v>11053772.140548199</v>
      </c>
      <c r="U21" s="239"/>
      <c r="V21" s="232">
        <v>-1.3736224408094</v>
      </c>
      <c r="W21" s="233"/>
      <c r="X21" s="203">
        <v>0.76647181392469921</v>
      </c>
    </row>
    <row r="22" spans="1:24" ht="15" thickBot="1" x14ac:dyDescent="0.35">
      <c r="A22" s="266" t="s">
        <v>215</v>
      </c>
      <c r="B22" s="267"/>
      <c r="C22" s="252">
        <f>'03_KPIs'!AN6</f>
        <v>564.76426762738072</v>
      </c>
      <c r="D22" s="197"/>
      <c r="L22" s="198"/>
      <c r="M22" s="244">
        <f>'20_Capital_Sensitivity'!H2</f>
        <v>6</v>
      </c>
      <c r="N22" s="226">
        <f>'02_Valuation'!B10</f>
        <v>8596935.3594517987</v>
      </c>
      <c r="O22" s="226">
        <f>'20_Capital_Sensitivity'!I2</f>
        <v>25000000</v>
      </c>
      <c r="P22" s="226">
        <f>'02_Valuation'!B11</f>
        <v>33596935.359451801</v>
      </c>
      <c r="Q22" s="246">
        <f>'02_Valuation'!B13</f>
        <v>0.74411548947921435</v>
      </c>
      <c r="R22" s="222">
        <f>'03_KPIs'!AN14</f>
        <v>34289183.869240232</v>
      </c>
      <c r="S22" s="193" t="s">
        <v>53</v>
      </c>
      <c r="T22" s="238">
        <v>21203584.88720943</v>
      </c>
      <c r="U22" s="239"/>
      <c r="V22" s="234">
        <v>-0.51265641004602902</v>
      </c>
      <c r="W22" s="235"/>
      <c r="X22" s="203">
        <v>0.74411548947921435</v>
      </c>
    </row>
    <row r="23" spans="1:24" ht="15" thickBot="1" x14ac:dyDescent="0.35">
      <c r="A23" s="248"/>
      <c r="B23" s="249"/>
      <c r="C23" s="252"/>
      <c r="D23" s="197"/>
      <c r="L23" s="198"/>
      <c r="M23" s="245"/>
      <c r="N23" s="227"/>
      <c r="O23" s="227"/>
      <c r="P23" s="227"/>
      <c r="Q23" s="247"/>
      <c r="R23" s="223"/>
      <c r="S23" s="208" t="s">
        <v>55</v>
      </c>
      <c r="T23" s="240">
        <v>26280797.492363103</v>
      </c>
      <c r="U23" s="241"/>
      <c r="V23" s="236">
        <v>-0.19561798992691701</v>
      </c>
      <c r="W23" s="237"/>
      <c r="X23" s="204">
        <v>0.7311108595107576</v>
      </c>
    </row>
    <row r="24" spans="1:24" x14ac:dyDescent="0.3">
      <c r="A24" s="248" t="s">
        <v>266</v>
      </c>
      <c r="B24" s="249"/>
      <c r="C24" s="253">
        <f>'03_KPIs'!AN7</f>
        <v>4.6694449060526884</v>
      </c>
      <c r="D24" s="197"/>
      <c r="L24" s="198"/>
      <c r="S24" s="209" t="s">
        <v>57</v>
      </c>
    </row>
    <row r="25" spans="1:24" ht="15" thickBot="1" x14ac:dyDescent="0.35">
      <c r="A25" s="248"/>
      <c r="B25" s="249"/>
      <c r="C25" s="253"/>
      <c r="D25" s="197"/>
      <c r="L25" s="198"/>
      <c r="S25" s="210" t="s">
        <v>53</v>
      </c>
    </row>
    <row r="26" spans="1:24" x14ac:dyDescent="0.3">
      <c r="A26" s="248" t="s">
        <v>218</v>
      </c>
      <c r="B26" s="249"/>
      <c r="C26" s="254">
        <f>'03_KPIs'!AN9</f>
        <v>0.81419301856617066</v>
      </c>
      <c r="D26" s="197"/>
      <c r="L26" s="198"/>
    </row>
    <row r="27" spans="1:24" ht="15" thickBot="1" x14ac:dyDescent="0.35">
      <c r="A27" s="250"/>
      <c r="B27" s="251"/>
      <c r="C27" s="255"/>
      <c r="D27" s="199"/>
      <c r="E27" s="200"/>
      <c r="F27" s="200"/>
      <c r="G27" s="200"/>
      <c r="H27" s="200"/>
      <c r="I27" s="200"/>
      <c r="J27" s="200"/>
      <c r="K27" s="200"/>
      <c r="L27" s="201"/>
    </row>
  </sheetData>
  <mergeCells count="43">
    <mergeCell ref="Q1:T1"/>
    <mergeCell ref="U1:X1"/>
    <mergeCell ref="M2:P4"/>
    <mergeCell ref="Q2:T4"/>
    <mergeCell ref="U2:X4"/>
    <mergeCell ref="A18:C19"/>
    <mergeCell ref="A20:B21"/>
    <mergeCell ref="A22:B23"/>
    <mergeCell ref="A24:B25"/>
    <mergeCell ref="M1:P1"/>
    <mergeCell ref="A1:D1"/>
    <mergeCell ref="E1:H1"/>
    <mergeCell ref="I1:L1"/>
    <mergeCell ref="A2:D4"/>
    <mergeCell ref="E2:H4"/>
    <mergeCell ref="I2:L4"/>
    <mergeCell ref="P22:P23"/>
    <mergeCell ref="Q22:Q23"/>
    <mergeCell ref="A26:B27"/>
    <mergeCell ref="C20:C21"/>
    <mergeCell ref="C22:C23"/>
    <mergeCell ref="C24:C25"/>
    <mergeCell ref="C26:C27"/>
    <mergeCell ref="M20:M21"/>
    <mergeCell ref="N20:N21"/>
    <mergeCell ref="P20:P21"/>
    <mergeCell ref="Q20:Q21"/>
    <mergeCell ref="M18:R19"/>
    <mergeCell ref="R22:R23"/>
    <mergeCell ref="O20:O21"/>
    <mergeCell ref="O22:O23"/>
    <mergeCell ref="S18:X19"/>
    <mergeCell ref="V20:W20"/>
    <mergeCell ref="V21:W21"/>
    <mergeCell ref="V22:W22"/>
    <mergeCell ref="V23:W23"/>
    <mergeCell ref="T21:U21"/>
    <mergeCell ref="T22:U22"/>
    <mergeCell ref="T23:U23"/>
    <mergeCell ref="T20:U20"/>
    <mergeCell ref="R20:R21"/>
    <mergeCell ref="M22:M23"/>
    <mergeCell ref="N22:N23"/>
  </mergeCells>
  <dataValidations count="1">
    <dataValidation type="list" allowBlank="1" showInputMessage="1" showErrorMessage="1" sqref="S25" xr:uid="{91803CFB-D85C-4561-90A3-1A9027EB314F}">
      <formula1>"Base,Downside,Upside"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D766-EDAD-48B1-8768-4A92B38A2205}">
  <dimension ref="A1:B14"/>
  <sheetViews>
    <sheetView workbookViewId="0">
      <selection activeCell="E15" sqref="E15"/>
    </sheetView>
  </sheetViews>
  <sheetFormatPr defaultRowHeight="14.4" x14ac:dyDescent="0.3"/>
  <cols>
    <col min="1" max="1" width="20.21875" bestFit="1" customWidth="1"/>
    <col min="2" max="2" width="14.109375" bestFit="1" customWidth="1"/>
  </cols>
  <sheetData>
    <row r="1" spans="1:2" x14ac:dyDescent="0.3">
      <c r="A1" s="4" t="s">
        <v>233</v>
      </c>
      <c r="B1" s="2"/>
    </row>
    <row r="2" spans="1:2" x14ac:dyDescent="0.3">
      <c r="A2" s="2" t="s">
        <v>237</v>
      </c>
      <c r="B2" s="2">
        <v>8</v>
      </c>
    </row>
    <row r="3" spans="1:2" x14ac:dyDescent="0.3">
      <c r="A3" s="2" t="s">
        <v>236</v>
      </c>
      <c r="B3" s="2">
        <v>5</v>
      </c>
    </row>
    <row r="4" spans="1:2" x14ac:dyDescent="0.3">
      <c r="A4" s="2" t="s">
        <v>234</v>
      </c>
      <c r="B4" s="2">
        <f>'21_Scenarios'!$G$2</f>
        <v>6</v>
      </c>
    </row>
    <row r="5" spans="1:2" x14ac:dyDescent="0.3">
      <c r="A5" s="2" t="s">
        <v>235</v>
      </c>
      <c r="B5" s="104">
        <f>'21_Scenarios'!$H$2</f>
        <v>25000000</v>
      </c>
    </row>
    <row r="7" spans="1:2" x14ac:dyDescent="0.3">
      <c r="A7" s="2" t="s">
        <v>274</v>
      </c>
      <c r="B7" s="104" cm="1">
        <f t="array" ref="B7">INDEX('03_KPIs'!B4:AK4,'02_Valuation'!B4-1)</f>
        <v>1346120.2871062907</v>
      </c>
    </row>
    <row r="8" spans="1:2" x14ac:dyDescent="0.3">
      <c r="A8" s="2" t="s">
        <v>238</v>
      </c>
      <c r="B8" s="167">
        <f>B7*B2</f>
        <v>10768962.296850326</v>
      </c>
    </row>
    <row r="9" spans="1:2" x14ac:dyDescent="0.3">
      <c r="A9" s="2" t="s">
        <v>275</v>
      </c>
      <c r="B9" s="104" cm="1">
        <f t="array" ref="B9">INDEX('03_KPIs'!B14:AK14,'02_Valuation'!B4-1)</f>
        <v>2172026.9373985273</v>
      </c>
    </row>
    <row r="10" spans="1:2" x14ac:dyDescent="0.3">
      <c r="A10" s="4" t="s">
        <v>239</v>
      </c>
      <c r="B10" s="192">
        <f>B8-B9</f>
        <v>8596935.3594517987</v>
      </c>
    </row>
    <row r="11" spans="1:2" x14ac:dyDescent="0.3">
      <c r="A11" s="4" t="s">
        <v>240</v>
      </c>
      <c r="B11" s="192">
        <f>B10+B5</f>
        <v>33596935.359451801</v>
      </c>
    </row>
    <row r="13" spans="1:2" x14ac:dyDescent="0.3">
      <c r="A13" s="4" t="s">
        <v>241</v>
      </c>
      <c r="B13" s="211">
        <f>B5/B11</f>
        <v>0.74411548947921435</v>
      </c>
    </row>
    <row r="14" spans="1:2" x14ac:dyDescent="0.3">
      <c r="A14" s="4" t="s">
        <v>242</v>
      </c>
      <c r="B14" s="211">
        <f>B10/B11</f>
        <v>0.25588451052078565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A824-5F5D-42DE-B3A6-3636D03B6EF3}">
  <dimension ref="A1:AN19"/>
  <sheetViews>
    <sheetView workbookViewId="0">
      <pane xSplit="1" topLeftCell="AK1" activePane="topRight" state="frozen"/>
      <selection pane="topRight" activeCell="AQ13" sqref="AQ13"/>
    </sheetView>
  </sheetViews>
  <sheetFormatPr defaultRowHeight="14.4" x14ac:dyDescent="0.3"/>
  <cols>
    <col min="1" max="1" width="26.109375" bestFit="1" customWidth="1"/>
    <col min="2" max="6" width="13.109375" bestFit="1" customWidth="1"/>
    <col min="7" max="40" width="14.109375" bestFit="1" customWidth="1"/>
  </cols>
  <sheetData>
    <row r="1" spans="1:40" ht="15" thickBot="1" x14ac:dyDescent="0.35">
      <c r="A1" s="95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96" t="str">
        <v>Month Label</v>
      </c>
      <c r="B2" s="63" t="str">
        <v>M1</v>
      </c>
      <c r="C2" s="63" t="str">
        <v>M2</v>
      </c>
      <c r="D2" s="63" t="str">
        <v>M3</v>
      </c>
      <c r="E2" s="63" t="str">
        <v>M4</v>
      </c>
      <c r="F2" s="63" t="str">
        <v>M5</v>
      </c>
      <c r="G2" s="63" t="str">
        <v>M6</v>
      </c>
      <c r="H2" s="63" t="str">
        <v>M7</v>
      </c>
      <c r="I2" s="63" t="str">
        <v>M8</v>
      </c>
      <c r="J2" s="63" t="str">
        <v>M9</v>
      </c>
      <c r="K2" s="63" t="str">
        <v>M10</v>
      </c>
      <c r="L2" s="63" t="str">
        <v>M11</v>
      </c>
      <c r="M2" s="63" t="str">
        <v>M12</v>
      </c>
      <c r="N2" s="63" t="str">
        <v>M13</v>
      </c>
      <c r="O2" s="63" t="str">
        <v>M14</v>
      </c>
      <c r="P2" s="63" t="str">
        <v>M15</v>
      </c>
      <c r="Q2" s="63" t="str">
        <v>M16</v>
      </c>
      <c r="R2" s="63" t="str">
        <v>M17</v>
      </c>
      <c r="S2" s="63" t="str">
        <v>M18</v>
      </c>
      <c r="T2" s="63" t="str">
        <v>M19</v>
      </c>
      <c r="U2" s="63" t="str">
        <v>M20</v>
      </c>
      <c r="V2" s="63" t="str">
        <v>M21</v>
      </c>
      <c r="W2" s="63" t="str">
        <v>M22</v>
      </c>
      <c r="X2" s="63" t="str">
        <v>M23</v>
      </c>
      <c r="Y2" s="63" t="str">
        <v>M24</v>
      </c>
      <c r="Z2" s="63" t="str">
        <v>M25</v>
      </c>
      <c r="AA2" s="63" t="str">
        <v>M26</v>
      </c>
      <c r="AB2" s="63" t="str">
        <v>M27</v>
      </c>
      <c r="AC2" s="63" t="str">
        <v>M28</v>
      </c>
      <c r="AD2" s="63" t="str">
        <v>M29</v>
      </c>
      <c r="AE2" s="63" t="str">
        <v>M30</v>
      </c>
      <c r="AF2" s="63" t="str">
        <v>M31</v>
      </c>
      <c r="AG2" s="63" t="str">
        <v>M32</v>
      </c>
      <c r="AH2" s="63" t="str">
        <v>M33</v>
      </c>
      <c r="AI2" s="63" t="str">
        <v>M34</v>
      </c>
      <c r="AJ2" s="63" t="str">
        <v>M35</v>
      </c>
      <c r="AK2" s="70" t="str">
        <v>M36</v>
      </c>
      <c r="AL2" s="86" t="s">
        <v>74</v>
      </c>
      <c r="AM2" s="142" t="s">
        <v>75</v>
      </c>
      <c r="AN2" s="143" t="s">
        <v>76</v>
      </c>
    </row>
    <row r="3" spans="1:40" x14ac:dyDescent="0.3">
      <c r="A3" s="95" t="s">
        <v>213</v>
      </c>
      <c r="B3" s="58">
        <v>0</v>
      </c>
      <c r="C3" s="120">
        <f>('41_Revenue_COGS'!C18/'41_Revenue_COGS'!B18)-1</f>
        <v>1.0251049999999995</v>
      </c>
      <c r="D3" s="120">
        <f>('41_Revenue_COGS'!D18/'41_Revenue_COGS'!C18)-1</f>
        <v>0.51994042828643461</v>
      </c>
      <c r="E3" s="120">
        <f>('41_Revenue_COGS'!E18/'41_Revenue_COGS'!D18)-1</f>
        <v>0.35204487148342856</v>
      </c>
      <c r="F3" s="120">
        <f>('41_Revenue_COGS'!F18/'41_Revenue_COGS'!E18)-1</f>
        <v>0.26846494937980259</v>
      </c>
      <c r="G3" s="120">
        <f>('41_Revenue_COGS'!G18/'41_Revenue_COGS'!F18)-1</f>
        <v>0.21860947917367657</v>
      </c>
      <c r="H3" s="120">
        <f>('41_Revenue_COGS'!H18/'41_Revenue_COGS'!G18)-1</f>
        <v>0.18561432026748137</v>
      </c>
      <c r="I3" s="120">
        <f>('41_Revenue_COGS'!I18/'41_Revenue_COGS'!H18)-1</f>
        <v>0.16225163992148572</v>
      </c>
      <c r="J3" s="120">
        <f>('41_Revenue_COGS'!J18/'41_Revenue_COGS'!I18)-1</f>
        <v>0.1606067103977411</v>
      </c>
      <c r="K3" s="120">
        <f>('41_Revenue_COGS'!K18/'41_Revenue_COGS'!J18)-1</f>
        <v>0.13558976298533221</v>
      </c>
      <c r="L3" s="120">
        <f>('41_Revenue_COGS'!L18/'41_Revenue_COGS'!K18)-1</f>
        <v>0.12432339205845677</v>
      </c>
      <c r="M3" s="120">
        <f>('41_Revenue_COGS'!M18/'41_Revenue_COGS'!L18)-1</f>
        <v>0.11528110524089019</v>
      </c>
      <c r="N3" s="120">
        <f>('41_Revenue_COGS'!N18/'41_Revenue_COGS'!M18)-1</f>
        <v>0.10789216716347849</v>
      </c>
      <c r="O3" s="120">
        <f>('41_Revenue_COGS'!O18/'41_Revenue_COGS'!N18)-1</f>
        <v>0.10176510864919708</v>
      </c>
      <c r="P3" s="120">
        <f>('41_Revenue_COGS'!P18/'41_Revenue_COGS'!O18)-1</f>
        <v>9.6622421075860609E-2</v>
      </c>
      <c r="Q3" s="120">
        <f>('41_Revenue_COGS'!Q18/'41_Revenue_COGS'!P18)-1</f>
        <v>9.2261865415572908E-2</v>
      </c>
      <c r="R3" s="120">
        <f>('41_Revenue_COGS'!R18/'41_Revenue_COGS'!Q18)-1</f>
        <v>8.8532546525653899E-2</v>
      </c>
      <c r="S3" s="120">
        <f>('41_Revenue_COGS'!S18/'41_Revenue_COGS'!R18)-1</f>
        <v>8.5319571957062967E-2</v>
      </c>
      <c r="T3" s="120">
        <f>('41_Revenue_COGS'!T18/'41_Revenue_COGS'!S18)-1</f>
        <v>8.2533904533252267E-2</v>
      </c>
      <c r="U3" s="120">
        <f>('41_Revenue_COGS'!U18/'41_Revenue_COGS'!T18)-1</f>
        <v>8.0105466788553681E-2</v>
      </c>
      <c r="V3" s="120">
        <f>('41_Revenue_COGS'!V18/'41_Revenue_COGS'!U18)-1</f>
        <v>7.7978343046826382E-2</v>
      </c>
      <c r="W3" s="120">
        <f>('41_Revenue_COGS'!W18/'41_Revenue_COGS'!V18)-1</f>
        <v>7.6107370512770389E-2</v>
      </c>
      <c r="X3" s="120">
        <f>('41_Revenue_COGS'!X18/'41_Revenue_COGS'!W18)-1</f>
        <v>7.4455671725507599E-2</v>
      </c>
      <c r="Y3" s="120">
        <f>('41_Revenue_COGS'!Y18/'41_Revenue_COGS'!X18)-1</f>
        <v>7.299283833359782E-2</v>
      </c>
      <c r="Z3" s="120">
        <f>('41_Revenue_COGS'!Z18/'41_Revenue_COGS'!Y18)-1</f>
        <v>7.1693573965899926E-2</v>
      </c>
      <c r="AA3" s="120">
        <f>('41_Revenue_COGS'!AA18/'41_Revenue_COGS'!Z18)-1</f>
        <v>7.0536666179623841E-2</v>
      </c>
      <c r="AB3" s="120">
        <f>('41_Revenue_COGS'!AB18/'41_Revenue_COGS'!AA18)-1</f>
        <v>6.9504197908574206E-2</v>
      </c>
      <c r="AC3" s="120">
        <f>('41_Revenue_COGS'!AC18/'41_Revenue_COGS'!AB18)-1</f>
        <v>6.8580935655786712E-2</v>
      </c>
      <c r="AD3" s="120">
        <f>('41_Revenue_COGS'!AD18/'41_Revenue_COGS'!AC18)-1</f>
        <v>6.7753849788563913E-2</v>
      </c>
      <c r="AE3" s="120">
        <f>('41_Revenue_COGS'!AE18/'41_Revenue_COGS'!AD18)-1</f>
        <v>6.7011734731769135E-2</v>
      </c>
      <c r="AF3" s="120">
        <f>('41_Revenue_COGS'!AF18/'41_Revenue_COGS'!AE18)-1</f>
        <v>6.6344905526753761E-2</v>
      </c>
      <c r="AG3" s="120">
        <f>('41_Revenue_COGS'!AG18/'41_Revenue_COGS'!AF18)-1</f>
        <v>6.4328077967862773E-2</v>
      </c>
      <c r="AH3" s="120">
        <f>('41_Revenue_COGS'!AH18/'41_Revenue_COGS'!AG18)-1</f>
        <v>5.8481584725358138E-2</v>
      </c>
      <c r="AI3" s="120">
        <f>('41_Revenue_COGS'!AI18/'41_Revenue_COGS'!AH18)-1</f>
        <v>5.3452872523938044E-2</v>
      </c>
      <c r="AJ3" s="120">
        <f>('41_Revenue_COGS'!AJ18/'41_Revenue_COGS'!AI18)-1</f>
        <v>4.9083501092984205E-2</v>
      </c>
      <c r="AK3" s="120">
        <f>('41_Revenue_COGS'!AK18/'41_Revenue_COGS'!AJ18)-1</f>
        <v>4.5253531985282036E-2</v>
      </c>
      <c r="AL3" s="56"/>
      <c r="AM3" s="164">
        <f>('41_Revenue_COGS'!AM18/'41_Revenue_COGS'!AL18)-1</f>
        <v>2.6657290318215079</v>
      </c>
      <c r="AN3" s="165">
        <f>('41_Revenue_COGS'!AN18/'41_Revenue_COGS'!AM18)-1</f>
        <v>1.2856294608572876</v>
      </c>
    </row>
    <row r="4" spans="1:40" ht="15" thickBot="1" x14ac:dyDescent="0.35">
      <c r="A4" s="96" t="s">
        <v>214</v>
      </c>
      <c r="B4" s="62">
        <f>('41_Revenue_COGS'!B10+'41_Revenue_COGS'!B8+'41_Revenue_COGS'!B17)*12</f>
        <v>255000</v>
      </c>
      <c r="C4" s="62">
        <f>('41_Revenue_COGS'!C10+'41_Revenue_COGS'!C8+'41_Revenue_COGS'!C17)*12</f>
        <v>516401.77499999997</v>
      </c>
      <c r="D4" s="62">
        <f>('41_Revenue_COGS'!D10+'41_Revenue_COGS'!D8+'41_Revenue_COGS'!D17)*12</f>
        <v>784899.93506137491</v>
      </c>
      <c r="E4" s="62">
        <f>('41_Revenue_COGS'!E10+'41_Revenue_COGS'!E8+'41_Revenue_COGS'!E17)*12</f>
        <v>1061219.931827408</v>
      </c>
      <c r="F4" s="62">
        <f>('41_Revenue_COGS'!F10+'41_Revenue_COGS'!F8+'41_Revenue_COGS'!F17)*12</f>
        <v>1346120.2871062907</v>
      </c>
      <c r="G4" s="62">
        <f>('41_Revenue_COGS'!G10+'41_Revenue_COGS'!G8+'41_Revenue_COGS'!G17)*12</f>
        <v>1640394.941975717</v>
      </c>
      <c r="H4" s="62">
        <f>('41_Revenue_COGS'!H10+'41_Revenue_COGS'!H8+'41_Revenue_COGS'!H17)*12</f>
        <v>1944875.7341007544</v>
      </c>
      <c r="I4" s="62">
        <f>('41_Revenue_COGS'!I10+'41_Revenue_COGS'!I8+'41_Revenue_COGS'!I17)*12</f>
        <v>2260435.011402105</v>
      </c>
      <c r="J4" s="62">
        <f>('41_Revenue_COGS'!J10+'41_Revenue_COGS'!J8+'41_Revenue_COGS'!J17)*12</f>
        <v>2598236.8247117051</v>
      </c>
      <c r="K4" s="62">
        <f>('41_Revenue_COGS'!K10+'41_Revenue_COGS'!K8+'41_Revenue_COGS'!K17)*12</f>
        <v>2959737.3529971736</v>
      </c>
      <c r="L4" s="62">
        <f>('41_Revenue_COGS'!L10+'41_Revenue_COGS'!L8+'41_Revenue_COGS'!L17)*12</f>
        <v>3336207.709966124</v>
      </c>
      <c r="M4" s="62">
        <f>('41_Revenue_COGS'!M10+'41_Revenue_COGS'!M8+'41_Revenue_COGS'!M17)*12</f>
        <v>3728742.717700311</v>
      </c>
      <c r="N4" s="62">
        <f>('41_Revenue_COGS'!N10+'41_Revenue_COGS'!N8+'41_Revenue_COGS'!N17)*12</f>
        <v>4138499.1818804531</v>
      </c>
      <c r="O4" s="62">
        <f>('41_Revenue_COGS'!O10+'41_Revenue_COGS'!O8+'41_Revenue_COGS'!O17)*12</f>
        <v>4566699.4771334492</v>
      </c>
      <c r="P4" s="62">
        <f>('41_Revenue_COGS'!P10+'41_Revenue_COGS'!P8+'41_Revenue_COGS'!P17)*12</f>
        <v>5014635.3740798067</v>
      </c>
      <c r="Q4" s="62">
        <f>('41_Revenue_COGS'!Q10+'41_Revenue_COGS'!Q8+'41_Revenue_COGS'!Q17)*12</f>
        <v>5483672.1198295457</v>
      </c>
      <c r="R4" s="62">
        <f>('41_Revenue_COGS'!R10+'41_Revenue_COGS'!R8+'41_Revenue_COGS'!R17)*12</f>
        <v>5975252.784628042</v>
      </c>
      <c r="S4" s="62">
        <f>('41_Revenue_COGS'!S10+'41_Revenue_COGS'!S8+'41_Revenue_COGS'!S17)*12</f>
        <v>6490902.8883422557</v>
      </c>
      <c r="T4" s="62">
        <f>('41_Revenue_COGS'!T10+'41_Revenue_COGS'!T8+'41_Revenue_COGS'!T17)*12</f>
        <v>7032235.3215066679</v>
      </c>
      <c r="U4" s="62">
        <f>('41_Revenue_COGS'!U10+'41_Revenue_COGS'!U8+'41_Revenue_COGS'!U17)*12</f>
        <v>7600955.5767208328</v>
      </c>
      <c r="V4" s="62">
        <f>('41_Revenue_COGS'!V10+'41_Revenue_COGS'!V8+'41_Revenue_COGS'!V17)*12</f>
        <v>8198867.3073111363</v>
      </c>
      <c r="W4" s="62">
        <f>('41_Revenue_COGS'!W10+'41_Revenue_COGS'!W8+'41_Revenue_COGS'!W17)*12</f>
        <v>8827878.2313422114</v>
      </c>
      <c r="X4" s="62">
        <f>('41_Revenue_COGS'!X10+'41_Revenue_COGS'!X8+'41_Revenue_COGS'!X17)*12</f>
        <v>9490006.4002929479</v>
      </c>
      <c r="Y4" s="62">
        <f>('41_Revenue_COGS'!Y10+'41_Revenue_COGS'!Y8+'41_Revenue_COGS'!Y17)*12</f>
        <v>10187386.85300282</v>
      </c>
      <c r="Z4" s="62">
        <f>('41_Revenue_COGS'!Z10+'41_Revenue_COGS'!Z8+'41_Revenue_COGS'!Z17)*12</f>
        <v>10922278.676850874</v>
      </c>
      <c r="AA4" s="62">
        <f>('41_Revenue_COGS'!AA10+'41_Revenue_COGS'!AA8+'41_Revenue_COGS'!AA17)*12</f>
        <v>11697072.499557329</v>
      </c>
      <c r="AB4" s="62">
        <f>('41_Revenue_COGS'!AB10+'41_Revenue_COGS'!AB8+'41_Revenue_COGS'!AB17)*12</f>
        <v>12514298.436501227</v>
      </c>
      <c r="AC4" s="62">
        <f>('41_Revenue_COGS'!AC10+'41_Revenue_COGS'!AC8+'41_Revenue_COGS'!AC17)*12</f>
        <v>13376634.520032715</v>
      </c>
      <c r="AD4" s="62">
        <f>('41_Revenue_COGS'!AD10+'41_Revenue_COGS'!AD8+'41_Revenue_COGS'!AD17)*12</f>
        <v>14286915.638930365</v>
      </c>
      <c r="AE4" s="62">
        <f>('41_Revenue_COGS'!AE10+'41_Revenue_COGS'!AE8+'41_Revenue_COGS'!AE17)*12</f>
        <v>15248143.01791908</v>
      </c>
      <c r="AF4" s="62">
        <f>('41_Revenue_COGS'!AF10+'41_Revenue_COGS'!AF8+'41_Revenue_COGS'!AF17)*12</f>
        <v>16263494.269028205</v>
      </c>
      <c r="AG4" s="62">
        <f>('41_Revenue_COGS'!AG10+'41_Revenue_COGS'!AG8+'41_Revenue_COGS'!AG17)*12</f>
        <v>17313779.420471199</v>
      </c>
      <c r="AH4" s="62">
        <f>('41_Revenue_COGS'!AH10+'41_Revenue_COGS'!AH8+'41_Revenue_COGS'!AH17)*12</f>
        <v>18332215.822891191</v>
      </c>
      <c r="AI4" s="62">
        <f>('41_Revenue_COGS'!AI10+'41_Revenue_COGS'!AI8+'41_Revenue_COGS'!AI17)*12</f>
        <v>19319514.759107292</v>
      </c>
      <c r="AJ4" s="62">
        <f>('41_Revenue_COGS'!AJ10+'41_Revenue_COGS'!AJ8+'41_Revenue_COGS'!AJ17)*12</f>
        <v>20276396.031664483</v>
      </c>
      <c r="AK4" s="62">
        <f>('41_Revenue_COGS'!AK10+'41_Revenue_COGS'!AK8+'41_Revenue_COGS'!AK17)*12</f>
        <v>21203584.88720943</v>
      </c>
      <c r="AL4" s="77">
        <f>M4</f>
        <v>3728742.717700311</v>
      </c>
      <c r="AM4" s="62">
        <f>Y4</f>
        <v>10187386.85300282</v>
      </c>
      <c r="AN4" s="74">
        <f>AK4</f>
        <v>21203584.88720943</v>
      </c>
    </row>
    <row r="5" spans="1:40" x14ac:dyDescent="0.3">
      <c r="A5" s="95" t="s">
        <v>226</v>
      </c>
      <c r="B5" s="57">
        <f>'10_Income_Statement'!B6/'40_Customers_Orders'!B8</f>
        <v>18.8</v>
      </c>
      <c r="C5" s="57">
        <f>'10_Income_Statement'!C6/'40_Customers_Orders'!C8</f>
        <v>18.799999999999994</v>
      </c>
      <c r="D5" s="57">
        <f>'10_Income_Statement'!D6/'40_Customers_Orders'!D8</f>
        <v>18.799999999999997</v>
      </c>
      <c r="E5" s="57">
        <f>'10_Income_Statement'!E6/'40_Customers_Orders'!E8</f>
        <v>18.799999999999997</v>
      </c>
      <c r="F5" s="57">
        <f>'10_Income_Statement'!F6/'40_Customers_Orders'!F8</f>
        <v>18.799999999999997</v>
      </c>
      <c r="G5" s="57">
        <f>'10_Income_Statement'!G6/'40_Customers_Orders'!G8</f>
        <v>18.799999999999997</v>
      </c>
      <c r="H5" s="57">
        <f>'10_Income_Statement'!H6/'40_Customers_Orders'!H8</f>
        <v>18.8</v>
      </c>
      <c r="I5" s="57">
        <f>'10_Income_Statement'!I6/'40_Customers_Orders'!I8</f>
        <v>18.8</v>
      </c>
      <c r="J5" s="57">
        <f>'10_Income_Statement'!J6/'40_Customers_Orders'!J8</f>
        <v>19.119500000000002</v>
      </c>
      <c r="K5" s="57">
        <f>'10_Income_Statement'!K6/'40_Customers_Orders'!K8</f>
        <v>19.203343467267612</v>
      </c>
      <c r="L5" s="57">
        <f>'10_Income_Statement'!L6/'40_Customers_Orders'!L8</f>
        <v>19.272688951880394</v>
      </c>
      <c r="M5" s="57">
        <f>'10_Income_Statement'!M6/'40_Customers_Orders'!M8</f>
        <v>19.330994034101135</v>
      </c>
      <c r="N5" s="57">
        <f>'10_Income_Statement'!N6/'40_Customers_Orders'!N8</f>
        <v>19.380668380209592</v>
      </c>
      <c r="O5" s="57">
        <f>'10_Income_Statement'!O6/'40_Customers_Orders'!O8</f>
        <v>19.423446963356774</v>
      </c>
      <c r="P5" s="57">
        <f>'10_Income_Statement'!P6/'40_Customers_Orders'!P8</f>
        <v>19.460614038187448</v>
      </c>
      <c r="Q5" s="57">
        <f>'10_Income_Statement'!Q6/'40_Customers_Orders'!Q8</f>
        <v>19.493143163735258</v>
      </c>
      <c r="R5" s="57">
        <f>'10_Income_Statement'!R6/'40_Customers_Orders'!R8</f>
        <v>19.521787842359561</v>
      </c>
      <c r="S5" s="57">
        <f>'10_Income_Statement'!S6/'40_Customers_Orders'!S8</f>
        <v>19.547141979095866</v>
      </c>
      <c r="T5" s="57">
        <f>'10_Income_Statement'!T6/'40_Customers_Orders'!T8</f>
        <v>19.569681279768524</v>
      </c>
      <c r="U5" s="57">
        <f>'10_Income_Statement'!U6/'40_Customers_Orders'!U8</f>
        <v>19.58979225888071</v>
      </c>
      <c r="V5" s="57">
        <f>'10_Income_Statement'!V6/'40_Customers_Orders'!V8</f>
        <v>19.607792986946095</v>
      </c>
      <c r="W5" s="57">
        <f>'10_Income_Statement'!W6/'40_Customers_Orders'!W8</f>
        <v>19.623948205206574</v>
      </c>
      <c r="X5" s="57">
        <f>'10_Income_Statement'!X6/'40_Customers_Orders'!X8</f>
        <v>19.638480521579403</v>
      </c>
      <c r="Y5" s="57">
        <f>'10_Income_Statement'!Y6/'40_Customers_Orders'!Y8</f>
        <v>19.651578830357035</v>
      </c>
      <c r="Z5" s="57">
        <f>'10_Income_Statement'!Z6/'40_Customers_Orders'!Z8</f>
        <v>19.663404732533277</v>
      </c>
      <c r="AA5" s="57">
        <f>'10_Income_Statement'!AA6/'40_Customers_Orders'!AA8</f>
        <v>19.674097494548285</v>
      </c>
      <c r="AB5" s="57">
        <f>'10_Income_Statement'!AB6/'40_Customers_Orders'!AB8</f>
        <v>19.683777923857114</v>
      </c>
      <c r="AC5" s="57">
        <f>'10_Income_Statement'!AC6/'40_Customers_Orders'!AC8</f>
        <v>19.692551431570635</v>
      </c>
      <c r="AD5" s="57">
        <f>'10_Income_Statement'!AD6/'40_Customers_Orders'!AD8</f>
        <v>19.700510477830328</v>
      </c>
      <c r="AE5" s="57">
        <f>'10_Income_Statement'!AE6/'40_Customers_Orders'!AE8</f>
        <v>19.707736543369421</v>
      </c>
      <c r="AF5" s="57">
        <f>'10_Income_Statement'!AF6/'40_Customers_Orders'!AF8</f>
        <v>19.714301733665351</v>
      </c>
      <c r="AG5" s="57">
        <f>'10_Income_Statement'!AG6/'40_Customers_Orders'!AG8</f>
        <v>19.721090234401686</v>
      </c>
      <c r="AH5" s="57">
        <f>'10_Income_Statement'!AH6/'40_Customers_Orders'!AH8</f>
        <v>19.730356137814439</v>
      </c>
      <c r="AI5" s="57">
        <f>'10_Income_Statement'!AI6/'40_Customers_Orders'!AI8</f>
        <v>19.741383027652962</v>
      </c>
      <c r="AJ5" s="57">
        <f>'10_Income_Statement'!AJ6/'40_Customers_Orders'!AJ8</f>
        <v>19.753644733500579</v>
      </c>
      <c r="AK5" s="57">
        <f>'10_Income_Statement'!AK6/'40_Customers_Orders'!AK8</f>
        <v>19.766749366958326</v>
      </c>
      <c r="AL5" s="76">
        <f>AVERAGEIF('23_Time'!$B$3:$AK$3, 1,B5:AK5)</f>
        <v>18.943877204437428</v>
      </c>
      <c r="AM5" s="60">
        <f>AVERAGEIF('23_Time'!$B$3:$AK$3, 2,B5:AK5)</f>
        <v>19.542339704140236</v>
      </c>
      <c r="AN5" s="73">
        <f>AVERAGEIF('23_Time'!$B$3:$AK$3, 3,B5:AK5)</f>
        <v>19.712466986475203</v>
      </c>
    </row>
    <row r="6" spans="1:40" x14ac:dyDescent="0.3">
      <c r="A6" s="97" t="s">
        <v>215</v>
      </c>
      <c r="B6" s="90">
        <f>B5/'32_Inputs_GrowthRetention'!$D$9</f>
        <v>537.14285714285711</v>
      </c>
      <c r="C6" s="90">
        <f>C5/'32_Inputs_GrowthRetention'!$D$9</f>
        <v>537.14285714285688</v>
      </c>
      <c r="D6" s="90">
        <f>D5/'32_Inputs_GrowthRetention'!$D$9</f>
        <v>537.142857142857</v>
      </c>
      <c r="E6" s="90">
        <f>E5/'32_Inputs_GrowthRetention'!$D$9</f>
        <v>537.142857142857</v>
      </c>
      <c r="F6" s="90">
        <f>F5/'32_Inputs_GrowthRetention'!$D$9</f>
        <v>537.142857142857</v>
      </c>
      <c r="G6" s="90">
        <f>G5/'32_Inputs_GrowthRetention'!$D$9</f>
        <v>537.142857142857</v>
      </c>
      <c r="H6" s="90">
        <f>H5/'32_Inputs_GrowthRetention'!$D$9</f>
        <v>537.14285714285711</v>
      </c>
      <c r="I6" s="90">
        <f>I5/'32_Inputs_GrowthRetention'!$D$9</f>
        <v>537.14285714285711</v>
      </c>
      <c r="J6" s="90">
        <f>J5/'32_Inputs_GrowthRetention'!$D$9</f>
        <v>546.2714285714286</v>
      </c>
      <c r="K6" s="90">
        <f>K5/'32_Inputs_GrowthRetention'!$D$9</f>
        <v>548.66695620764597</v>
      </c>
      <c r="L6" s="90">
        <f>L5/'32_Inputs_GrowthRetention'!$D$9</f>
        <v>550.64825576801115</v>
      </c>
      <c r="M6" s="90">
        <f>M5/'32_Inputs_GrowthRetention'!$D$9</f>
        <v>552.31411526003239</v>
      </c>
      <c r="N6" s="90">
        <f>N5/'32_Inputs_GrowthRetention'!$D$9</f>
        <v>553.73338229170258</v>
      </c>
      <c r="O6" s="90">
        <f>O5/'32_Inputs_GrowthRetention'!$D$9</f>
        <v>554.95562752447915</v>
      </c>
      <c r="P6" s="90">
        <f>P5/'32_Inputs_GrowthRetention'!$D$9</f>
        <v>556.01754394821273</v>
      </c>
      <c r="Q6" s="90">
        <f>Q5/'32_Inputs_GrowthRetention'!$D$9</f>
        <v>556.94694753529302</v>
      </c>
      <c r="R6" s="90">
        <f>R5/'32_Inputs_GrowthRetention'!$D$9</f>
        <v>557.76536692455886</v>
      </c>
      <c r="S6" s="90">
        <f>S5/'32_Inputs_GrowthRetention'!$D$9</f>
        <v>558.48977083131035</v>
      </c>
      <c r="T6" s="90">
        <f>T5/'32_Inputs_GrowthRetention'!$D$9</f>
        <v>559.13375085052917</v>
      </c>
      <c r="U6" s="90">
        <f>U5/'32_Inputs_GrowthRetention'!$D$9</f>
        <v>559.70835025373447</v>
      </c>
      <c r="V6" s="90">
        <f>V5/'32_Inputs_GrowthRetention'!$D$9</f>
        <v>560.22265676988832</v>
      </c>
      <c r="W6" s="90">
        <f>W5/'32_Inputs_GrowthRetention'!$D$9</f>
        <v>560.68423443447352</v>
      </c>
      <c r="X6" s="90">
        <f>X5/'32_Inputs_GrowthRetention'!$D$9</f>
        <v>561.09944347369719</v>
      </c>
      <c r="Y6" s="90">
        <f>Y5/'32_Inputs_GrowthRetention'!$D$9</f>
        <v>561.47368086734377</v>
      </c>
      <c r="Z6" s="90">
        <f>Z5/'32_Inputs_GrowthRetention'!$D$9</f>
        <v>561.81156378666503</v>
      </c>
      <c r="AA6" s="90">
        <f>AA5/'32_Inputs_GrowthRetention'!$D$9</f>
        <v>562.11707127280806</v>
      </c>
      <c r="AB6" s="90">
        <f>AB5/'32_Inputs_GrowthRetention'!$D$9</f>
        <v>562.39365496734604</v>
      </c>
      <c r="AC6" s="90">
        <f>AC5/'32_Inputs_GrowthRetention'!$D$9</f>
        <v>562.64432661630383</v>
      </c>
      <c r="AD6" s="90">
        <f>AD5/'32_Inputs_GrowthRetention'!$D$9</f>
        <v>562.87172793800926</v>
      </c>
      <c r="AE6" s="90">
        <f>AE5/'32_Inputs_GrowthRetention'!$D$9</f>
        <v>563.078186953412</v>
      </c>
      <c r="AF6" s="90">
        <f>AF5/'32_Inputs_GrowthRetention'!$D$9</f>
        <v>563.26576381900998</v>
      </c>
      <c r="AG6" s="90">
        <f>AG5/'32_Inputs_GrowthRetention'!$D$9</f>
        <v>563.45972098290531</v>
      </c>
      <c r="AH6" s="90">
        <f>AH5/'32_Inputs_GrowthRetention'!$D$9</f>
        <v>563.72446108041254</v>
      </c>
      <c r="AI6" s="90">
        <f>AI5/'32_Inputs_GrowthRetention'!$D$9</f>
        <v>564.03951507579882</v>
      </c>
      <c r="AJ6" s="90">
        <f>AJ5/'32_Inputs_GrowthRetention'!$D$9</f>
        <v>564.38984952858789</v>
      </c>
      <c r="AK6" s="90">
        <f>AK5/'32_Inputs_GrowthRetention'!$D$9</f>
        <v>564.76426762738072</v>
      </c>
      <c r="AL6" s="89">
        <f>M6</f>
        <v>552.31411526003239</v>
      </c>
      <c r="AM6" s="90">
        <f>Y6</f>
        <v>561.47368086734377</v>
      </c>
      <c r="AN6" s="91">
        <f>AK6</f>
        <v>564.76426762738072</v>
      </c>
    </row>
    <row r="7" spans="1:40" x14ac:dyDescent="0.3">
      <c r="A7" s="97" t="s">
        <v>216</v>
      </c>
      <c r="B7" s="90">
        <f>'42_OPEX'!B9/B5</f>
        <v>5.8510638297872335</v>
      </c>
      <c r="C7" s="90">
        <f>'42_OPEX'!C9/C5</f>
        <v>5.8218085106383004</v>
      </c>
      <c r="D7" s="90">
        <f>'42_OPEX'!D9/D5</f>
        <v>5.7926994680851074</v>
      </c>
      <c r="E7" s="90">
        <f>'42_OPEX'!E9/E5</f>
        <v>5.7637359707446816</v>
      </c>
      <c r="F7" s="90">
        <f>'42_OPEX'!F9/F5</f>
        <v>5.7349172908909578</v>
      </c>
      <c r="G7" s="90">
        <f>'42_OPEX'!G9/G5</f>
        <v>5.7062427044365025</v>
      </c>
      <c r="H7" s="90">
        <f>'42_OPEX'!H9/H5</f>
        <v>5.6777114909143194</v>
      </c>
      <c r="I7" s="90">
        <f>'42_OPEX'!I9/I5</f>
        <v>5.6493229334597483</v>
      </c>
      <c r="J7" s="90">
        <f>'42_OPEX'!J9/J5</f>
        <v>5.5271442659744263</v>
      </c>
      <c r="K7" s="90">
        <f>'42_OPEX'!K9/K5</f>
        <v>5.4754972121681655</v>
      </c>
      <c r="L7" s="90">
        <f>'42_OPEX'!L9/L5</f>
        <v>5.4285167270873815</v>
      </c>
      <c r="M7" s="90">
        <f>'42_OPEX'!M9/M5</f>
        <v>5.3850828154952239</v>
      </c>
      <c r="N7" s="90">
        <f>'42_OPEX'!N9/N5</f>
        <v>5.3444239759217833</v>
      </c>
      <c r="O7" s="90">
        <f>'42_OPEX'!O9/O5</f>
        <v>5.305990044465692</v>
      </c>
      <c r="P7" s="90">
        <f>'42_OPEX'!P9/P5</f>
        <v>5.2693770573975973</v>
      </c>
      <c r="Q7" s="90">
        <f>'42_OPEX'!Q9/Q5</f>
        <v>5.2342808808707622</v>
      </c>
      <c r="R7" s="90">
        <f>'42_OPEX'!R9/R5</f>
        <v>5.2004675215697436</v>
      </c>
      <c r="S7" s="90">
        <f>'42_OPEX'!S9/S5</f>
        <v>5.1677535072394507</v>
      </c>
      <c r="T7" s="90">
        <f>'42_OPEX'!T9/T5</f>
        <v>5.1359925603537535</v>
      </c>
      <c r="U7" s="90">
        <f>'42_OPEX'!U9/U5</f>
        <v>5.1050663249755353</v>
      </c>
      <c r="V7" s="90">
        <f>'42_OPEX'!V9/V5</f>
        <v>5.0748777741816697</v>
      </c>
      <c r="W7" s="90">
        <f>'42_OPEX'!W9/W5</f>
        <v>5.0453464323651209</v>
      </c>
      <c r="X7" s="90">
        <f>'42_OPEX'!X9/X5</f>
        <v>5.0164048523242721</v>
      </c>
      <c r="Y7" s="90">
        <f>'42_OPEX'!Y9/Y5</f>
        <v>4.9879959764048181</v>
      </c>
      <c r="Z7" s="90">
        <f>'42_OPEX'!Z9/Z5</f>
        <v>4.9600711312103796</v>
      </c>
      <c r="AA7" s="90">
        <f>'42_OPEX'!AA9/AA5</f>
        <v>4.932588483474742</v>
      </c>
      <c r="AB7" s="90">
        <f>'42_OPEX'!AB9/AB5</f>
        <v>4.9055118364099686</v>
      </c>
      <c r="AC7" s="90">
        <f>'42_OPEX'!AC9/AC5</f>
        <v>4.878809680738752</v>
      </c>
      <c r="AD7" s="90">
        <f>'42_OPEX'!AD9/AD5</f>
        <v>4.8524544385566015</v>
      </c>
      <c r="AE7" s="90">
        <f>'42_OPEX'!AE9/AE5</f>
        <v>4.826421854844142</v>
      </c>
      <c r="AF7" s="90">
        <f>'42_OPEX'!AF9/AF5</f>
        <v>4.8006905032299292</v>
      </c>
      <c r="AG7" s="90">
        <f>'42_OPEX'!AG9/AG5</f>
        <v>4.7750427935669597</v>
      </c>
      <c r="AH7" s="90">
        <f>'42_OPEX'!AH9/AH5</f>
        <v>4.7489363041176853</v>
      </c>
      <c r="AI7" s="90">
        <f>'42_OPEX'!AI9/AI5</f>
        <v>4.7225522853523207</v>
      </c>
      <c r="AJ7" s="90">
        <f>'42_OPEX'!AJ9/AJ5</f>
        <v>4.6960227450214402</v>
      </c>
      <c r="AK7" s="90">
        <f>'42_OPEX'!AK9/AK5</f>
        <v>4.6694449060526884</v>
      </c>
      <c r="AL7" s="89">
        <f t="shared" ref="AL7:AL8" si="0">M7</f>
        <v>5.3850828154952239</v>
      </c>
      <c r="AM7" s="90">
        <f t="shared" ref="AM7:AM8" si="1">Y7</f>
        <v>4.9879959764048181</v>
      </c>
      <c r="AN7" s="91">
        <f t="shared" ref="AN7:AN8" si="2">AK7</f>
        <v>4.6694449060526884</v>
      </c>
    </row>
    <row r="8" spans="1:40" ht="15" thickBot="1" x14ac:dyDescent="0.35">
      <c r="A8" s="96" t="s">
        <v>217</v>
      </c>
      <c r="B8" s="85">
        <f>B6/'42_OPEX'!B9</f>
        <v>4.883116883116883</v>
      </c>
      <c r="C8" s="85">
        <f>C6/'42_OPEX'!C9</f>
        <v>4.9076551589114379</v>
      </c>
      <c r="D8" s="85">
        <f>D6/'42_OPEX'!D9</f>
        <v>4.932316742624562</v>
      </c>
      <c r="E8" s="85">
        <f>E6/'42_OPEX'!E9</f>
        <v>4.9571022538940328</v>
      </c>
      <c r="F8" s="85">
        <f>F6/'42_OPEX'!F9</f>
        <v>4.9820123154713896</v>
      </c>
      <c r="G8" s="85">
        <f>G6/'42_OPEX'!G9</f>
        <v>5.0070475532375776</v>
      </c>
      <c r="H8" s="85">
        <f>H6/'42_OPEX'!H9</f>
        <v>5.0322085962186716</v>
      </c>
      <c r="I8" s="85">
        <f>I6/'42_OPEX'!I9</f>
        <v>5.0574960766016801</v>
      </c>
      <c r="J8" s="85">
        <f>J6/'42_OPEX'!J9</f>
        <v>5.1692930736975207</v>
      </c>
      <c r="K8" s="85">
        <f>K6/'42_OPEX'!K9</f>
        <v>5.218051889047528</v>
      </c>
      <c r="L8" s="85">
        <f>L6/'42_OPEX'!L9</f>
        <v>5.2632109299510788</v>
      </c>
      <c r="M8" s="85">
        <f>M6/'42_OPEX'!M9</f>
        <v>5.305661871943018</v>
      </c>
      <c r="N8" s="85">
        <f>N6/'42_OPEX'!N9</f>
        <v>5.3460258205844706</v>
      </c>
      <c r="O8" s="85">
        <f>O6/'42_OPEX'!O9</f>
        <v>5.3847497511288074</v>
      </c>
      <c r="P8" s="85">
        <f>P6/'42_OPEX'!P9</f>
        <v>5.4221643773465749</v>
      </c>
      <c r="Q8" s="85">
        <f>Q6/'42_OPEX'!Q9</f>
        <v>5.4585203243192204</v>
      </c>
      <c r="R8" s="85">
        <f>R6/'42_OPEX'!R9</f>
        <v>5.4940115389480173</v>
      </c>
      <c r="S8" s="85">
        <f>S6/'42_OPEX'!S9</f>
        <v>5.5287909013855163</v>
      </c>
      <c r="T8" s="85">
        <f>T6/'42_OPEX'!T9</f>
        <v>5.5629809108330646</v>
      </c>
      <c r="U8" s="85">
        <f>U6/'42_OPEX'!U9</f>
        <v>5.5966811697721655</v>
      </c>
      <c r="V8" s="85">
        <f>V6/'42_OPEX'!V9</f>
        <v>5.6299737339064775</v>
      </c>
      <c r="W8" s="85">
        <f>W6/'42_OPEX'!W9</f>
        <v>5.6629270069835549</v>
      </c>
      <c r="X8" s="85">
        <f>X6/'42_OPEX'!X9</f>
        <v>5.6955986234225984</v>
      </c>
      <c r="Y8" s="85">
        <f>Y6/'42_OPEX'!Y9</f>
        <v>5.7280376140202716</v>
      </c>
      <c r="Z8" s="85">
        <f>Z6/'42_OPEX'!Z9</f>
        <v>5.760286055505909</v>
      </c>
      <c r="AA8" s="85">
        <f>AA6/'42_OPEX'!AA9</f>
        <v>5.7923803429272782</v>
      </c>
      <c r="AB8" s="85">
        <f>AB6/'42_OPEX'!AB9</f>
        <v>5.8243521826538238</v>
      </c>
      <c r="AC8" s="85">
        <f>AC6/'42_OPEX'!AC9</f>
        <v>5.8562293758305142</v>
      </c>
      <c r="AD8" s="85">
        <f>AD6/'42_OPEX'!AD9</f>
        <v>5.8880364428372349</v>
      </c>
      <c r="AE8" s="85">
        <f>AE6/'42_OPEX'!AE9</f>
        <v>5.9197951258140105</v>
      </c>
      <c r="AF8" s="85">
        <f>AF6/'42_OPEX'!AF9</f>
        <v>5.9515247967361287</v>
      </c>
      <c r="AG8" s="85">
        <f>AG6/'42_OPEX'!AG9</f>
        <v>5.9834916264877496</v>
      </c>
      <c r="AH8" s="85">
        <f>AH6/'42_OPEX'!AH9</f>
        <v>6.0163848790001646</v>
      </c>
      <c r="AI8" s="85">
        <f>AI6/'42_OPEX'!AI9</f>
        <v>6.049997299139914</v>
      </c>
      <c r="AJ8" s="85">
        <f>AJ6/'42_OPEX'!AJ9</f>
        <v>6.0841759341389476</v>
      </c>
      <c r="AK8" s="85">
        <f>AK6/'42_OPEX'!AK9</f>
        <v>6.1188062277795252</v>
      </c>
      <c r="AL8" s="89">
        <f t="shared" si="0"/>
        <v>5.305661871943018</v>
      </c>
      <c r="AM8" s="90">
        <f t="shared" si="1"/>
        <v>5.7280376140202716</v>
      </c>
      <c r="AN8" s="91">
        <f t="shared" si="2"/>
        <v>6.1188062277795252</v>
      </c>
    </row>
    <row r="9" spans="1:40" x14ac:dyDescent="0.3">
      <c r="A9" s="95" t="s">
        <v>218</v>
      </c>
      <c r="B9" s="121">
        <f>'10_Income_Statement'!B6/'10_Income_Statement'!B3</f>
        <v>0.80686695278969955</v>
      </c>
      <c r="C9" s="121">
        <f>'10_Income_Statement'!C6/'10_Income_Statement'!C3</f>
        <v>0.80686695278969944</v>
      </c>
      <c r="D9" s="121">
        <f>'10_Income_Statement'!D6/'10_Income_Statement'!D3</f>
        <v>0.80686695278969944</v>
      </c>
      <c r="E9" s="121">
        <f>'10_Income_Statement'!E6/'10_Income_Statement'!E3</f>
        <v>0.80686695278969955</v>
      </c>
      <c r="F9" s="121">
        <f>'10_Income_Statement'!F6/'10_Income_Statement'!F3</f>
        <v>0.80686695278969955</v>
      </c>
      <c r="G9" s="121">
        <f>'10_Income_Statement'!G6/'10_Income_Statement'!G3</f>
        <v>0.80686695278969944</v>
      </c>
      <c r="H9" s="121">
        <f>'10_Income_Statement'!H6/'10_Income_Statement'!H3</f>
        <v>0.80686695278969955</v>
      </c>
      <c r="I9" s="121">
        <f>'10_Income_Statement'!I6/'10_Income_Statement'!I3</f>
        <v>0.80686695278969967</v>
      </c>
      <c r="J9" s="121">
        <f>'10_Income_Statement'!J6/'10_Income_Statement'!J3</f>
        <v>0.80947945553462186</v>
      </c>
      <c r="K9" s="121">
        <f>'10_Income_Statement'!K6/'10_Income_Statement'!K3</f>
        <v>0.81015336481057476</v>
      </c>
      <c r="L9" s="121">
        <f>'10_Income_Statement'!L6/'10_Income_Statement'!L3</f>
        <v>0.81070715184518261</v>
      </c>
      <c r="M9" s="121">
        <f>'10_Income_Statement'!M6/'10_Income_Statement'!M3</f>
        <v>0.81117027709542067</v>
      </c>
      <c r="N9" s="121">
        <f>'10_Income_Statement'!N6/'10_Income_Statement'!N3</f>
        <v>0.81156306312895155</v>
      </c>
      <c r="O9" s="121">
        <f>'10_Income_Statement'!O6/'10_Income_Statement'!O3</f>
        <v>0.81190001562514835</v>
      </c>
      <c r="P9" s="121">
        <f>'10_Income_Statement'!P6/'10_Income_Statement'!P3</f>
        <v>0.81219179137779673</v>
      </c>
      <c r="Q9" s="121">
        <f>'10_Income_Statement'!Q6/'10_Income_Statement'!Q3</f>
        <v>0.81244641565755416</v>
      </c>
      <c r="R9" s="121">
        <f>'10_Income_Statement'!R6/'10_Income_Statement'!R3</f>
        <v>0.81267006313057244</v>
      </c>
      <c r="S9" s="121">
        <f>'10_Income_Statement'!S6/'10_Income_Statement'!S3</f>
        <v>0.81286757470339543</v>
      </c>
      <c r="T9" s="121">
        <f>'10_Income_Statement'!T6/'10_Income_Statement'!T3</f>
        <v>0.81304280901374382</v>
      </c>
      <c r="U9" s="121">
        <f>'10_Income_Statement'!U6/'10_Income_Statement'!U3</f>
        <v>0.81319888724482159</v>
      </c>
      <c r="V9" s="121">
        <f>'10_Income_Statement'!V6/'10_Income_Statement'!V3</f>
        <v>0.81333836728908937</v>
      </c>
      <c r="W9" s="121">
        <f>'10_Income_Statement'!W6/'10_Income_Statement'!W3</f>
        <v>0.81346337002046853</v>
      </c>
      <c r="X9" s="121">
        <f>'10_Income_Statement'!X6/'10_Income_Statement'!X3</f>
        <v>0.81357567242158957</v>
      </c>
      <c r="Y9" s="121">
        <f>'10_Income_Statement'!Y6/'10_Income_Statement'!Y3</f>
        <v>0.81367677733996513</v>
      </c>
      <c r="Z9" s="121">
        <f>'10_Income_Statement'!Z6/'10_Income_Statement'!Z3</f>
        <v>0.81376796648440608</v>
      </c>
      <c r="AA9" s="121">
        <f>'10_Income_Statement'!AA6/'10_Income_Statement'!AA3</f>
        <v>0.8138503412168816</v>
      </c>
      <c r="AB9" s="121">
        <f>'10_Income_Statement'!AB6/'10_Income_Statement'!AB3</f>
        <v>0.81392485433134976</v>
      </c>
      <c r="AC9" s="121">
        <f>'10_Income_Statement'!AC6/'10_Income_Statement'!AC3</f>
        <v>0.8139923350900633</v>
      </c>
      <c r="AD9" s="121">
        <f>'10_Income_Statement'!AD6/'10_Income_Statement'!AD3</f>
        <v>0.81405350915542163</v>
      </c>
      <c r="AE9" s="121">
        <f>'10_Income_Statement'!AE6/'10_Income_Statement'!AE3</f>
        <v>0.81410901461448015</v>
      </c>
      <c r="AF9" s="121">
        <f>'10_Income_Statement'!AF6/'10_Income_Statement'!AF3</f>
        <v>0.81415941498145239</v>
      </c>
      <c r="AG9" s="121">
        <f>'10_Income_Statement'!AG6/'10_Income_Statement'!AG3</f>
        <v>0.81421150095016936</v>
      </c>
      <c r="AH9" s="121">
        <f>'10_Income_Statement'!AH6/'10_Income_Statement'!AH3</f>
        <v>0.8142825481224687</v>
      </c>
      <c r="AI9" s="121">
        <f>'10_Income_Statement'!AI6/'10_Income_Statement'!AI3</f>
        <v>0.81436702704351893</v>
      </c>
      <c r="AJ9" s="121">
        <f>'10_Income_Statement'!AJ6/'10_Income_Statement'!AJ3</f>
        <v>0.8144608759035572</v>
      </c>
      <c r="AK9" s="121">
        <f>'10_Income_Statement'!AK6/'10_Income_Statement'!AK3</f>
        <v>0.81456107153242319</v>
      </c>
      <c r="AL9" s="166">
        <f>'10_Income_Statement'!AL6/'10_Income_Statement'!AL3</f>
        <v>0.80889313894505033</v>
      </c>
      <c r="AM9" s="121">
        <f>'10_Income_Statement'!AM6/'10_Income_Statement'!AM3</f>
        <v>0.81300006339568021</v>
      </c>
      <c r="AN9" s="122">
        <f>'10_Income_Statement'!AN6/'10_Income_Statement'!AN3</f>
        <v>0.81419301856617066</v>
      </c>
    </row>
    <row r="10" spans="1:40" ht="15" thickBot="1" x14ac:dyDescent="0.35">
      <c r="A10" s="96" t="s">
        <v>219</v>
      </c>
      <c r="B10" s="168">
        <f>'10_Income_Statement'!B8/'10_Income_Statement'!B3</f>
        <v>-32.958343852562486</v>
      </c>
      <c r="C10" s="168">
        <f>'10_Income_Statement'!C8/'10_Income_Statement'!C3</f>
        <v>-16.652868444427483</v>
      </c>
      <c r="D10" s="168">
        <f>'10_Income_Statement'!D8/'10_Income_Statement'!D3</f>
        <v>-11.203518991882227</v>
      </c>
      <c r="E10" s="168">
        <f>'10_Income_Statement'!E8/'10_Income_Statement'!E3</f>
        <v>-8.4678705635726583</v>
      </c>
      <c r="F10" s="168">
        <f>'10_Income_Statement'!F8/'10_Income_Statement'!F3</f>
        <v>-6.8174720438845906</v>
      </c>
      <c r="G10" s="168">
        <f>'10_Income_Statement'!G8/'10_Income_Statement'!G3</f>
        <v>-5.709535209678509</v>
      </c>
      <c r="H10" s="168">
        <f>'10_Income_Statement'!H8/'10_Income_Statement'!H3</f>
        <v>-4.9114615585731238</v>
      </c>
      <c r="I10" s="168">
        <f>'10_Income_Statement'!I8/'10_Income_Statement'!I3</f>
        <v>-4.3069738559944604</v>
      </c>
      <c r="J10" s="168">
        <f>'10_Income_Statement'!J8/'10_Income_Statement'!J3</f>
        <v>-3.7661377684519737</v>
      </c>
      <c r="K10" s="168">
        <f>'10_Income_Statement'!K8/'10_Income_Statement'!K3</f>
        <v>-3.3706301517695567</v>
      </c>
      <c r="L10" s="168">
        <f>'10_Income_Statement'!L8/'10_Income_Statement'!L3</f>
        <v>-3.04467771109484</v>
      </c>
      <c r="M10" s="168">
        <f>'10_Income_Statement'!M8/'10_Income_Statement'!M3</f>
        <v>-2.7704877948681594</v>
      </c>
      <c r="N10" s="168">
        <f>'10_Income_Statement'!N8/'10_Income_Statement'!N3</f>
        <v>-2.4977971649562591</v>
      </c>
      <c r="O10" s="168">
        <f>'10_Income_Statement'!O8/'10_Income_Statement'!O3</f>
        <v>-2.263090714249631</v>
      </c>
      <c r="P10" s="168">
        <f>'10_Income_Statement'!P8/'10_Income_Statement'!P3</f>
        <v>-2.0586802130823747</v>
      </c>
      <c r="Q10" s="168">
        <f>'10_Income_Statement'!Q8/'10_Income_Statement'!Q3</f>
        <v>-1.8788370079506647</v>
      </c>
      <c r="R10" s="168">
        <f>'10_Income_Statement'!R8/'10_Income_Statement'!R3</f>
        <v>-1.7192057779096788</v>
      </c>
      <c r="S10" s="168">
        <f>'10_Income_Statement'!S8/'10_Income_Statement'!S3</f>
        <v>-1.5764167547825405</v>
      </c>
      <c r="T10" s="168">
        <f>'10_Income_Statement'!T8/'10_Income_Statement'!T3</f>
        <v>-1.447822208981687</v>
      </c>
      <c r="U10" s="168">
        <f>'10_Income_Statement'!U8/'10_Income_Statement'!U3</f>
        <v>-1.3313130993243527</v>
      </c>
      <c r="V10" s="168">
        <f>'10_Income_Statement'!V8/'10_Income_Statement'!V3</f>
        <v>-1.2251888105847837</v>
      </c>
      <c r="W10" s="168">
        <f>'10_Income_Statement'!W8/'10_Income_Statement'!W3</f>
        <v>-1.1280628740011192</v>
      </c>
      <c r="X10" s="168">
        <f>'10_Income_Statement'!X8/'10_Income_Statement'!X3</f>
        <v>-1.0387935878938526</v>
      </c>
      <c r="Y10" s="168">
        <f>'10_Income_Statement'!Y8/'10_Income_Statement'!Y3</f>
        <v>-0.95643219284174041</v>
      </c>
      <c r="Z10" s="168">
        <f>'10_Income_Statement'!Z8/'10_Income_Statement'!Z3</f>
        <v>-0.88018363261757582</v>
      </c>
      <c r="AA10" s="168">
        <f>'10_Income_Statement'!AA8/'10_Income_Statement'!AA3</f>
        <v>-0.80937647723908346</v>
      </c>
      <c r="AB10" s="168">
        <f>'10_Income_Statement'!AB8/'10_Income_Statement'!AB3</f>
        <v>-0.74343960924153951</v>
      </c>
      <c r="AC10" s="168">
        <f>'10_Income_Statement'!AC8/'10_Income_Statement'!AC3</f>
        <v>-0.68188396634948634</v>
      </c>
      <c r="AD10" s="168">
        <f>'10_Income_Statement'!AD8/'10_Income_Statement'!AD3</f>
        <v>-0.62428810894333786</v>
      </c>
      <c r="AE10" s="168">
        <f>'10_Income_Statement'!AE8/'10_Income_Statement'!AE3</f>
        <v>-0.570286712044213</v>
      </c>
      <c r="AF10" s="168">
        <f>'10_Income_Statement'!AF8/'10_Income_Statement'!AF3</f>
        <v>-0.51956131581460752</v>
      </c>
      <c r="AG10" s="168">
        <f>'10_Income_Statement'!AG8/'10_Income_Statement'!AG3</f>
        <v>-0.46722676571770211</v>
      </c>
      <c r="AH10" s="168">
        <f>'10_Income_Statement'!AH8/'10_Income_Statement'!AH3</f>
        <v>-0.40576807537029874</v>
      </c>
      <c r="AI10" s="168">
        <f>'10_Income_Statement'!AI8/'10_Income_Statement'!AI3</f>
        <v>-0.35263174531696367</v>
      </c>
      <c r="AJ10" s="168">
        <f>'10_Income_Statement'!AJ8/'10_Income_Statement'!AJ3</f>
        <v>-0.30630372825275071</v>
      </c>
      <c r="AK10" s="168">
        <f>'10_Income_Statement'!AK8/'10_Income_Statement'!AK3</f>
        <v>-0.26561695211398628</v>
      </c>
      <c r="AL10" s="169">
        <f>'10_Income_Statement'!AL8/'10_Income_Statement'!AL3</f>
        <v>-5.0265999164484372</v>
      </c>
      <c r="AM10" s="168">
        <f>'10_Income_Statement'!AM8/'10_Income_Statement'!AM3</f>
        <v>-1.4674928628148447</v>
      </c>
      <c r="AN10" s="170">
        <f>'10_Income_Statement'!AN8/'10_Income_Statement'!AN3</f>
        <v>-0.51265641004602935</v>
      </c>
    </row>
    <row r="11" spans="1:40" x14ac:dyDescent="0.3">
      <c r="A11" s="95" t="s">
        <v>220</v>
      </c>
      <c r="B11" s="123">
        <f>IF('10_Income_Statement'!B8&lt;0,-'10_Income_Statement'!B8,0)</f>
        <v>1305480</v>
      </c>
      <c r="C11" s="123">
        <f>IF('10_Income_Statement'!C8&lt;0,-'10_Income_Statement'!C8,0)</f>
        <v>1335800.001257143</v>
      </c>
      <c r="D11" s="123">
        <f>IF('10_Income_Statement'!D8&lt;0,-'10_Income_Statement'!D8,0)</f>
        <v>1365945.6198004179</v>
      </c>
      <c r="E11" s="123">
        <f>IF('10_Income_Statement'!E8&lt;0,-'10_Income_Statement'!E8,0)</f>
        <v>1395867.7427814058</v>
      </c>
      <c r="F11" s="123">
        <f>IF('10_Income_Statement'!F8&lt;0,-'10_Income_Statement'!F8,0)</f>
        <v>1425515.3466915716</v>
      </c>
      <c r="G11" s="123">
        <f>IF('10_Income_Statement'!G8&lt;0,-'10_Income_Statement'!G8,0)</f>
        <v>1454835.3294696077</v>
      </c>
      <c r="H11" s="123">
        <f>IF('10_Income_Statement'!H8&lt;0,-'10_Income_Statement'!H8,0)</f>
        <v>1483772.3334582311</v>
      </c>
      <c r="I11" s="123">
        <f>IF('10_Income_Statement'!I8&lt;0,-'10_Income_Statement'!I8,0)</f>
        <v>1512268.5585780228</v>
      </c>
      <c r="J11" s="123">
        <f>IF('10_Income_Statement'!J8&lt;0,-'10_Income_Statement'!J8,0)</f>
        <v>1534751.149775927</v>
      </c>
      <c r="K11" s="123">
        <f>IF('10_Income_Statement'!K8&lt;0,-'10_Income_Statement'!K8,0)</f>
        <v>1559819.4622480893</v>
      </c>
      <c r="L11" s="123">
        <f>IF('10_Income_Statement'!L8&lt;0,-'10_Income_Statement'!L8,0)</f>
        <v>1584148.1985326621</v>
      </c>
      <c r="M11" s="123">
        <f>IF('10_Income_Statement'!M8&lt;0,-'10_Income_Statement'!M8,0)</f>
        <v>1607663.1814232599</v>
      </c>
      <c r="N11" s="123">
        <f>IF('10_Income_Statement'!N8&lt;0,-'10_Income_Statement'!N8,0)</f>
        <v>1605807.5100180013</v>
      </c>
      <c r="O11" s="123">
        <f>IF('10_Income_Statement'!O8&lt;0,-'10_Income_Statement'!O8,0)</f>
        <v>1602977.0101923763</v>
      </c>
      <c r="P11" s="123">
        <f>IF('10_Income_Statement'!P8&lt;0,-'10_Income_Statement'!P8,0)</f>
        <v>1599084.2379257367</v>
      </c>
      <c r="Q11" s="123">
        <f>IF('10_Income_Statement'!Q8&lt;0,-'10_Income_Statement'!Q8,0)</f>
        <v>1594036.7488223261</v>
      </c>
      <c r="R11" s="123">
        <f>IF('10_Income_Statement'!R8&lt;0,-'10_Income_Statement'!R8,0)</f>
        <v>1587736.7756595798</v>
      </c>
      <c r="S11" s="123">
        <f>IF('10_Income_Statement'!S8&lt;0,-'10_Income_Statement'!S8,0)</f>
        <v>1580080.8842851673</v>
      </c>
      <c r="T11" s="123">
        <f>IF('10_Income_Statement'!T8&lt;0,-'10_Income_Statement'!T8,0)</f>
        <v>1570959.6066694004</v>
      </c>
      <c r="U11" s="123">
        <f>IF('10_Income_Statement'!U8&lt;0,-'10_Income_Statement'!U8,0)</f>
        <v>1560257.0498295804</v>
      </c>
      <c r="V11" s="123">
        <f>IF('10_Income_Statement'!V8&lt;0,-'10_Income_Statement'!V8,0)</f>
        <v>1547850.4792485381</v>
      </c>
      <c r="W11" s="123">
        <f>IF('10_Income_Statement'!W8&lt;0,-'10_Income_Statement'!W8,0)</f>
        <v>1533609.8753107025</v>
      </c>
      <c r="X11" s="123">
        <f>IF('10_Income_Statement'!X8&lt;0,-'10_Income_Statement'!X8,0)</f>
        <v>1517397.4611751605</v>
      </c>
      <c r="Y11" s="123">
        <f>IF('10_Income_Statement'!Y8&lt;0,-'10_Income_Statement'!Y8,0)</f>
        <v>1499067.2003958675</v>
      </c>
      <c r="Z11" s="123">
        <f>IF('10_Income_Statement'!Z8&lt;0,-'10_Income_Statement'!Z8,0)</f>
        <v>1478464.2624840506</v>
      </c>
      <c r="AA11" s="123">
        <f>IF('10_Income_Statement'!AA8&lt;0,-'10_Income_Statement'!AA8,0)</f>
        <v>1455424.4544865044</v>
      </c>
      <c r="AB11" s="123">
        <f>IF('10_Income_Statement'!AB8&lt;0,-'10_Income_Statement'!AB8,0)</f>
        <v>1429773.616525349</v>
      </c>
      <c r="AC11" s="123">
        <f>IF('10_Income_Statement'!AC8&lt;0,-'10_Income_Statement'!AC8,0)</f>
        <v>1401326.9791095674</v>
      </c>
      <c r="AD11" s="123">
        <f>IF('10_Income_Statement'!AD8&lt;0,-'10_Income_Statement'!AD8,0)</f>
        <v>1369888.479885594</v>
      </c>
      <c r="AE11" s="123">
        <f>IF('10_Income_Statement'!AE8&lt;0,-'10_Income_Statement'!AE8,0)</f>
        <v>1335250.0373429933</v>
      </c>
      <c r="AF11" s="123">
        <f>IF('10_Income_Statement'!AF8&lt;0,-'10_Income_Statement'!AF8,0)</f>
        <v>1297190.7788311902</v>
      </c>
      <c r="AG11" s="123">
        <f>IF('10_Income_Statement'!AG8&lt;0,-'10_Income_Statement'!AG8,0)</f>
        <v>1241567.3354540272</v>
      </c>
      <c r="AH11" s="123">
        <f>IF('10_Income_Statement'!AH8&lt;0,-'10_Income_Statement'!AH8,0)</f>
        <v>1141310.3241975545</v>
      </c>
      <c r="AI11" s="123">
        <f>IF('10_Income_Statement'!AI8&lt;0,-'10_Income_Statement'!AI8,0)</f>
        <v>1044870.3107360289</v>
      </c>
      <c r="AJ11" s="123">
        <f>IF('10_Income_Statement'!AJ8&lt;0,-'10_Income_Statement'!AJ8,0)</f>
        <v>952145.50709803402</v>
      </c>
      <c r="AK11" s="123">
        <f>IF('10_Income_Statement'!AK8&lt;0,-'10_Income_Statement'!AK8,0)</f>
        <v>863035.12617968582</v>
      </c>
      <c r="AL11" s="89">
        <f t="shared" ref="AL11:AL12" si="3">M11</f>
        <v>1607663.1814232599</v>
      </c>
      <c r="AM11" s="90">
        <f t="shared" ref="AM11:AM12" si="4">Y11</f>
        <v>1499067.2003958675</v>
      </c>
      <c r="AN11" s="91">
        <f t="shared" ref="AN11:AN12" si="5">AK11</f>
        <v>863035.12617968582</v>
      </c>
    </row>
    <row r="12" spans="1:40" ht="15" thickBot="1" x14ac:dyDescent="0.35">
      <c r="A12" s="96" t="s">
        <v>221</v>
      </c>
      <c r="B12" s="85">
        <f>B11/'10_Income_Statement'!B3</f>
        <v>32.958343852562486</v>
      </c>
      <c r="C12" s="85">
        <f>C11/('10_Income_Statement'!C3-'10_Income_Statement'!B3)</f>
        <v>32.897905240099618</v>
      </c>
      <c r="D12" s="85">
        <f>D11/('10_Income_Statement'!D3-'10_Income_Statement'!C3)</f>
        <v>32.75121634791514</v>
      </c>
      <c r="E12" s="85">
        <f>E11/('10_Income_Statement'!E3-'10_Income_Statement'!D3)</f>
        <v>32.521254803744036</v>
      </c>
      <c r="F12" s="85">
        <f>F11/('10_Income_Statement'!F3-'10_Income_Statement'!E3)</f>
        <v>32.211744404705072</v>
      </c>
      <c r="G12" s="85">
        <f>G11/('10_Income_Statement'!G3-'10_Income_Statement'!F3)</f>
        <v>31.827044986747723</v>
      </c>
      <c r="H12" s="85">
        <f>H11/('10_Income_Statement'!H3-'10_Income_Statement'!G3)</f>
        <v>31.372036106352681</v>
      </c>
      <c r="I12" s="85">
        <f>I11/('10_Income_Statement'!I3-'10_Income_Statement'!H3)</f>
        <v>30.851998966856961</v>
      </c>
      <c r="J12" s="85">
        <f>J11/('10_Income_Statement'!J3-'10_Income_Statement'!I3)</f>
        <v>27.215579943845309</v>
      </c>
      <c r="K12" s="85">
        <f>K11/('10_Income_Statement'!K3-'10_Income_Statement'!J3)</f>
        <v>28.229661376229927</v>
      </c>
      <c r="L12" s="85">
        <f>L11/('10_Income_Statement'!L3-'10_Income_Statement'!K3)</f>
        <v>27.534660333699225</v>
      </c>
      <c r="M12" s="85">
        <f>M11/('10_Income_Statement'!M3-'10_Income_Statement'!L3)</f>
        <v>26.802941240547554</v>
      </c>
      <c r="N12" s="85">
        <f>N11/('10_Income_Statement'!N3-'10_Income_Statement'!M3)</f>
        <v>25.64866372574739</v>
      </c>
      <c r="O12" s="85">
        <f>O11/('10_Income_Statement'!O3-'10_Income_Statement'!N3)</f>
        <v>24.501466364698921</v>
      </c>
      <c r="P12" s="85">
        <f>P11/('10_Income_Statement'!P3-'10_Income_Statement'!O3)</f>
        <v>23.365124309179429</v>
      </c>
      <c r="Q12" s="85">
        <f>Q11/('10_Income_Statement'!Q3-'10_Income_Statement'!P3)</f>
        <v>22.243014552896931</v>
      </c>
      <c r="R12" s="85">
        <f>R11/('10_Income_Statement'!R3-'10_Income_Statement'!Q3)</f>
        <v>21.138118317734875</v>
      </c>
      <c r="S12" s="85">
        <f>S11/('10_Income_Statement'!S3-'10_Income_Statement'!R3)</f>
        <v>20.053030251810746</v>
      </c>
      <c r="T12" s="85">
        <f>T11/('10_Income_Statement'!T3-'10_Income_Statement'!S3)</f>
        <v>18.989973124650199</v>
      </c>
      <c r="U12" s="85">
        <f>U11/('10_Income_Statement'!U3-'10_Income_Statement'!T3)</f>
        <v>17.950816769885126</v>
      </c>
      <c r="V12" s="85">
        <f>V11/('10_Income_Statement'!V3-'10_Income_Statement'!U3)</f>
        <v>16.937100127410947</v>
      </c>
      <c r="W12" s="85">
        <f>W11/('10_Income_Statement'!W3-'10_Income_Statement'!V3)</f>
        <v>15.950055361730517</v>
      </c>
      <c r="X12" s="85">
        <f>X11/('10_Income_Statement'!X3-'10_Income_Statement'!W3)</f>
        <v>14.990633170021665</v>
      </c>
      <c r="Y12" s="85">
        <f>Y11/('10_Income_Statement'!Y3-'10_Income_Statement'!X3)</f>
        <v>14.05952853320564</v>
      </c>
      <c r="Z12" s="85">
        <f>Z11/('10_Income_Statement'!Z3-'10_Income_Statement'!Y3)</f>
        <v>13.157206299059368</v>
      </c>
      <c r="AA12" s="85">
        <f>AA11/('10_Income_Statement'!AA3-'10_Income_Statement'!Z3)</f>
        <v>12.283926113281996</v>
      </c>
      <c r="AB12" s="85">
        <f>AB11/('10_Income_Statement'!AB3-'10_Income_Statement'!AA3)</f>
        <v>11.43976632923993</v>
      </c>
      <c r="AC12" s="85">
        <f>AC11/('10_Income_Statement'!AC3-'10_Income_Statement'!AB3)</f>
        <v>10.624646628146895</v>
      </c>
      <c r="AD12" s="85">
        <f>AD11/('10_Income_Statement'!AD3-'10_Income_Statement'!AC3)</f>
        <v>9.8383491680790538</v>
      </c>
      <c r="AE12" s="85">
        <f>AE11/('10_Income_Statement'!AE3-'10_Income_Statement'!AD3)</f>
        <v>9.0805381527347837</v>
      </c>
      <c r="AF12" s="85">
        <f>AF11/('10_Income_Statement'!AF3-'10_Income_Statement'!AE3)</f>
        <v>8.3507777700319181</v>
      </c>
      <c r="AG12" s="85">
        <f>AG11/('10_Income_Statement'!AG3-'10_Income_Statement'!AF3)</f>
        <v>7.7304123058036582</v>
      </c>
      <c r="AH12" s="85">
        <f>AH11/('10_Income_Statement'!AH3-'10_Income_Statement'!AG3)</f>
        <v>7.3441586349946855</v>
      </c>
      <c r="AI12" s="85">
        <f>AI11/('10_Income_Statement'!AI3-'10_Income_Statement'!AH3)</f>
        <v>6.9496905873659616</v>
      </c>
      <c r="AJ12" s="85">
        <f>AJ11/('10_Income_Statement'!AJ3-'10_Income_Statement'!AI3)</f>
        <v>6.5467658271663094</v>
      </c>
      <c r="AK12" s="85">
        <f>AK11/('10_Income_Statement'!AK3-'10_Income_Statement'!AJ3)</f>
        <v>6.1351466984412628</v>
      </c>
      <c r="AL12" s="89">
        <f t="shared" si="3"/>
        <v>26.802941240547554</v>
      </c>
      <c r="AM12" s="90">
        <f t="shared" si="4"/>
        <v>14.05952853320564</v>
      </c>
      <c r="AN12" s="91">
        <f t="shared" si="5"/>
        <v>6.1351466984412628</v>
      </c>
    </row>
    <row r="13" spans="1:40" x14ac:dyDescent="0.3">
      <c r="A13" s="95" t="s">
        <v>222</v>
      </c>
      <c r="B13" s="83">
        <f>IF('12_Balance Sheet'!B4&lt;=0,0,IF(B11&lt;=0,999,'12_Balance Sheet'!B4/'03_KPIs'!B11))</f>
        <v>2.7813620277599043</v>
      </c>
      <c r="C13" s="83">
        <f>IF('12_Balance Sheet'!C4&lt;=0,0,IF(C11&lt;=0,999,'12_Balance Sheet'!C4/'03_KPIs'!C11))</f>
        <v>1.6687582851755423</v>
      </c>
      <c r="D13" s="83">
        <f>IF('12_Balance Sheet'!D4&lt;=0,0,IF(D11&lt;=0,999,'12_Balance Sheet'!D4/'03_KPIs'!D11))</f>
        <v>0.58165469037886153</v>
      </c>
      <c r="E13" s="83">
        <f>IF('12_Balance Sheet'!E4&lt;=0,0,IF(E11&lt;=0,999,'12_Balance Sheet'!E4/'03_KPIs'!E11))</f>
        <v>0</v>
      </c>
      <c r="F13" s="83">
        <f>IF('12_Balance Sheet'!F4&lt;=0,0,IF(F11&lt;=0,999,'12_Balance Sheet'!F4/'03_KPIs'!F11))</f>
        <v>0</v>
      </c>
      <c r="G13" s="83">
        <f>IF('12_Balance Sheet'!G4&lt;=0,0,IF(G11&lt;=0,999,'12_Balance Sheet'!G4/'03_KPIs'!G11))</f>
        <v>15.323018623335299</v>
      </c>
      <c r="H13" s="83">
        <f>IF('12_Balance Sheet'!H4&lt;=0,0,IF(H11&lt;=0,999,'12_Balance Sheet'!H4/'03_KPIs'!H11))</f>
        <v>13.965233846447056</v>
      </c>
      <c r="I13" s="83">
        <f>IF('12_Balance Sheet'!I4&lt;=0,0,IF(I11&lt;=0,999,'12_Balance Sheet'!I4/'03_KPIs'!I11))</f>
        <v>12.64249258320058</v>
      </c>
      <c r="J13" s="83">
        <f>IF('12_Balance Sheet'!J4&lt;=0,0,IF(J11&lt;=0,999,'12_Balance Sheet'!J4/'03_KPIs'!J11))</f>
        <v>11.943087595143254</v>
      </c>
      <c r="K13" s="83">
        <f>IF('12_Balance Sheet'!K4&lt;=0,0,IF(K11&lt;=0,999,'12_Balance Sheet'!K4/'03_KPIs'!K11))</f>
        <v>10.579654960064273</v>
      </c>
      <c r="L13" s="83">
        <f>IF('12_Balance Sheet'!L4&lt;=0,0,IF(L11&lt;=0,999,'12_Balance Sheet'!L4/'03_KPIs'!L11))</f>
        <v>9.241730664577311</v>
      </c>
      <c r="M13" s="83">
        <f>IF('12_Balance Sheet'!M4&lt;=0,0,IF(M11&lt;=0,999,'12_Balance Sheet'!M4/'03_KPIs'!M11))</f>
        <v>7.9270098179423201</v>
      </c>
      <c r="N13" s="83">
        <f>IF('12_Balance Sheet'!N4&lt;=0,0,IF(N11&lt;=0,999,'12_Balance Sheet'!N4/'03_KPIs'!N11))</f>
        <v>6.750319117772845</v>
      </c>
      <c r="O13" s="83">
        <f>IF('12_Balance Sheet'!O4&lt;=0,0,IF(O11&lt;=0,999,'12_Balance Sheet'!O4/'03_KPIs'!O11))</f>
        <v>5.5697177961669082</v>
      </c>
      <c r="P13" s="83">
        <f>IF('12_Balance Sheet'!P4&lt;=0,0,IF(P11&lt;=0,999,'12_Balance Sheet'!P4/'03_KPIs'!P11))</f>
        <v>4.3836694765544646</v>
      </c>
      <c r="Q13" s="83">
        <f>IF('12_Balance Sheet'!Q4&lt;=0,0,IF(Q11&lt;=0,999,'12_Balance Sheet'!Q4/'03_KPIs'!Q11))</f>
        <v>3.1903818389666116</v>
      </c>
      <c r="R13" s="83">
        <f>IF('12_Balance Sheet'!R4&lt;=0,0,IF(R11&lt;=0,999,'12_Balance Sheet'!R4/'03_KPIs'!R11))</f>
        <v>1.9877718915269809</v>
      </c>
      <c r="S13" s="83">
        <f>IF('12_Balance Sheet'!S4&lt;=0,0,IF(S11&lt;=0,999,'12_Balance Sheet'!S4/'03_KPIs'!S11))</f>
        <v>0.77342335591064615</v>
      </c>
      <c r="T13" s="83">
        <f>IF('12_Balance Sheet'!T4&lt;=0,0,IF(T11&lt;=0,999,'12_Balance Sheet'!T4/'03_KPIs'!T11))</f>
        <v>0</v>
      </c>
      <c r="U13" s="83">
        <f>IF('12_Balance Sheet'!U4&lt;=0,0,IF(U11&lt;=0,999,'12_Balance Sheet'!U4/'03_KPIs'!U11))</f>
        <v>0</v>
      </c>
      <c r="V13" s="83">
        <f>IF('12_Balance Sheet'!V4&lt;=0,0,IF(V11&lt;=0,999,'12_Balance Sheet'!V4/'03_KPIs'!V11))</f>
        <v>0</v>
      </c>
      <c r="W13" s="83">
        <f>IF('12_Balance Sheet'!W4&lt;=0,0,IF(W11&lt;=0,999,'12_Balance Sheet'!W4/'03_KPIs'!W11))</f>
        <v>0</v>
      </c>
      <c r="X13" s="83">
        <f>IF('12_Balance Sheet'!X4&lt;=0,0,IF(X11&lt;=0,999,'12_Balance Sheet'!X4/'03_KPIs'!X11))</f>
        <v>0</v>
      </c>
      <c r="Y13" s="83">
        <f>IF('12_Balance Sheet'!Y4&lt;=0,0,IF(Y11&lt;=0,999,'12_Balance Sheet'!Y4/'03_KPIs'!Y11))</f>
        <v>0</v>
      </c>
      <c r="Z13" s="83">
        <f>IF('12_Balance Sheet'!Z4&lt;=0,0,IF(Z11&lt;=0,999,'12_Balance Sheet'!Z4/'03_KPIs'!Z11))</f>
        <v>0</v>
      </c>
      <c r="AA13" s="83">
        <f>IF('12_Balance Sheet'!AA4&lt;=0,0,IF(AA11&lt;=0,999,'12_Balance Sheet'!AA4/'03_KPIs'!AA11))</f>
        <v>0</v>
      </c>
      <c r="AB13" s="83">
        <f>IF('12_Balance Sheet'!AB4&lt;=0,0,IF(AB11&lt;=0,999,'12_Balance Sheet'!AB4/'03_KPIs'!AB11))</f>
        <v>0</v>
      </c>
      <c r="AC13" s="83">
        <f>IF('12_Balance Sheet'!AC4&lt;=0,0,IF(AC11&lt;=0,999,'12_Balance Sheet'!AC4/'03_KPIs'!AC11))</f>
        <v>0</v>
      </c>
      <c r="AD13" s="83">
        <f>IF('12_Balance Sheet'!AD4&lt;=0,0,IF(AD11&lt;=0,999,'12_Balance Sheet'!AD4/'03_KPIs'!AD11))</f>
        <v>0</v>
      </c>
      <c r="AE13" s="83">
        <f>IF('12_Balance Sheet'!AE4&lt;=0,0,IF(AE11&lt;=0,999,'12_Balance Sheet'!AE4/'03_KPIs'!AE11))</f>
        <v>0</v>
      </c>
      <c r="AF13" s="83">
        <f>IF('12_Balance Sheet'!AF4&lt;=0,0,IF(AF11&lt;=0,999,'12_Balance Sheet'!AF4/'03_KPIs'!AF11))</f>
        <v>0</v>
      </c>
      <c r="AG13" s="83">
        <f>IF('12_Balance Sheet'!AG4&lt;=0,0,IF(AG11&lt;=0,999,'12_Balance Sheet'!AG4/'03_KPIs'!AG11))</f>
        <v>0</v>
      </c>
      <c r="AH13" s="83">
        <f>IF('12_Balance Sheet'!AH4&lt;=0,0,IF(AH11&lt;=0,999,'12_Balance Sheet'!AH4/'03_KPIs'!AH11))</f>
        <v>0</v>
      </c>
      <c r="AI13" s="83">
        <f>IF('12_Balance Sheet'!AI4&lt;=0,0,IF(AI11&lt;=0,999,'12_Balance Sheet'!AI4/'03_KPIs'!AI11))</f>
        <v>0</v>
      </c>
      <c r="AJ13" s="83">
        <f>IF('12_Balance Sheet'!AJ4&lt;=0,0,IF(AJ11&lt;=0,999,'12_Balance Sheet'!AJ4/'03_KPIs'!AJ11))</f>
        <v>0</v>
      </c>
      <c r="AK13" s="83">
        <f>IF('12_Balance Sheet'!AK4&lt;=0,0,IF(AK11&lt;=0,999,'12_Balance Sheet'!AK4/'03_KPIs'!AK11))</f>
        <v>0</v>
      </c>
      <c r="AL13" s="82">
        <f t="shared" ref="AL13" si="6">M13</f>
        <v>7.9270098179423201</v>
      </c>
      <c r="AM13" s="83">
        <f t="shared" ref="AM13" si="7">Y13</f>
        <v>0</v>
      </c>
      <c r="AN13" s="84">
        <f t="shared" ref="AN13" si="8">AK13</f>
        <v>0</v>
      </c>
    </row>
    <row r="14" spans="1:40" x14ac:dyDescent="0.3">
      <c r="A14" s="97" t="s">
        <v>223</v>
      </c>
      <c r="B14" s="90">
        <f>'12_Balance Sheet'!B11-'12_Balance Sheet'!B4</f>
        <v>-3631012.5</v>
      </c>
      <c r="C14" s="90">
        <f>'12_Balance Sheet'!C11-'12_Balance Sheet'!C4</f>
        <v>-2229127.3194353571</v>
      </c>
      <c r="D14" s="90">
        <f>'12_Balance Sheet'!D11-'12_Balance Sheet'!D4</f>
        <v>-794508.6765593742</v>
      </c>
      <c r="E14" s="90">
        <f>'12_Balance Sheet'!E11-'12_Balance Sheet'!E4</f>
        <v>672630.54884137469</v>
      </c>
      <c r="F14" s="90">
        <f>'12_Balance Sheet'!F11-'12_Balance Sheet'!F4</f>
        <v>2172026.9373985273</v>
      </c>
      <c r="G14" s="90">
        <f>'12_Balance Sheet'!G11-'12_Balance Sheet'!G4</f>
        <v>-21292468.847348943</v>
      </c>
      <c r="H14" s="90">
        <f>'12_Balance Sheet'!H11-'12_Balance Sheet'!H4</f>
        <v>-19721227.611632615</v>
      </c>
      <c r="I14" s="90">
        <f>'12_Balance Sheet'!I11-'12_Balance Sheet'!I4</f>
        <v>-18118844.035630085</v>
      </c>
      <c r="J14" s="90">
        <f>'12_Balance Sheet'!J11-'12_Balance Sheet'!J4</f>
        <v>-16329667.418520719</v>
      </c>
      <c r="K14" s="90">
        <f>'12_Balance Sheet'!K11-'12_Balance Sheet'!K4</f>
        <v>-14502351.710577786</v>
      </c>
      <c r="L14" s="90">
        <f>'12_Balance Sheet'!L11-'12_Balance Sheet'!L4</f>
        <v>-12640270.98361421</v>
      </c>
      <c r="M14" s="90">
        <f>'12_Balance Sheet'!M11-'12_Balance Sheet'!M4</f>
        <v>-10743961.823086567</v>
      </c>
      <c r="N14" s="90">
        <f>'12_Balance Sheet'!N11-'12_Balance Sheet'!N4</f>
        <v>-8839713.1343377233</v>
      </c>
      <c r="O14" s="90">
        <f>'12_Balance Sheet'!O11-'12_Balance Sheet'!O4</f>
        <v>-6928129.5805149022</v>
      </c>
      <c r="P14" s="90">
        <f>'12_Balance Sheet'!P11-'12_Balance Sheet'!P4</f>
        <v>-5009856.7642344087</v>
      </c>
      <c r="Q14" s="90">
        <f>'12_Balance Sheet'!Q11-'12_Balance Sheet'!Q4</f>
        <v>-3085585.8940881314</v>
      </c>
      <c r="R14" s="90">
        <f>'12_Balance Sheet'!R11-'12_Balance Sheet'!R4</f>
        <v>-1156058.5337997926</v>
      </c>
      <c r="S14" s="90">
        <f>'12_Balance Sheet'!S11-'12_Balance Sheet'!S4</f>
        <v>777928.53986590449</v>
      </c>
      <c r="T14" s="90">
        <f>'12_Balance Sheet'!T11-'12_Balance Sheet'!T4</f>
        <v>2715518.3444659589</v>
      </c>
      <c r="U14" s="90">
        <f>'12_Balance Sheet'!U11-'12_Balance Sheet'!U4</f>
        <v>4655788.5385223804</v>
      </c>
      <c r="V14" s="90">
        <f>'12_Balance Sheet'!V11-'12_Balance Sheet'!V4</f>
        <v>6597746.0812988328</v>
      </c>
      <c r="W14" s="90">
        <f>'12_Balance Sheet'!W11-'12_Balance Sheet'!W4</f>
        <v>8540321.6792699136</v>
      </c>
      <c r="X14" s="90">
        <f>'12_Balance Sheet'!X11-'12_Balance Sheet'!X4</f>
        <v>10482363.992413677</v>
      </c>
      <c r="Y14" s="90">
        <f>'12_Balance Sheet'!Y11-'12_Balance Sheet'!Y4</f>
        <v>12422633.572895292</v>
      </c>
      <c r="Z14" s="90">
        <f>'12_Balance Sheet'!Z11-'12_Balance Sheet'!Z4</f>
        <v>14359796.508013543</v>
      </c>
      <c r="AA14" s="90">
        <f>'12_Balance Sheet'!AA11-'12_Balance Sheet'!AA4</f>
        <v>16292417.738452047</v>
      </c>
      <c r="AB14" s="90">
        <f>'12_Balance Sheet'!AB11-'12_Balance Sheet'!AB4</f>
        <v>18218954.021912672</v>
      </c>
      <c r="AC14" s="90">
        <f>'12_Balance Sheet'!AC11-'12_Balance Sheet'!AC4</f>
        <v>20137746.511108201</v>
      </c>
      <c r="AD14" s="90">
        <f>'12_Balance Sheet'!AD11-'12_Balance Sheet'!AD4</f>
        <v>22047012.913852576</v>
      </c>
      <c r="AE14" s="90">
        <f>'12_Balance Sheet'!AE11-'12_Balance Sheet'!AE4</f>
        <v>23944839.201606955</v>
      </c>
      <c r="AF14" s="90">
        <f>'12_Balance Sheet'!AF11-'12_Balance Sheet'!AF4</f>
        <v>25829170.831315272</v>
      </c>
      <c r="AG14" s="90">
        <f>'12_Balance Sheet'!AG11-'12_Balance Sheet'!AG4</f>
        <v>27682198.730930902</v>
      </c>
      <c r="AH14" s="90">
        <f>'12_Balance Sheet'!AH11-'12_Balance Sheet'!AH4</f>
        <v>29454311.966687366</v>
      </c>
      <c r="AI14" s="90">
        <f>'12_Balance Sheet'!AI11-'12_Balance Sheet'!AI4</f>
        <v>31145783.463577986</v>
      </c>
      <c r="AJ14" s="90">
        <f>'12_Balance Sheet'!AJ11-'12_Balance Sheet'!AJ4</f>
        <v>32757150.734143343</v>
      </c>
      <c r="AK14" s="90">
        <f>'12_Balance Sheet'!AK11-'12_Balance Sheet'!AK4</f>
        <v>34289183.869240232</v>
      </c>
      <c r="AL14" s="89">
        <f>'12_Balance Sheet'!AL11-'12_Balance Sheet'!AL4</f>
        <v>-10743961.823086567</v>
      </c>
      <c r="AM14" s="90">
        <f>'12_Balance Sheet'!AM11-'12_Balance Sheet'!AM4</f>
        <v>12422633.572895292</v>
      </c>
      <c r="AN14" s="91">
        <f>'12_Balance Sheet'!AN11-'12_Balance Sheet'!AN4</f>
        <v>34289183.869240232</v>
      </c>
    </row>
    <row r="15" spans="1:40" ht="15" thickBot="1" x14ac:dyDescent="0.35">
      <c r="A15" s="96" t="s">
        <v>224</v>
      </c>
      <c r="B15" s="85">
        <f>'12_Balance Sheet'!B11/(SUM('12_Balance Sheet'!B13:B14))</f>
        <v>0</v>
      </c>
      <c r="C15" s="85">
        <f>'12_Balance Sheet'!C11/(SUM('12_Balance Sheet'!C13:C14))</f>
        <v>0</v>
      </c>
      <c r="D15" s="85">
        <f>'12_Balance Sheet'!D11/(SUM('12_Balance Sheet'!D13:D14))</f>
        <v>0</v>
      </c>
      <c r="E15" s="85">
        <f>'12_Balance Sheet'!E11/(SUM('12_Balance Sheet'!E13:E14))</f>
        <v>0</v>
      </c>
      <c r="F15" s="85">
        <f>'12_Balance Sheet'!F11/(SUM('12_Balance Sheet'!F13:F14))</f>
        <v>0</v>
      </c>
      <c r="G15" s="85">
        <f>'12_Balance Sheet'!G11/(SUM('12_Balance Sheet'!G13:G14))</f>
        <v>4.6110499753797822E-2</v>
      </c>
      <c r="H15" s="85">
        <f>'12_Balance Sheet'!H11/(SUM('12_Balance Sheet'!H13:H14))</f>
        <v>4.9542633583541343E-2</v>
      </c>
      <c r="I15" s="85">
        <f>'12_Balance Sheet'!I11/(SUM('12_Balance Sheet'!I13:I14))</f>
        <v>5.3613692309044683E-2</v>
      </c>
      <c r="J15" s="85">
        <f>'12_Balance Sheet'!J11/(SUM('12_Balance Sheet'!J13:J14))</f>
        <v>0.11702194932449551</v>
      </c>
      <c r="K15" s="85">
        <f>'12_Balance Sheet'!K11/(SUM('12_Balance Sheet'!K13:K14))</f>
        <v>0.12904384395059373</v>
      </c>
      <c r="L15" s="85">
        <f>'12_Balance Sheet'!L11/(SUM('12_Balance Sheet'!L13:L14))</f>
        <v>0.14408980764044069</v>
      </c>
      <c r="M15" s="85">
        <f>'12_Balance Sheet'!M11/(SUM('12_Balance Sheet'!M13:M14))</f>
        <v>0.16344571570718225</v>
      </c>
      <c r="N15" s="85">
        <f>'12_Balance Sheet'!N11/(SUM('12_Balance Sheet'!N13:N14))</f>
        <v>0.18880926250583641</v>
      </c>
      <c r="O15" s="85">
        <f>'12_Balance Sheet'!O11/(SUM('12_Balance Sheet'!O13:O14))</f>
        <v>0.22346640704588222</v>
      </c>
      <c r="P15" s="85">
        <f>'12_Balance Sheet'!P11/(SUM('12_Balance Sheet'!P13:P14))</f>
        <v>0.27363040372386899</v>
      </c>
      <c r="Q15" s="85">
        <f>'12_Balance Sheet'!Q11/(SUM('12_Balance Sheet'!Q13:Q14))</f>
        <v>0.35263499703811446</v>
      </c>
      <c r="R15" s="85">
        <f>'12_Balance Sheet'!R11/(SUM('12_Balance Sheet'!R13:R14))</f>
        <v>0.49522940629687667</v>
      </c>
      <c r="S15" s="85">
        <f>'12_Balance Sheet'!S11/(SUM('12_Balance Sheet'!S13:S14))</f>
        <v>0.82941511396390233</v>
      </c>
      <c r="T15" s="85">
        <f>'12_Balance Sheet'!T11/(SUM('12_Balance Sheet'!T13:T14))</f>
        <v>2.5268996316415797</v>
      </c>
      <c r="U15" s="85">
        <f>'12_Balance Sheet'!U11/(SUM('12_Balance Sheet'!U13:U14))</f>
        <v>-2.4407107137746253</v>
      </c>
      <c r="V15" s="85">
        <f>'12_Balance Sheet'!V11/(SUM('12_Balance Sheet'!V13:V14))</f>
        <v>-0.82655036440471619</v>
      </c>
      <c r="W15" s="85">
        <f>'12_Balance Sheet'!W11/(SUM('12_Balance Sheet'!W13:W14))</f>
        <v>-0.49907004460111981</v>
      </c>
      <c r="X15" s="85">
        <f>'12_Balance Sheet'!X11/(SUM('12_Balance Sheet'!X13:X14))</f>
        <v>-0.35837652849424245</v>
      </c>
      <c r="Y15" s="85">
        <f>'12_Balance Sheet'!Y11/(SUM('12_Balance Sheet'!Y13:Y14))</f>
        <v>-0.28021520657675686</v>
      </c>
      <c r="Z15" s="85">
        <f>'12_Balance Sheet'!Z11/(SUM('12_Balance Sheet'!Z13:Z14))</f>
        <v>-0.23054451682064936</v>
      </c>
      <c r="AA15" s="85">
        <f>'12_Balance Sheet'!AA11/(SUM('12_Balance Sheet'!AA13:AA14))</f>
        <v>-0.19624193980083512</v>
      </c>
      <c r="AB15" s="85">
        <f>'12_Balance Sheet'!AB11/(SUM('12_Balance Sheet'!AB13:AB14))</f>
        <v>-0.17117557735297448</v>
      </c>
      <c r="AC15" s="85">
        <f>'12_Balance Sheet'!AC11/(SUM('12_Balance Sheet'!AC13:AC14))</f>
        <v>-0.15209667275453953</v>
      </c>
      <c r="AD15" s="85">
        <f>'12_Balance Sheet'!AD11/(SUM('12_Balance Sheet'!AD13:AD14))</f>
        <v>-0.13712376970108947</v>
      </c>
      <c r="AE15" s="85">
        <f>'12_Balance Sheet'!AE11/(SUM('12_Balance Sheet'!AE13:AE14))</f>
        <v>-0.12509230432183469</v>
      </c>
      <c r="AF15" s="85">
        <f>'12_Balance Sheet'!AF11/(SUM('12_Balance Sheet'!AF13:AF14))</f>
        <v>-0.11524327970820396</v>
      </c>
      <c r="AG15" s="85">
        <f>'12_Balance Sheet'!AG11/(SUM('12_Balance Sheet'!AG13:AG14))</f>
        <v>-0.10714105550631453</v>
      </c>
      <c r="AH15" s="85">
        <f>'12_Balance Sheet'!AH11/(SUM('12_Balance Sheet'!AH13:AH14))</f>
        <v>-0.10059998789278513</v>
      </c>
      <c r="AI15" s="85">
        <f>'12_Balance Sheet'!AI11/(SUM('12_Balance Sheet'!AI13:AI14))</f>
        <v>-9.5239860955377106E-2</v>
      </c>
      <c r="AJ15" s="85">
        <f>'12_Balance Sheet'!AJ11/(SUM('12_Balance Sheet'!AJ13:AJ14))</f>
        <v>-9.0796158380452088E-2</v>
      </c>
      <c r="AK15" s="85">
        <f>'12_Balance Sheet'!AK11/(SUM('12_Balance Sheet'!AK13:AK14))</f>
        <v>-8.7079258131762219E-2</v>
      </c>
      <c r="AL15" s="92">
        <f>'12_Balance Sheet'!AL11/(SUM('12_Balance Sheet'!AL13:AL14))</f>
        <v>0.16344571570718225</v>
      </c>
      <c r="AM15" s="85">
        <f>'12_Balance Sheet'!AM11/(SUM('12_Balance Sheet'!AM13:AM14))</f>
        <v>-0.28021520657675686</v>
      </c>
      <c r="AN15" s="93">
        <f>'12_Balance Sheet'!AN11/(SUM('12_Balance Sheet'!AN13:AN14))</f>
        <v>-8.7079258131762219E-2</v>
      </c>
    </row>
    <row r="16" spans="1:40" ht="15" thickBot="1" x14ac:dyDescent="0.35">
      <c r="A16" s="101" t="s">
        <v>225</v>
      </c>
      <c r="B16" s="67">
        <f>'12_Balance Sheet'!B6/'10_Income_Statement'!B3</f>
        <v>0</v>
      </c>
      <c r="C16" s="67">
        <f>'12_Balance Sheet'!C6/'10_Income_Statement'!C3</f>
        <v>0</v>
      </c>
      <c r="D16" s="67">
        <f>'12_Balance Sheet'!D6/'10_Income_Statement'!D3</f>
        <v>0</v>
      </c>
      <c r="E16" s="67">
        <f>'12_Balance Sheet'!E6/'10_Income_Statement'!E3</f>
        <v>0</v>
      </c>
      <c r="F16" s="67">
        <f>'12_Balance Sheet'!F6/'10_Income_Statement'!F3</f>
        <v>0</v>
      </c>
      <c r="G16" s="67">
        <f>'12_Balance Sheet'!G6/'10_Income_Statement'!G3</f>
        <v>0</v>
      </c>
      <c r="H16" s="67">
        <f>'12_Balance Sheet'!H6/'10_Income_Statement'!H3</f>
        <v>0</v>
      </c>
      <c r="I16" s="67">
        <f>'12_Balance Sheet'!I6/'10_Income_Statement'!I3</f>
        <v>0</v>
      </c>
      <c r="J16" s="67">
        <f>'12_Balance Sheet'!J6/'10_Income_Statement'!J3</f>
        <v>0.38104108893075639</v>
      </c>
      <c r="K16" s="67">
        <f>'12_Balance Sheet'!K6/'10_Income_Statement'!K3</f>
        <v>0.68727588184494626</v>
      </c>
      <c r="L16" s="67">
        <f>'12_Balance Sheet'!L6/'10_Income_Statement'!L3</f>
        <v>0.93892527132974168</v>
      </c>
      <c r="M16" s="67">
        <f>'12_Balance Sheet'!M6/'10_Income_Statement'!M3</f>
        <v>1.1493765444620858</v>
      </c>
      <c r="N16" s="67">
        <f>'12_Balance Sheet'!N6/'10_Income_Statement'!N3</f>
        <v>1.3278645901530792</v>
      </c>
      <c r="O16" s="67">
        <f>'12_Balance Sheet'!O6/'10_Income_Statement'!O3</f>
        <v>1.4809810133524537</v>
      </c>
      <c r="P16" s="67">
        <f>'12_Balance Sheet'!P6/'10_Income_Statement'!P3</f>
        <v>1.6135684258989003</v>
      </c>
      <c r="Q16" s="67">
        <f>'12_Balance Sheet'!Q6/'10_Income_Statement'!Q3</f>
        <v>1.7292736348414031</v>
      </c>
      <c r="R16" s="67">
        <f>'12_Balance Sheet'!R6/'10_Income_Statement'!R3</f>
        <v>1.830902503933157</v>
      </c>
      <c r="S16" s="67">
        <f>'12_Balance Sheet'!S6/'10_Income_Statement'!S3</f>
        <v>1.9206548159429337</v>
      </c>
      <c r="T16" s="67">
        <f>'12_Balance Sheet'!T6/'10_Income_Statement'!T3</f>
        <v>2.000283995501424</v>
      </c>
      <c r="U16" s="67">
        <f>'12_Balance Sheet'!U6/'10_Income_Statement'!U3</f>
        <v>2.0712083565067521</v>
      </c>
      <c r="V16" s="67">
        <f>'12_Balance Sheet'!V6/'10_Income_Statement'!V3</f>
        <v>2.1345902448352616</v>
      </c>
      <c r="W16" s="67">
        <f>'12_Balance Sheet'!W6/'10_Income_Statement'!W3</f>
        <v>2.1913934183833494</v>
      </c>
      <c r="X16" s="67">
        <f>'12_Balance Sheet'!X6/'10_Income_Statement'!X3</f>
        <v>2.2424253655284718</v>
      </c>
      <c r="Y16" s="67">
        <f>'12_Balance Sheet'!Y6/'10_Income_Statement'!Y3</f>
        <v>2.2883690034129365</v>
      </c>
      <c r="Z16" s="67">
        <f>'12_Balance Sheet'!Z6/'10_Income_Statement'!Z3</f>
        <v>2.3298067603341188</v>
      </c>
      <c r="AA16" s="67">
        <f>'12_Balance Sheet'!AA6/'10_Income_Statement'!AA3</f>
        <v>2.3672391121968706</v>
      </c>
      <c r="AB16" s="67">
        <f>'12_Balance Sheet'!AB6/'10_Income_Statement'!AB3</f>
        <v>2.4010990233047487</v>
      </c>
      <c r="AC16" s="67">
        <f>'12_Balance Sheet'!AC6/'10_Income_Statement'!AC3</f>
        <v>2.431763323245002</v>
      </c>
      <c r="AD16" s="67">
        <f>'12_Balance Sheet'!AD6/'10_Income_Statement'!AD3</f>
        <v>2.4595617642298708</v>
      </c>
      <c r="AE16" s="67">
        <f>'12_Balance Sheet'!AE6/'10_Income_Statement'!AE3</f>
        <v>2.4847843028814305</v>
      </c>
      <c r="AF16" s="67">
        <f>'12_Balance Sheet'!AF6/'10_Income_Statement'!AF3</f>
        <v>2.5076870087697594</v>
      </c>
      <c r="AG16" s="67">
        <f>'12_Balance Sheet'!AG6/'10_Income_Statement'!AG3</f>
        <v>2.5313556781484357</v>
      </c>
      <c r="AH16" s="67">
        <f>'12_Balance Sheet'!AH6/'10_Income_Statement'!AH3</f>
        <v>2.5636406115550123</v>
      </c>
      <c r="AI16" s="67">
        <f>'12_Balance Sheet'!AI6/'10_Income_Statement'!AI3</f>
        <v>2.6020291392346717</v>
      </c>
      <c r="AJ16" s="67">
        <f>'12_Balance Sheet'!AJ6/'10_Income_Statement'!AJ3</f>
        <v>2.6446755120396399</v>
      </c>
      <c r="AK16" s="67">
        <f>'12_Balance Sheet'!AK6/'10_Income_Statement'!AK3</f>
        <v>2.6902059547142789</v>
      </c>
      <c r="AL16" s="92">
        <f>'12_Balance Sheet'!AL6/'10_Income_Statement'!AL3</f>
        <v>0.19085603008020049</v>
      </c>
      <c r="AM16" s="85">
        <f>'12_Balance Sheet'!AM6/'10_Income_Statement'!AM3</f>
        <v>0.2799866633318901</v>
      </c>
      <c r="AN16" s="93">
        <f>'12_Balance Sheet'!AN6/'10_Income_Statement'!AN3</f>
        <v>0.29853603463027995</v>
      </c>
    </row>
    <row r="19" spans="6:6" x14ac:dyDescent="0.3">
      <c r="F19" s="1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C1F-19F5-4B6E-88B0-DE5B5C807496}">
  <dimension ref="A1:AN15"/>
  <sheetViews>
    <sheetView workbookViewId="0">
      <pane xSplit="1" topLeftCell="AK1" activePane="topRight" state="frozen"/>
      <selection pane="topRight" activeCell="AM25" sqref="AM25"/>
    </sheetView>
  </sheetViews>
  <sheetFormatPr defaultRowHeight="14.4" x14ac:dyDescent="0.3"/>
  <cols>
    <col min="1" max="1" width="14.21875" bestFit="1" customWidth="1"/>
    <col min="2" max="8" width="10.44140625" bestFit="1" customWidth="1"/>
    <col min="9" max="40" width="11.44140625" bestFit="1" customWidth="1"/>
  </cols>
  <sheetData>
    <row r="1" spans="1:40" ht="15" thickBot="1" x14ac:dyDescent="0.35">
      <c r="A1" s="56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59" t="str">
        <v>Month Label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  <c r="AL2" s="86" t="s">
        <v>74</v>
      </c>
      <c r="AM2" s="142" t="s">
        <v>75</v>
      </c>
      <c r="AN2" s="143" t="s">
        <v>76</v>
      </c>
    </row>
    <row r="3" spans="1:40" x14ac:dyDescent="0.3">
      <c r="A3" s="56" t="s">
        <v>168</v>
      </c>
      <c r="B3" s="75">
        <f>'41_Revenue_COGS'!B18</f>
        <v>39610</v>
      </c>
      <c r="C3" s="57">
        <f>'41_Revenue_COGS'!C18</f>
        <v>80214.409049999987</v>
      </c>
      <c r="D3" s="57">
        <f>'41_Revenue_COGS'!D18</f>
        <v>121921.12324620024</v>
      </c>
      <c r="E3" s="57">
        <f>'41_Revenue_COGS'!E18</f>
        <v>164842.82941052405</v>
      </c>
      <c r="F3" s="57">
        <f>'41_Revenue_COGS'!F18</f>
        <v>209097.35126384383</v>
      </c>
      <c r="G3" s="57">
        <f>'41_Revenue_COGS'!G18</f>
        <v>254808.01432022805</v>
      </c>
      <c r="H3" s="57">
        <f>'41_Revenue_COGS'!H18</f>
        <v>302104.03069698386</v>
      </c>
      <c r="I3" s="57">
        <f>'41_Revenue_COGS'!I18</f>
        <v>351120.90510446037</v>
      </c>
      <c r="J3" s="57">
        <f>'41_Revenue_COGS'!J18</f>
        <v>407513.27862516517</v>
      </c>
      <c r="K3" s="57">
        <f>'41_Revenue_COGS'!K18</f>
        <v>462767.907487327</v>
      </c>
      <c r="L3" s="57">
        <f>'41_Revenue_COGS'!L18</f>
        <v>520300.78348194563</v>
      </c>
      <c r="M3" s="57">
        <f>'41_Revenue_COGS'!M18</f>
        <v>580281.63285944541</v>
      </c>
      <c r="N3" s="57">
        <f>'41_Revenue_COGS'!N18</f>
        <v>642889.47579381289</v>
      </c>
      <c r="O3" s="57">
        <f>'41_Revenue_COGS'!O18</f>
        <v>708313.19314739562</v>
      </c>
      <c r="P3" s="57">
        <f>'41_Revenue_COGS'!P18</f>
        <v>776752.12874927069</v>
      </c>
      <c r="Q3" s="57">
        <f>'41_Revenue_COGS'!Q18</f>
        <v>848416.72911319567</v>
      </c>
      <c r="R3" s="57">
        <f>'41_Revenue_COGS'!R18</f>
        <v>923529.2226565528</v>
      </c>
      <c r="S3" s="57">
        <f>'41_Revenue_COGS'!S18</f>
        <v>1002324.3406234491</v>
      </c>
      <c r="T3" s="57">
        <f>'41_Revenue_COGS'!T18</f>
        <v>1085050.0820638197</v>
      </c>
      <c r="U3" s="57">
        <f>'41_Revenue_COGS'!U18</f>
        <v>1171968.5253765006</v>
      </c>
      <c r="V3" s="57">
        <f>'41_Revenue_COGS'!V18</f>
        <v>1263356.6890883925</v>
      </c>
      <c r="W3" s="57">
        <f>'41_Revenue_COGS'!W18</f>
        <v>1359507.4447146296</v>
      </c>
      <c r="X3" s="57">
        <f>'41_Revenue_COGS'!X18</f>
        <v>1460730.4847266858</v>
      </c>
      <c r="Y3" s="57">
        <f>'41_Revenue_COGS'!Y18</f>
        <v>1567353.3488472989</v>
      </c>
      <c r="Z3" s="57">
        <f>'41_Revenue_COGS'!Z18</f>
        <v>1679722.5120935838</v>
      </c>
      <c r="AA3" s="57">
        <f>'41_Revenue_COGS'!AA18</f>
        <v>1798204.5382035282</v>
      </c>
      <c r="AB3" s="57">
        <f>'41_Revenue_COGS'!AB18</f>
        <v>1923187.3023069226</v>
      </c>
      <c r="AC3" s="57">
        <f>'41_Revenue_COGS'!AC18</f>
        <v>2055081.2869404596</v>
      </c>
      <c r="AD3" s="57">
        <f>'41_Revenue_COGS'!AD18</f>
        <v>2194320.9557591123</v>
      </c>
      <c r="AE3" s="57">
        <f>'41_Revenue_COGS'!AE18</f>
        <v>2341366.2095628041</v>
      </c>
      <c r="AF3" s="57">
        <f>'41_Revenue_COGS'!AF18</f>
        <v>2496703.929539782</v>
      </c>
      <c r="AG3" s="57">
        <f>'41_Revenue_COGS'!AG18</f>
        <v>2657312.0945818862</v>
      </c>
      <c r="AH3" s="57">
        <f>'41_Revenue_COGS'!AH18</f>
        <v>2812715.9169828957</v>
      </c>
      <c r="AI3" s="57">
        <f>'41_Revenue_COGS'!AI18</f>
        <v>2963063.662339434</v>
      </c>
      <c r="AJ3" s="57">
        <f>'41_Revenue_COGS'!AJ18</f>
        <v>3108501.2008484537</v>
      </c>
      <c r="AK3" s="57">
        <f>'41_Revenue_COGS'!AK18</f>
        <v>3249171.8593673371</v>
      </c>
      <c r="AL3" s="75">
        <f>SUMIF('23_Time'!$B$3:$AK$3, 1,B3:AK3)</f>
        <v>3494582.2655461235</v>
      </c>
      <c r="AM3" s="57">
        <f>SUMIF('23_Time'!$B$3:$AK$3, 2,B3:AK3)</f>
        <v>12810191.664901003</v>
      </c>
      <c r="AN3" s="72">
        <f>SUMIF('23_Time'!$B$3:$AK$3, 3,B3:AK3)</f>
        <v>29279351.468526199</v>
      </c>
    </row>
    <row r="4" spans="1:40" x14ac:dyDescent="0.3">
      <c r="A4" s="59" t="s">
        <v>89</v>
      </c>
      <c r="B4" s="76">
        <f>'41_Revenue_COGS'!B5</f>
        <v>5355</v>
      </c>
      <c r="C4" s="60">
        <f>'41_Revenue_COGS'!C5</f>
        <v>10844.437275</v>
      </c>
      <c r="D4" s="60">
        <f>'41_Revenue_COGS'!D5</f>
        <v>16482.898636288875</v>
      </c>
      <c r="E4" s="60">
        <f>'41_Revenue_COGS'!E5</f>
        <v>22285.618568375572</v>
      </c>
      <c r="F4" s="60">
        <f>'41_Revenue_COGS'!F5</f>
        <v>28268.526029232107</v>
      </c>
      <c r="G4" s="60">
        <f>'41_Revenue_COGS'!G5</f>
        <v>34448.293781490058</v>
      </c>
      <c r="H4" s="60">
        <f>'41_Revenue_COGS'!H5</f>
        <v>40842.390416115843</v>
      </c>
      <c r="I4" s="60">
        <f>'41_Revenue_COGS'!I5</f>
        <v>47469.135239444222</v>
      </c>
      <c r="J4" s="60">
        <f>'41_Revenue_COGS'!J5</f>
        <v>54347.756204376477</v>
      </c>
      <c r="K4" s="60">
        <f>'41_Revenue_COGS'!K5</f>
        <v>61498.451077084181</v>
      </c>
      <c r="L4" s="60">
        <f>'41_Revenue_COGS'!L5</f>
        <v>68942.452041736324</v>
      </c>
      <c r="M4" s="60">
        <f>'41_Revenue_COGS'!M5</f>
        <v>76702.09395762613</v>
      </c>
      <c r="N4" s="60">
        <f>'41_Revenue_COGS'!N5</f>
        <v>84800.886495654151</v>
      </c>
      <c r="O4" s="60">
        <f>'41_Revenue_COGS'!O5</f>
        <v>93263.590394468454</v>
      </c>
      <c r="P4" s="60">
        <f>'41_Revenue_COGS'!P5</f>
        <v>102116.29809071845</v>
      </c>
      <c r="Q4" s="60">
        <f>'41_Revenue_COGS'!Q5</f>
        <v>111386.51899289168</v>
      </c>
      <c r="R4" s="60">
        <f>'41_Revenue_COGS'!R5</f>
        <v>121103.26968412651</v>
      </c>
      <c r="S4" s="60">
        <f>'41_Revenue_COGS'!S5</f>
        <v>131297.16935628018</v>
      </c>
      <c r="T4" s="60">
        <f>'41_Revenue_COGS'!T5</f>
        <v>142000.54079544096</v>
      </c>
      <c r="U4" s="60">
        <f>'41_Revenue_COGS'!U5</f>
        <v>153247.5172580631</v>
      </c>
      <c r="V4" s="60">
        <f>'41_Revenue_COGS'!V5</f>
        <v>165074.15559704279</v>
      </c>
      <c r="W4" s="60">
        <f>'41_Revenue_COGS'!W5</f>
        <v>177518.55601840583</v>
      </c>
      <c r="X4" s="60">
        <f>'41_Revenue_COGS'!X5</f>
        <v>190620.98887192062</v>
      </c>
      <c r="Y4" s="60">
        <f>'41_Revenue_COGS'!Y5</f>
        <v>204424.02890295867</v>
      </c>
      <c r="Z4" s="60">
        <f>'41_Revenue_COGS'!Z5</f>
        <v>218972.69741837707</v>
      </c>
      <c r="AA4" s="60">
        <f>'41_Revenue_COGS'!AA5</f>
        <v>234314.61284618921</v>
      </c>
      <c r="AB4" s="60">
        <f>'41_Revenue_COGS'!AB5</f>
        <v>250500.15019740138</v>
      </c>
      <c r="AC4" s="60">
        <f>'41_Revenue_COGS'!AC5</f>
        <v>267582.60996873176</v>
      </c>
      <c r="AD4" s="60">
        <f>'41_Revenue_COGS'!AD5</f>
        <v>285618.39705708978</v>
      </c>
      <c r="AE4" s="60">
        <f>'41_Revenue_COGS'!AE5</f>
        <v>304667.21029079251</v>
      </c>
      <c r="AF4" s="60">
        <f>'41_Revenue_COGS'!AF5</f>
        <v>324792.24321864574</v>
      </c>
      <c r="AG4" s="60">
        <f>'41_Revenue_COGS'!AG5</f>
        <v>345588.6178915312</v>
      </c>
      <c r="AH4" s="60">
        <f>'41_Revenue_COGS'!AH5</f>
        <v>365659.3030702062</v>
      </c>
      <c r="AI4" s="60">
        <f>'41_Revenue_COGS'!AI5</f>
        <v>385029.62168957136</v>
      </c>
      <c r="AJ4" s="60">
        <f>'41_Revenue_COGS'!AJ5</f>
        <v>403724.01304071379</v>
      </c>
      <c r="AK4" s="60">
        <f>'41_Revenue_COGS'!AK5</f>
        <v>421766.06360565819</v>
      </c>
      <c r="AL4" s="76">
        <f>SUMIF('23_Time'!$B$3:$AK$3, 1,B4:AK4)</f>
        <v>467487.05322676979</v>
      </c>
      <c r="AM4" s="60">
        <f>SUMIF('23_Time'!$B$3:$AK$3, 2,B4:AK4)</f>
        <v>1676853.5204579714</v>
      </c>
      <c r="AN4" s="73">
        <f>SUMIF('23_Time'!$B$3:$AK$3, 3,B4:AK4)</f>
        <v>3808215.5402949085</v>
      </c>
    </row>
    <row r="5" spans="1:40" x14ac:dyDescent="0.3">
      <c r="A5" s="59" t="s">
        <v>90</v>
      </c>
      <c r="B5" s="76">
        <f>'41_Revenue_COGS'!B6</f>
        <v>2295</v>
      </c>
      <c r="C5" s="60">
        <f>'41_Revenue_COGS'!C6</f>
        <v>4647.6159749999997</v>
      </c>
      <c r="D5" s="60">
        <f>'41_Revenue_COGS'!D6</f>
        <v>7064.0994155523749</v>
      </c>
      <c r="E5" s="60">
        <f>'41_Revenue_COGS'!E6</f>
        <v>9550.9793864466737</v>
      </c>
      <c r="F5" s="60">
        <f>'41_Revenue_COGS'!F6</f>
        <v>12115.082583956617</v>
      </c>
      <c r="G5" s="60">
        <f>'41_Revenue_COGS'!G6</f>
        <v>14763.554477781454</v>
      </c>
      <c r="H5" s="60">
        <f>'41_Revenue_COGS'!H6</f>
        <v>17503.881606906791</v>
      </c>
      <c r="I5" s="60">
        <f>'41_Revenue_COGS'!I6</f>
        <v>20343.91510261895</v>
      </c>
      <c r="J5" s="60">
        <f>'41_Revenue_COGS'!J6</f>
        <v>23291.895516161348</v>
      </c>
      <c r="K5" s="60">
        <f>'41_Revenue_COGS'!K6</f>
        <v>26356.479033036077</v>
      </c>
      <c r="L5" s="60">
        <f>'41_Revenue_COGS'!L6</f>
        <v>29546.765160744137</v>
      </c>
      <c r="M5" s="60">
        <f>'41_Revenue_COGS'!M6</f>
        <v>32872.325981839771</v>
      </c>
      <c r="N5" s="60">
        <f>'41_Revenue_COGS'!N6</f>
        <v>36343.237069566065</v>
      </c>
      <c r="O5" s="60">
        <f>'41_Revenue_COGS'!O6</f>
        <v>39970.110169057909</v>
      </c>
      <c r="P5" s="60">
        <f>'41_Revenue_COGS'!P6</f>
        <v>43764.127753165056</v>
      </c>
      <c r="Q5" s="60">
        <f>'41_Revenue_COGS'!Q6</f>
        <v>47737.079568382149</v>
      </c>
      <c r="R5" s="60">
        <f>'41_Revenue_COGS'!R6</f>
        <v>51901.401293197072</v>
      </c>
      <c r="S5" s="60">
        <f>'41_Revenue_COGS'!S6</f>
        <v>56270.215438405801</v>
      </c>
      <c r="T5" s="60">
        <f>'41_Revenue_COGS'!T6</f>
        <v>60857.374626617559</v>
      </c>
      <c r="U5" s="60">
        <f>'41_Revenue_COGS'!U6</f>
        <v>65677.507396312765</v>
      </c>
      <c r="V5" s="60">
        <f>'41_Revenue_COGS'!V6</f>
        <v>70746.066684446909</v>
      </c>
      <c r="W5" s="60">
        <f>'41_Revenue_COGS'!W6</f>
        <v>76079.38115074535</v>
      </c>
      <c r="X5" s="60">
        <f>'41_Revenue_COGS'!X6</f>
        <v>81694.709516537419</v>
      </c>
      <c r="Y5" s="60">
        <f>'41_Revenue_COGS'!Y6</f>
        <v>87610.298101267996</v>
      </c>
      <c r="Z5" s="60">
        <f>'41_Revenue_COGS'!Z6</f>
        <v>93845.441750733036</v>
      </c>
      <c r="AA5" s="60">
        <f>'41_Revenue_COGS'!AA6</f>
        <v>100420.54836265252</v>
      </c>
      <c r="AB5" s="60">
        <f>'41_Revenue_COGS'!AB6</f>
        <v>107357.20722745774</v>
      </c>
      <c r="AC5" s="60">
        <f>'41_Revenue_COGS'!AC6</f>
        <v>114678.26141517075</v>
      </c>
      <c r="AD5" s="60">
        <f>'41_Revenue_COGS'!AD6</f>
        <v>122407.88445303847</v>
      </c>
      <c r="AE5" s="60">
        <f>'41_Revenue_COGS'!AE6</f>
        <v>130571.66155319678</v>
      </c>
      <c r="AF5" s="60">
        <f>'41_Revenue_COGS'!AF6</f>
        <v>139196.67566513389</v>
      </c>
      <c r="AG5" s="60">
        <f>'41_Revenue_COGS'!AG6</f>
        <v>148109.4076677991</v>
      </c>
      <c r="AH5" s="60">
        <f>'41_Revenue_COGS'!AH6</f>
        <v>156711.12988723122</v>
      </c>
      <c r="AI5" s="60">
        <f>'41_Revenue_COGS'!AI6</f>
        <v>165012.69500981629</v>
      </c>
      <c r="AJ5" s="60">
        <f>'41_Revenue_COGS'!AJ6</f>
        <v>173024.57701744878</v>
      </c>
      <c r="AK5" s="60">
        <f>'41_Revenue_COGS'!AK6</f>
        <v>180756.88440242494</v>
      </c>
      <c r="AL5" s="76">
        <f>SUMIF('23_Time'!$B$3:$AK$3, 1,B5:AK5)</f>
        <v>200351.59424004416</v>
      </c>
      <c r="AM5" s="60">
        <f>SUMIF('23_Time'!$B$3:$AK$3, 2,B5:AK5)</f>
        <v>718651.50876770192</v>
      </c>
      <c r="AN5" s="73">
        <f>SUMIF('23_Time'!$B$3:$AK$3, 3,B5:AK5)</f>
        <v>1632092.3744121036</v>
      </c>
    </row>
    <row r="6" spans="1:40" ht="15" thickBot="1" x14ac:dyDescent="0.35">
      <c r="A6" s="88" t="s">
        <v>59</v>
      </c>
      <c r="B6" s="134">
        <f>B3-B4-B5</f>
        <v>31960</v>
      </c>
      <c r="C6" s="133">
        <f t="shared" ref="C6:AK6" si="0">C3-C4-C5</f>
        <v>64722.355799999983</v>
      </c>
      <c r="D6" s="133">
        <f t="shared" si="0"/>
        <v>98374.125194358974</v>
      </c>
      <c r="E6" s="133">
        <f t="shared" si="0"/>
        <v>133006.23145570181</v>
      </c>
      <c r="F6" s="133">
        <f t="shared" si="0"/>
        <v>168713.7426506551</v>
      </c>
      <c r="G6" s="133">
        <f t="shared" si="0"/>
        <v>205596.16606095652</v>
      </c>
      <c r="H6" s="133">
        <f t="shared" si="0"/>
        <v>243757.75867396122</v>
      </c>
      <c r="I6" s="133">
        <f t="shared" si="0"/>
        <v>283307.85476239724</v>
      </c>
      <c r="J6" s="133">
        <f t="shared" si="0"/>
        <v>329873.62690462737</v>
      </c>
      <c r="K6" s="133">
        <f t="shared" si="0"/>
        <v>374912.97737720673</v>
      </c>
      <c r="L6" s="133">
        <f t="shared" si="0"/>
        <v>421811.56627946516</v>
      </c>
      <c r="M6" s="133">
        <f t="shared" si="0"/>
        <v>470707.21291997947</v>
      </c>
      <c r="N6" s="133">
        <f t="shared" si="0"/>
        <v>521745.35222859273</v>
      </c>
      <c r="O6" s="133">
        <f t="shared" si="0"/>
        <v>575079.49258386926</v>
      </c>
      <c r="P6" s="133">
        <f t="shared" si="0"/>
        <v>630871.70290538715</v>
      </c>
      <c r="Q6" s="133">
        <f t="shared" si="0"/>
        <v>689293.1305519219</v>
      </c>
      <c r="R6" s="133">
        <f t="shared" si="0"/>
        <v>750524.55167922925</v>
      </c>
      <c r="S6" s="133">
        <f t="shared" si="0"/>
        <v>814756.95582876308</v>
      </c>
      <c r="T6" s="133">
        <f t="shared" si="0"/>
        <v>882192.1666417612</v>
      </c>
      <c r="U6" s="133">
        <f t="shared" si="0"/>
        <v>953043.50072212471</v>
      </c>
      <c r="V6" s="133">
        <f t="shared" si="0"/>
        <v>1027536.4668069029</v>
      </c>
      <c r="W6" s="133">
        <f t="shared" si="0"/>
        <v>1105909.5075454784</v>
      </c>
      <c r="X6" s="133">
        <f t="shared" si="0"/>
        <v>1188414.7863382278</v>
      </c>
      <c r="Y6" s="133">
        <f t="shared" si="0"/>
        <v>1275319.0218430723</v>
      </c>
      <c r="Z6" s="133">
        <f t="shared" si="0"/>
        <v>1366904.3729244738</v>
      </c>
      <c r="AA6" s="133">
        <f t="shared" si="0"/>
        <v>1463469.3769946864</v>
      </c>
      <c r="AB6" s="133">
        <f t="shared" si="0"/>
        <v>1565329.9448820634</v>
      </c>
      <c r="AC6" s="133">
        <f t="shared" si="0"/>
        <v>1672820.4155565572</v>
      </c>
      <c r="AD6" s="133">
        <f t="shared" si="0"/>
        <v>1786294.6742489841</v>
      </c>
      <c r="AE6" s="133">
        <f t="shared" si="0"/>
        <v>1906127.3377188148</v>
      </c>
      <c r="AF6" s="133">
        <f t="shared" si="0"/>
        <v>2032715.0106560022</v>
      </c>
      <c r="AG6" s="133">
        <f t="shared" si="0"/>
        <v>2163614.0690225558</v>
      </c>
      <c r="AH6" s="133">
        <f t="shared" si="0"/>
        <v>2290345.4840254583</v>
      </c>
      <c r="AI6" s="133">
        <f t="shared" si="0"/>
        <v>2413021.3456400461</v>
      </c>
      <c r="AJ6" s="133">
        <f t="shared" si="0"/>
        <v>2531752.6107902909</v>
      </c>
      <c r="AK6" s="133">
        <f t="shared" si="0"/>
        <v>2646648.9113592538</v>
      </c>
      <c r="AL6" s="134">
        <f>SUMIF('23_Time'!$B$3:$AK$3, 1,B6:AK6)</f>
        <v>2826743.6180793094</v>
      </c>
      <c r="AM6" s="133">
        <f>SUMIF('23_Time'!$B$3:$AK$3, 2,B6:AK6)</f>
        <v>10414686.63567533</v>
      </c>
      <c r="AN6" s="135">
        <f>SUMIF('23_Time'!$B$3:$AK$3, 3,B6:AK6)</f>
        <v>23839043.553819187</v>
      </c>
    </row>
    <row r="7" spans="1:40" x14ac:dyDescent="0.3">
      <c r="A7" s="56" t="s">
        <v>195</v>
      </c>
      <c r="B7" s="75">
        <f>'42_OPEX'!B13</f>
        <v>1337440</v>
      </c>
      <c r="C7" s="57">
        <f>'42_OPEX'!C13</f>
        <v>1400522.357057143</v>
      </c>
      <c r="D7" s="57">
        <f>'42_OPEX'!D13</f>
        <v>1464319.7449947768</v>
      </c>
      <c r="E7" s="57">
        <f>'42_OPEX'!E13</f>
        <v>1528873.9742371077</v>
      </c>
      <c r="F7" s="57">
        <f>'42_OPEX'!F13</f>
        <v>1594229.0893422267</v>
      </c>
      <c r="G7" s="57">
        <f>'42_OPEX'!G13</f>
        <v>1660431.4955305641</v>
      </c>
      <c r="H7" s="57">
        <f>'42_OPEX'!H13</f>
        <v>1727530.0921321923</v>
      </c>
      <c r="I7" s="57">
        <f>'42_OPEX'!I13</f>
        <v>1795576.41334042</v>
      </c>
      <c r="J7" s="57">
        <f>'42_OPEX'!J13</f>
        <v>1864624.7766805543</v>
      </c>
      <c r="K7" s="57">
        <f>'42_OPEX'!K13</f>
        <v>1934732.439625296</v>
      </c>
      <c r="L7" s="57">
        <f>'42_OPEX'!L13</f>
        <v>2005959.7648121272</v>
      </c>
      <c r="M7" s="57">
        <f>'42_OPEX'!M13</f>
        <v>2078370.3943432393</v>
      </c>
      <c r="N7" s="57">
        <f>'42_OPEX'!N13</f>
        <v>2127552.8622465939</v>
      </c>
      <c r="O7" s="57">
        <f>'42_OPEX'!O13</f>
        <v>2178056.5027762456</v>
      </c>
      <c r="P7" s="57">
        <f>'42_OPEX'!P13</f>
        <v>2229955.9408311239</v>
      </c>
      <c r="Q7" s="57">
        <f>'42_OPEX'!Q13</f>
        <v>2283329.879374248</v>
      </c>
      <c r="R7" s="57">
        <f>'42_OPEX'!R13</f>
        <v>2338261.3273388091</v>
      </c>
      <c r="S7" s="57">
        <f>'42_OPEX'!S13</f>
        <v>2394837.8401139304</v>
      </c>
      <c r="T7" s="57">
        <f>'42_OPEX'!T13</f>
        <v>2453151.7733111614</v>
      </c>
      <c r="U7" s="57">
        <f>'42_OPEX'!U13</f>
        <v>2513300.5505517051</v>
      </c>
      <c r="V7" s="57">
        <f>'42_OPEX'!V13</f>
        <v>2575386.9460554412</v>
      </c>
      <c r="W7" s="57">
        <f>'42_OPEX'!W13</f>
        <v>2639519.3828561809</v>
      </c>
      <c r="X7" s="57">
        <f>'42_OPEX'!X13</f>
        <v>2705812.2475133883</v>
      </c>
      <c r="Y7" s="57">
        <f>'42_OPEX'!Y13</f>
        <v>2774386.2222389397</v>
      </c>
      <c r="Z7" s="57">
        <f>'42_OPEX'!Z13</f>
        <v>2845368.6354085244</v>
      </c>
      <c r="AA7" s="57">
        <f>'42_OPEX'!AA13</f>
        <v>2918893.8314811909</v>
      </c>
      <c r="AB7" s="57">
        <f>'42_OPEX'!AB13</f>
        <v>2995103.5614074124</v>
      </c>
      <c r="AC7" s="57">
        <f>'42_OPEX'!AC13</f>
        <v>3074147.3946661246</v>
      </c>
      <c r="AD7" s="57">
        <f>'42_OPEX'!AD13</f>
        <v>3156183.1541345781</v>
      </c>
      <c r="AE7" s="57">
        <f>'42_OPEX'!AE13</f>
        <v>3241377.3750618082</v>
      </c>
      <c r="AF7" s="57">
        <f>'42_OPEX'!AF13</f>
        <v>3329905.7894871924</v>
      </c>
      <c r="AG7" s="57">
        <f>'42_OPEX'!AG13</f>
        <v>3405181.404476583</v>
      </c>
      <c r="AH7" s="57">
        <f>'42_OPEX'!AH13</f>
        <v>3431655.8082230128</v>
      </c>
      <c r="AI7" s="57">
        <f>'42_OPEX'!AI13</f>
        <v>3457891.656376075</v>
      </c>
      <c r="AJ7" s="57">
        <f>'42_OPEX'!AJ13</f>
        <v>3483898.1178883249</v>
      </c>
      <c r="AK7" s="57">
        <f>'42_OPEX'!AK13</f>
        <v>3509684.0375389396</v>
      </c>
      <c r="AL7" s="75">
        <f>SUMIF('23_Time'!$B$3:$AK$3, 1,B7:AK7)</f>
        <v>20392610.542095646</v>
      </c>
      <c r="AM7" s="57">
        <f>SUMIF('23_Time'!$B$3:$AK$3, 2,B7:AK7)</f>
        <v>29213551.475207768</v>
      </c>
      <c r="AN7" s="72">
        <f>SUMIF('23_Time'!$B$3:$AK$3, 3,B7:AK7)</f>
        <v>38849290.766149759</v>
      </c>
    </row>
    <row r="8" spans="1:40" ht="15" thickBot="1" x14ac:dyDescent="0.35">
      <c r="A8" s="61" t="s">
        <v>60</v>
      </c>
      <c r="B8" s="77">
        <f>B6-B7</f>
        <v>-1305480</v>
      </c>
      <c r="C8" s="62">
        <f t="shared" ref="C8:AK8" si="1">C6-C7</f>
        <v>-1335800.001257143</v>
      </c>
      <c r="D8" s="62">
        <f t="shared" si="1"/>
        <v>-1365945.6198004179</v>
      </c>
      <c r="E8" s="62">
        <f t="shared" si="1"/>
        <v>-1395867.7427814058</v>
      </c>
      <c r="F8" s="62">
        <f t="shared" si="1"/>
        <v>-1425515.3466915716</v>
      </c>
      <c r="G8" s="62">
        <f t="shared" si="1"/>
        <v>-1454835.3294696077</v>
      </c>
      <c r="H8" s="62">
        <f t="shared" si="1"/>
        <v>-1483772.3334582311</v>
      </c>
      <c r="I8" s="62">
        <f t="shared" si="1"/>
        <v>-1512268.5585780228</v>
      </c>
      <c r="J8" s="62">
        <f t="shared" si="1"/>
        <v>-1534751.149775927</v>
      </c>
      <c r="K8" s="62">
        <f t="shared" si="1"/>
        <v>-1559819.4622480893</v>
      </c>
      <c r="L8" s="62">
        <f t="shared" si="1"/>
        <v>-1584148.1985326621</v>
      </c>
      <c r="M8" s="62">
        <f t="shared" si="1"/>
        <v>-1607663.1814232599</v>
      </c>
      <c r="N8" s="62">
        <f t="shared" si="1"/>
        <v>-1605807.5100180013</v>
      </c>
      <c r="O8" s="62">
        <f t="shared" si="1"/>
        <v>-1602977.0101923763</v>
      </c>
      <c r="P8" s="62">
        <f t="shared" si="1"/>
        <v>-1599084.2379257367</v>
      </c>
      <c r="Q8" s="62">
        <f t="shared" si="1"/>
        <v>-1594036.7488223261</v>
      </c>
      <c r="R8" s="62">
        <f t="shared" si="1"/>
        <v>-1587736.7756595798</v>
      </c>
      <c r="S8" s="62">
        <f t="shared" si="1"/>
        <v>-1580080.8842851673</v>
      </c>
      <c r="T8" s="62">
        <f t="shared" si="1"/>
        <v>-1570959.6066694004</v>
      </c>
      <c r="U8" s="62">
        <f t="shared" si="1"/>
        <v>-1560257.0498295804</v>
      </c>
      <c r="V8" s="62">
        <f t="shared" si="1"/>
        <v>-1547850.4792485381</v>
      </c>
      <c r="W8" s="62">
        <f t="shared" si="1"/>
        <v>-1533609.8753107025</v>
      </c>
      <c r="X8" s="62">
        <f t="shared" si="1"/>
        <v>-1517397.4611751605</v>
      </c>
      <c r="Y8" s="62">
        <f t="shared" si="1"/>
        <v>-1499067.2003958675</v>
      </c>
      <c r="Z8" s="62">
        <f t="shared" si="1"/>
        <v>-1478464.2624840506</v>
      </c>
      <c r="AA8" s="62">
        <f t="shared" si="1"/>
        <v>-1455424.4544865044</v>
      </c>
      <c r="AB8" s="62">
        <f t="shared" si="1"/>
        <v>-1429773.616525349</v>
      </c>
      <c r="AC8" s="62">
        <f t="shared" si="1"/>
        <v>-1401326.9791095674</v>
      </c>
      <c r="AD8" s="62">
        <f t="shared" si="1"/>
        <v>-1369888.479885594</v>
      </c>
      <c r="AE8" s="62">
        <f t="shared" si="1"/>
        <v>-1335250.0373429933</v>
      </c>
      <c r="AF8" s="62">
        <f t="shared" si="1"/>
        <v>-1297190.7788311902</v>
      </c>
      <c r="AG8" s="62">
        <f t="shared" si="1"/>
        <v>-1241567.3354540272</v>
      </c>
      <c r="AH8" s="62">
        <f t="shared" si="1"/>
        <v>-1141310.3241975545</v>
      </c>
      <c r="AI8" s="62">
        <f t="shared" si="1"/>
        <v>-1044870.3107360289</v>
      </c>
      <c r="AJ8" s="62">
        <f t="shared" si="1"/>
        <v>-952145.50709803402</v>
      </c>
      <c r="AK8" s="62">
        <f t="shared" si="1"/>
        <v>-863035.12617968582</v>
      </c>
      <c r="AL8" s="77">
        <f>SUMIF('23_Time'!$B$3:$AK$3, 1,B8:AK8)</f>
        <v>-17565866.924016334</v>
      </c>
      <c r="AM8" s="62">
        <f>SUMIF('23_Time'!$B$3:$AK$3, 2,B8:AK8)</f>
        <v>-18798864.839532435</v>
      </c>
      <c r="AN8" s="74">
        <f>SUMIF('23_Time'!$B$3:$AK$3, 3,B8:AK8)</f>
        <v>-15010247.212330578</v>
      </c>
    </row>
    <row r="9" spans="1:40" x14ac:dyDescent="0.3">
      <c r="A9" s="56" t="s">
        <v>189</v>
      </c>
      <c r="B9" s="75">
        <f>'43_CAPEX_Depreciation'!B7</f>
        <v>0</v>
      </c>
      <c r="C9" s="57">
        <f>'43_CAPEX_Depreciation'!C7</f>
        <v>1660.4444444444443</v>
      </c>
      <c r="D9" s="57">
        <f>'43_CAPEX_Depreciation'!D7</f>
        <v>3343.7654320987654</v>
      </c>
      <c r="E9" s="57">
        <f>'43_CAPEX_Depreciation'!E7</f>
        <v>5049.3275034293556</v>
      </c>
      <c r="F9" s="57">
        <f>'43_CAPEX_Depreciation'!F7</f>
        <v>6776.512850556318</v>
      </c>
      <c r="G9" s="57">
        <f>'43_CAPEX_Depreciation'!G7</f>
        <v>8524.7208269297553</v>
      </c>
      <c r="H9" s="57">
        <f>'43_CAPEX_Depreciation'!H7</f>
        <v>10293.36747062615</v>
      </c>
      <c r="I9" s="57">
        <f>'43_CAPEX_Depreciation'!I7</f>
        <v>12081.885040886535</v>
      </c>
      <c r="J9" s="57">
        <f>'43_CAPEX_Depreciation'!J7</f>
        <v>13889.721567528575</v>
      </c>
      <c r="K9" s="57">
        <f>'43_CAPEX_Depreciation'!K7</f>
        <v>15716.340412875003</v>
      </c>
      <c r="L9" s="57">
        <f>'43_CAPEX_Depreciation'!L7</f>
        <v>17561.219845850697</v>
      </c>
      <c r="M9" s="57">
        <f>'43_CAPEX_Depreciation'!M7</f>
        <v>19423.852627910397</v>
      </c>
      <c r="N9" s="57">
        <f>'43_CAPEX_Depreciation'!N7</f>
        <v>21303.745610468442</v>
      </c>
      <c r="O9" s="57">
        <f>'43_CAPEX_Depreciation'!O7</f>
        <v>23165.919343510985</v>
      </c>
      <c r="P9" s="57">
        <f>'43_CAPEX_Depreciation'!P7</f>
        <v>25010.866028413457</v>
      </c>
      <c r="Q9" s="57">
        <f>'43_CAPEX_Depreciation'!Q7</f>
        <v>26839.064194290862</v>
      </c>
      <c r="R9" s="57">
        <f>'43_CAPEX_Depreciation'!R7</f>
        <v>28650.979077782777</v>
      </c>
      <c r="S9" s="57">
        <f>'43_CAPEX_Depreciation'!S7</f>
        <v>30447.062992288815</v>
      </c>
      <c r="T9" s="57">
        <f>'43_CAPEX_Depreciation'!T7</f>
        <v>32227.755686947461</v>
      </c>
      <c r="U9" s="57">
        <f>'43_CAPEX_Depreciation'!U7</f>
        <v>33993.484695643368</v>
      </c>
      <c r="V9" s="57">
        <f>'43_CAPEX_Depreciation'!V7</f>
        <v>35744.665676319935</v>
      </c>
      <c r="W9" s="57">
        <f>'43_CAPEX_Depreciation'!W7</f>
        <v>37481.702740866604</v>
      </c>
      <c r="X9" s="57">
        <f>'43_CAPEX_Depreciation'!X7</f>
        <v>39204.988775842532</v>
      </c>
      <c r="Y9" s="57">
        <f>'43_CAPEX_Depreciation'!Y7</f>
        <v>40914.905754291343</v>
      </c>
      <c r="Z9" s="57">
        <f>'43_CAPEX_Depreciation'!Z7</f>
        <v>42611.825038894363</v>
      </c>
      <c r="AA9" s="57">
        <f>'43_CAPEX_Depreciation'!AA7</f>
        <v>44296.10767670285</v>
      </c>
      <c r="AB9" s="57">
        <f>'43_CAPEX_Depreciation'!AB7</f>
        <v>45968.104685683335</v>
      </c>
      <c r="AC9" s="57">
        <f>'43_CAPEX_Depreciation'!AC7</f>
        <v>47628.157333303243</v>
      </c>
      <c r="AD9" s="57">
        <f>'43_CAPEX_Depreciation'!AD7</f>
        <v>49276.597407378147</v>
      </c>
      <c r="AE9" s="57">
        <f>'43_CAPEX_Depreciation'!AE7</f>
        <v>50913.747479395424</v>
      </c>
      <c r="AF9" s="57">
        <f>'43_CAPEX_Depreciation'!AF7</f>
        <v>52539.921160523321</v>
      </c>
      <c r="AG9" s="57">
        <f>'43_CAPEX_Depreciation'!AG7</f>
        <v>54155.42335050879</v>
      </c>
      <c r="AH9" s="57">
        <f>'43_CAPEX_Depreciation'!AH7</f>
        <v>55760.550479661324</v>
      </c>
      <c r="AI9" s="57">
        <f>'43_CAPEX_Depreciation'!AI7</f>
        <v>57355.590744115179</v>
      </c>
      <c r="AJ9" s="57">
        <f>'43_CAPEX_Depreciation'!AJ7</f>
        <v>58940.824334556411</v>
      </c>
      <c r="AK9" s="57">
        <f>'43_CAPEX_Depreciation'!AK7</f>
        <v>60516.523658596518</v>
      </c>
      <c r="AL9" s="75">
        <f>SUMIF('23_Time'!$B$3:$AK$3, 1,B9:AK9)</f>
        <v>114321.15802313598</v>
      </c>
      <c r="AM9" s="57">
        <f>SUMIF('23_Time'!$B$3:$AK$3, 2,B9:AK9)</f>
        <v>374985.14057666657</v>
      </c>
      <c r="AN9" s="72">
        <f>SUMIF('23_Time'!$B$3:$AK$3, 3,B9:AK9)</f>
        <v>619963.37334931886</v>
      </c>
    </row>
    <row r="10" spans="1:40" ht="15" thickBot="1" x14ac:dyDescent="0.35">
      <c r="A10" s="59" t="s">
        <v>61</v>
      </c>
      <c r="B10" s="76">
        <f>B8-B9</f>
        <v>-1305480</v>
      </c>
      <c r="C10" s="60">
        <f t="shared" ref="C10:AK10" si="2">C8-C9</f>
        <v>-1337460.4457015875</v>
      </c>
      <c r="D10" s="60">
        <f t="shared" si="2"/>
        <v>-1369289.3852325168</v>
      </c>
      <c r="E10" s="60">
        <f t="shared" si="2"/>
        <v>-1400917.0702848351</v>
      </c>
      <c r="F10" s="60">
        <f t="shared" si="2"/>
        <v>-1432291.8595421279</v>
      </c>
      <c r="G10" s="60">
        <f t="shared" si="2"/>
        <v>-1463360.0502965373</v>
      </c>
      <c r="H10" s="60">
        <f t="shared" si="2"/>
        <v>-1494065.7009288573</v>
      </c>
      <c r="I10" s="60">
        <f t="shared" si="2"/>
        <v>-1524350.4436189092</v>
      </c>
      <c r="J10" s="60">
        <f t="shared" si="2"/>
        <v>-1548640.8713434555</v>
      </c>
      <c r="K10" s="60">
        <f t="shared" si="2"/>
        <v>-1575535.8026609642</v>
      </c>
      <c r="L10" s="60">
        <f t="shared" si="2"/>
        <v>-1601709.4183785128</v>
      </c>
      <c r="M10" s="60">
        <f t="shared" si="2"/>
        <v>-1627087.0340511703</v>
      </c>
      <c r="N10" s="60">
        <f t="shared" si="2"/>
        <v>-1627111.2556284699</v>
      </c>
      <c r="O10" s="60">
        <f t="shared" si="2"/>
        <v>-1626142.9295358872</v>
      </c>
      <c r="P10" s="60">
        <f t="shared" si="2"/>
        <v>-1624095.1039541501</v>
      </c>
      <c r="Q10" s="60">
        <f t="shared" si="2"/>
        <v>-1620875.813016617</v>
      </c>
      <c r="R10" s="60">
        <f t="shared" si="2"/>
        <v>-1616387.7547373625</v>
      </c>
      <c r="S10" s="60">
        <f t="shared" si="2"/>
        <v>-1610527.9472774561</v>
      </c>
      <c r="T10" s="60">
        <f t="shared" si="2"/>
        <v>-1603187.3623563477</v>
      </c>
      <c r="U10" s="60">
        <f t="shared" si="2"/>
        <v>-1594250.5345252238</v>
      </c>
      <c r="V10" s="60">
        <f t="shared" si="2"/>
        <v>-1583595.1449248581</v>
      </c>
      <c r="W10" s="60">
        <f t="shared" si="2"/>
        <v>-1571091.5780515692</v>
      </c>
      <c r="X10" s="60">
        <f t="shared" si="2"/>
        <v>-1556602.4499510031</v>
      </c>
      <c r="Y10" s="60">
        <f t="shared" si="2"/>
        <v>-1539982.1061501589</v>
      </c>
      <c r="Z10" s="60">
        <f t="shared" si="2"/>
        <v>-1521076.0875229449</v>
      </c>
      <c r="AA10" s="60">
        <f t="shared" si="2"/>
        <v>-1499720.5621632072</v>
      </c>
      <c r="AB10" s="60">
        <f t="shared" si="2"/>
        <v>-1475741.7212110322</v>
      </c>
      <c r="AC10" s="60">
        <f t="shared" si="2"/>
        <v>-1448955.1364428706</v>
      </c>
      <c r="AD10" s="60">
        <f t="shared" si="2"/>
        <v>-1419165.0772929722</v>
      </c>
      <c r="AE10" s="60">
        <f t="shared" si="2"/>
        <v>-1386163.7848223888</v>
      </c>
      <c r="AF10" s="60">
        <f t="shared" si="2"/>
        <v>-1349730.6999917135</v>
      </c>
      <c r="AG10" s="60">
        <f t="shared" si="2"/>
        <v>-1295722.758804536</v>
      </c>
      <c r="AH10" s="60">
        <f t="shared" si="2"/>
        <v>-1197070.8746772157</v>
      </c>
      <c r="AI10" s="60">
        <f t="shared" si="2"/>
        <v>-1102225.9014801441</v>
      </c>
      <c r="AJ10" s="60">
        <f t="shared" si="2"/>
        <v>-1011086.3314325905</v>
      </c>
      <c r="AK10" s="60">
        <f t="shared" si="2"/>
        <v>-923551.64983828238</v>
      </c>
      <c r="AL10" s="77">
        <f>SUMIF('23_Time'!$B$3:$AK$3, 1,B10:AK10)</f>
        <v>-17680188.082039475</v>
      </c>
      <c r="AM10" s="62">
        <f>SUMIF('23_Time'!$B$3:$AK$3, 2,B10:AK10)</f>
        <v>-19173849.980109103</v>
      </c>
      <c r="AN10" s="74">
        <f>SUMIF('23_Time'!$B$3:$AK$3, 3,B10:AK10)</f>
        <v>-15630210.585679898</v>
      </c>
    </row>
    <row r="11" spans="1:40" x14ac:dyDescent="0.3">
      <c r="A11" s="56" t="s">
        <v>196</v>
      </c>
      <c r="B11" s="57">
        <f>'45_Funding_Interest_Equity'!B6</f>
        <v>0</v>
      </c>
      <c r="C11" s="57">
        <f>'45_Funding_Interest_Equity'!C6</f>
        <v>0</v>
      </c>
      <c r="D11" s="57">
        <f>'45_Funding_Interest_Equity'!D6</f>
        <v>0</v>
      </c>
      <c r="E11" s="57">
        <f>'45_Funding_Interest_Equity'!E6</f>
        <v>0</v>
      </c>
      <c r="F11" s="57">
        <f>'45_Funding_Interest_Equity'!F6</f>
        <v>0</v>
      </c>
      <c r="G11" s="57">
        <f>'45_Funding_Interest_Equity'!G6</f>
        <v>4166.666666666667</v>
      </c>
      <c r="H11" s="57">
        <f>'45_Funding_Interest_Equity'!H6</f>
        <v>8333.3333333333339</v>
      </c>
      <c r="I11" s="57">
        <f>'45_Funding_Interest_Equity'!I6</f>
        <v>8333.3333333333339</v>
      </c>
      <c r="J11" s="57">
        <f>'45_Funding_Interest_Equity'!J6</f>
        <v>12500</v>
      </c>
      <c r="K11" s="57">
        <f>'45_Funding_Interest_Equity'!K6</f>
        <v>16666.666666666668</v>
      </c>
      <c r="L11" s="57">
        <f>'45_Funding_Interest_Equity'!L6</f>
        <v>16666.666666666668</v>
      </c>
      <c r="M11" s="57">
        <f>'45_Funding_Interest_Equity'!M6</f>
        <v>16666.666666666668</v>
      </c>
      <c r="N11" s="57">
        <f>'45_Funding_Interest_Equity'!N6</f>
        <v>16666.666666666668</v>
      </c>
      <c r="O11" s="57">
        <f>'45_Funding_Interest_Equity'!O6</f>
        <v>16666.666666666668</v>
      </c>
      <c r="P11" s="57">
        <f>'45_Funding_Interest_Equity'!P6</f>
        <v>16666.666666666668</v>
      </c>
      <c r="Q11" s="57">
        <f>'45_Funding_Interest_Equity'!Q6</f>
        <v>16666.666666666668</v>
      </c>
      <c r="R11" s="57">
        <f>'45_Funding_Interest_Equity'!R6</f>
        <v>16666.666666666668</v>
      </c>
      <c r="S11" s="57">
        <f>'45_Funding_Interest_Equity'!S6</f>
        <v>16666.666666666668</v>
      </c>
      <c r="T11" s="57">
        <f>'45_Funding_Interest_Equity'!T6</f>
        <v>16666.666666666668</v>
      </c>
      <c r="U11" s="57">
        <f>'45_Funding_Interest_Equity'!U6</f>
        <v>16666.666666666668</v>
      </c>
      <c r="V11" s="57">
        <f>'45_Funding_Interest_Equity'!V6</f>
        <v>16666.666666666668</v>
      </c>
      <c r="W11" s="57">
        <f>'45_Funding_Interest_Equity'!W6</f>
        <v>16666.666666666668</v>
      </c>
      <c r="X11" s="57">
        <f>'45_Funding_Interest_Equity'!X6</f>
        <v>16666.666666666668</v>
      </c>
      <c r="Y11" s="57">
        <f>'45_Funding_Interest_Equity'!Y6</f>
        <v>16666.666666666668</v>
      </c>
      <c r="Z11" s="57">
        <f>'45_Funding_Interest_Equity'!Z6</f>
        <v>16666.666666666668</v>
      </c>
      <c r="AA11" s="57">
        <f>'45_Funding_Interest_Equity'!AA6</f>
        <v>16666.666666666668</v>
      </c>
      <c r="AB11" s="57">
        <f>'45_Funding_Interest_Equity'!AB6</f>
        <v>16666.666666666668</v>
      </c>
      <c r="AC11" s="57">
        <f>'45_Funding_Interest_Equity'!AC6</f>
        <v>16666.666666666668</v>
      </c>
      <c r="AD11" s="57">
        <f>'45_Funding_Interest_Equity'!AD6</f>
        <v>16666.666666666668</v>
      </c>
      <c r="AE11" s="57">
        <f>'45_Funding_Interest_Equity'!AE6</f>
        <v>16666.666666666668</v>
      </c>
      <c r="AF11" s="57">
        <f>'45_Funding_Interest_Equity'!AF6</f>
        <v>16666.666666666668</v>
      </c>
      <c r="AG11" s="57">
        <f>'45_Funding_Interest_Equity'!AG6</f>
        <v>16666.666666666668</v>
      </c>
      <c r="AH11" s="57">
        <f>'45_Funding_Interest_Equity'!AH6</f>
        <v>16666.666666666668</v>
      </c>
      <c r="AI11" s="57">
        <f>'45_Funding_Interest_Equity'!AI6</f>
        <v>16666.666666666668</v>
      </c>
      <c r="AJ11" s="57">
        <f>'45_Funding_Interest_Equity'!AJ6</f>
        <v>16666.666666666668</v>
      </c>
      <c r="AK11" s="57">
        <f>'45_Funding_Interest_Equity'!AK6</f>
        <v>16666.666666666668</v>
      </c>
      <c r="AL11" s="75">
        <f>SUMIF('23_Time'!$B$3:$AK$3, 1,B11:AK11)</f>
        <v>83333.333333333343</v>
      </c>
      <c r="AM11" s="57">
        <f>SUMIF('23_Time'!$B$3:$AK$3, 2,B11:AK11)</f>
        <v>199999.99999999997</v>
      </c>
      <c r="AN11" s="72">
        <f>SUMIF('23_Time'!$B$3:$AK$3, 3,B11:AK11)</f>
        <v>199999.99999999997</v>
      </c>
    </row>
    <row r="12" spans="1:40" x14ac:dyDescent="0.3">
      <c r="A12" s="59" t="s">
        <v>62</v>
      </c>
      <c r="B12" s="60">
        <f>B10-B11</f>
        <v>-1305480</v>
      </c>
      <c r="C12" s="60">
        <f t="shared" ref="C12:AK12" si="3">C10-C11</f>
        <v>-1337460.4457015875</v>
      </c>
      <c r="D12" s="60">
        <f t="shared" si="3"/>
        <v>-1369289.3852325168</v>
      </c>
      <c r="E12" s="60">
        <f t="shared" si="3"/>
        <v>-1400917.0702848351</v>
      </c>
      <c r="F12" s="60">
        <f t="shared" si="3"/>
        <v>-1432291.8595421279</v>
      </c>
      <c r="G12" s="60">
        <f t="shared" si="3"/>
        <v>-1467526.7169632041</v>
      </c>
      <c r="H12" s="60">
        <f t="shared" si="3"/>
        <v>-1502399.0342621906</v>
      </c>
      <c r="I12" s="60">
        <f t="shared" si="3"/>
        <v>-1532683.7769522425</v>
      </c>
      <c r="J12" s="60">
        <f t="shared" si="3"/>
        <v>-1561140.8713434555</v>
      </c>
      <c r="K12" s="60">
        <f t="shared" si="3"/>
        <v>-1592202.4693276309</v>
      </c>
      <c r="L12" s="60">
        <f t="shared" si="3"/>
        <v>-1618376.0850451796</v>
      </c>
      <c r="M12" s="60">
        <f t="shared" si="3"/>
        <v>-1643753.7007178371</v>
      </c>
      <c r="N12" s="60">
        <f t="shared" si="3"/>
        <v>-1643777.9222951366</v>
      </c>
      <c r="O12" s="60">
        <f t="shared" si="3"/>
        <v>-1642809.5962025539</v>
      </c>
      <c r="P12" s="60">
        <f t="shared" si="3"/>
        <v>-1640761.7706208169</v>
      </c>
      <c r="Q12" s="60">
        <f t="shared" si="3"/>
        <v>-1637542.4796832837</v>
      </c>
      <c r="R12" s="60">
        <f t="shared" si="3"/>
        <v>-1633054.4214040292</v>
      </c>
      <c r="S12" s="60">
        <f t="shared" si="3"/>
        <v>-1627194.6139441228</v>
      </c>
      <c r="T12" s="60">
        <f t="shared" si="3"/>
        <v>-1619854.0290230145</v>
      </c>
      <c r="U12" s="60">
        <f t="shared" si="3"/>
        <v>-1610917.2011918905</v>
      </c>
      <c r="V12" s="60">
        <f t="shared" si="3"/>
        <v>-1600261.8115915249</v>
      </c>
      <c r="W12" s="60">
        <f t="shared" si="3"/>
        <v>-1587758.2447182359</v>
      </c>
      <c r="X12" s="60">
        <f t="shared" si="3"/>
        <v>-1573269.1166176698</v>
      </c>
      <c r="Y12" s="60">
        <f t="shared" si="3"/>
        <v>-1556648.7728168257</v>
      </c>
      <c r="Z12" s="60">
        <f t="shared" si="3"/>
        <v>-1537742.7541896116</v>
      </c>
      <c r="AA12" s="60">
        <f t="shared" si="3"/>
        <v>-1516387.228829874</v>
      </c>
      <c r="AB12" s="60">
        <f t="shared" si="3"/>
        <v>-1492408.387877699</v>
      </c>
      <c r="AC12" s="60">
        <f t="shared" si="3"/>
        <v>-1465621.8031095373</v>
      </c>
      <c r="AD12" s="60">
        <f t="shared" si="3"/>
        <v>-1435831.743959639</v>
      </c>
      <c r="AE12" s="60">
        <f t="shared" si="3"/>
        <v>-1402830.4514890555</v>
      </c>
      <c r="AF12" s="60">
        <f t="shared" si="3"/>
        <v>-1366397.3666583803</v>
      </c>
      <c r="AG12" s="60">
        <f t="shared" si="3"/>
        <v>-1312389.4254712027</v>
      </c>
      <c r="AH12" s="60">
        <f t="shared" si="3"/>
        <v>-1213737.5413438824</v>
      </c>
      <c r="AI12" s="60">
        <f t="shared" si="3"/>
        <v>-1118892.5681468109</v>
      </c>
      <c r="AJ12" s="60">
        <f t="shared" si="3"/>
        <v>-1027752.9980992571</v>
      </c>
      <c r="AK12" s="60">
        <f t="shared" si="3"/>
        <v>-940218.31650494901</v>
      </c>
      <c r="AL12" s="76">
        <f>SUMIF('23_Time'!$B$3:$AK$3, 1,B12:AK12)</f>
        <v>-17763521.415372808</v>
      </c>
      <c r="AM12" s="60">
        <f>SUMIF('23_Time'!$B$3:$AK$3, 2,B12:AK12)</f>
        <v>-19373849.980109103</v>
      </c>
      <c r="AN12" s="73">
        <f>SUMIF('23_Time'!$B$3:$AK$3, 3,B12:AK12)</f>
        <v>-15830210.585679902</v>
      </c>
    </row>
    <row r="13" spans="1:40" ht="15" thickBot="1" x14ac:dyDescent="0.35">
      <c r="A13" s="61" t="s">
        <v>212</v>
      </c>
      <c r="B13" s="62">
        <f>B12</f>
        <v>-1305480</v>
      </c>
      <c r="C13" s="62">
        <f>C12+B13</f>
        <v>-2642940.4457015875</v>
      </c>
      <c r="D13" s="62">
        <f t="shared" ref="D13:AK13" si="4">D12+C13</f>
        <v>-4012229.8309341045</v>
      </c>
      <c r="E13" s="62">
        <f t="shared" si="4"/>
        <v>-5413146.9012189396</v>
      </c>
      <c r="F13" s="62">
        <f t="shared" si="4"/>
        <v>-6845438.7607610673</v>
      </c>
      <c r="G13" s="62">
        <f t="shared" si="4"/>
        <v>-8312965.4777242709</v>
      </c>
      <c r="H13" s="62">
        <f t="shared" si="4"/>
        <v>-9815364.5119864605</v>
      </c>
      <c r="I13" s="62">
        <f t="shared" si="4"/>
        <v>-11348048.288938703</v>
      </c>
      <c r="J13" s="62">
        <f t="shared" si="4"/>
        <v>-12909189.160282159</v>
      </c>
      <c r="K13" s="62">
        <f t="shared" si="4"/>
        <v>-14501391.62960979</v>
      </c>
      <c r="L13" s="62">
        <f t="shared" si="4"/>
        <v>-16119767.714654969</v>
      </c>
      <c r="M13" s="62">
        <f t="shared" si="4"/>
        <v>-17763521.415372808</v>
      </c>
      <c r="N13" s="62">
        <f t="shared" si="4"/>
        <v>-19407299.337667946</v>
      </c>
      <c r="O13" s="62">
        <f t="shared" si="4"/>
        <v>-21050108.933870498</v>
      </c>
      <c r="P13" s="62">
        <f t="shared" si="4"/>
        <v>-22690870.704491314</v>
      </c>
      <c r="Q13" s="62">
        <f t="shared" si="4"/>
        <v>-24328413.184174597</v>
      </c>
      <c r="R13" s="62">
        <f t="shared" si="4"/>
        <v>-25961467.605578627</v>
      </c>
      <c r="S13" s="62">
        <f t="shared" si="4"/>
        <v>-27588662.219522752</v>
      </c>
      <c r="T13" s="62">
        <f t="shared" si="4"/>
        <v>-29208516.248545766</v>
      </c>
      <c r="U13" s="62">
        <f t="shared" si="4"/>
        <v>-30819433.449737657</v>
      </c>
      <c r="V13" s="62">
        <f t="shared" si="4"/>
        <v>-32419695.261329181</v>
      </c>
      <c r="W13" s="62">
        <f t="shared" si="4"/>
        <v>-34007453.50604742</v>
      </c>
      <c r="X13" s="62">
        <f t="shared" si="4"/>
        <v>-35580722.622665092</v>
      </c>
      <c r="Y13" s="62">
        <f t="shared" si="4"/>
        <v>-37137371.395481914</v>
      </c>
      <c r="Z13" s="62">
        <f t="shared" si="4"/>
        <v>-38675114.149671525</v>
      </c>
      <c r="AA13" s="62">
        <f t="shared" si="4"/>
        <v>-40191501.3785014</v>
      </c>
      <c r="AB13" s="62">
        <f t="shared" si="4"/>
        <v>-41683909.766379103</v>
      </c>
      <c r="AC13" s="62">
        <f t="shared" si="4"/>
        <v>-43149531.569488637</v>
      </c>
      <c r="AD13" s="62">
        <f t="shared" si="4"/>
        <v>-44585363.313448273</v>
      </c>
      <c r="AE13" s="62">
        <f t="shared" si="4"/>
        <v>-45988193.764937326</v>
      </c>
      <c r="AF13" s="62">
        <f t="shared" si="4"/>
        <v>-47354591.131595708</v>
      </c>
      <c r="AG13" s="62">
        <f t="shared" si="4"/>
        <v>-48666980.55706691</v>
      </c>
      <c r="AH13" s="62">
        <f t="shared" si="4"/>
        <v>-49880718.098410793</v>
      </c>
      <c r="AI13" s="62">
        <f t="shared" si="4"/>
        <v>-50999610.666557603</v>
      </c>
      <c r="AJ13" s="62">
        <f t="shared" si="4"/>
        <v>-52027363.664656863</v>
      </c>
      <c r="AK13" s="62">
        <f t="shared" si="4"/>
        <v>-52967581.98116181</v>
      </c>
      <c r="AL13" s="77">
        <f>M13</f>
        <v>-17763521.415372808</v>
      </c>
      <c r="AM13" s="62">
        <f>Y13</f>
        <v>-37137371.395481914</v>
      </c>
      <c r="AN13" s="74">
        <f>AK13</f>
        <v>-52967581.98116181</v>
      </c>
    </row>
    <row r="14" spans="1:40" x14ac:dyDescent="0.3">
      <c r="A14" s="97" t="s">
        <v>58</v>
      </c>
      <c r="B14" s="60">
        <f>IF(B13&lt;=0,0,B12*'37_Inputs_Tax'!$B$2)</f>
        <v>0</v>
      </c>
      <c r="C14" s="60">
        <f>IF(C13&lt;=0,0,C12*'37_Inputs_Tax'!$B$2)</f>
        <v>0</v>
      </c>
      <c r="D14" s="60">
        <f>IF(D13&lt;=0,0,D12*'37_Inputs_Tax'!$B$2)</f>
        <v>0</v>
      </c>
      <c r="E14" s="60">
        <f>IF(E13&lt;=0,0,E12*'37_Inputs_Tax'!$B$2)</f>
        <v>0</v>
      </c>
      <c r="F14" s="60">
        <f>IF(F13&lt;=0,0,F12*'37_Inputs_Tax'!$B$2)</f>
        <v>0</v>
      </c>
      <c r="G14" s="60">
        <f>IF(G13&lt;=0,0,G12*'37_Inputs_Tax'!$B$2)</f>
        <v>0</v>
      </c>
      <c r="H14" s="60">
        <f>IF(H13&lt;=0,0,H12*'37_Inputs_Tax'!$B$2)</f>
        <v>0</v>
      </c>
      <c r="I14" s="60">
        <f>IF(I13&lt;=0,0,I12*'37_Inputs_Tax'!$B$2)</f>
        <v>0</v>
      </c>
      <c r="J14" s="60">
        <f>IF(J13&lt;=0,0,J12*'37_Inputs_Tax'!$B$2)</f>
        <v>0</v>
      </c>
      <c r="K14" s="60">
        <f>IF(K13&lt;=0,0,K12*'37_Inputs_Tax'!$B$2)</f>
        <v>0</v>
      </c>
      <c r="L14" s="60">
        <f>IF(L13&lt;=0,0,L12*'37_Inputs_Tax'!$B$2)</f>
        <v>0</v>
      </c>
      <c r="M14" s="60">
        <f>IF(M13&lt;=0,0,M12*'37_Inputs_Tax'!$B$2)</f>
        <v>0</v>
      </c>
      <c r="N14" s="60">
        <f>IF(N13&lt;=0,0,N12*'37_Inputs_Tax'!$B$2)</f>
        <v>0</v>
      </c>
      <c r="O14" s="60">
        <f>IF(O13&lt;=0,0,O12*'37_Inputs_Tax'!$B$2)</f>
        <v>0</v>
      </c>
      <c r="P14" s="60">
        <f>IF(P13&lt;=0,0,P12*'37_Inputs_Tax'!$B$2)</f>
        <v>0</v>
      </c>
      <c r="Q14" s="60">
        <f>IF(Q13&lt;=0,0,Q12*'37_Inputs_Tax'!$B$2)</f>
        <v>0</v>
      </c>
      <c r="R14" s="60">
        <f>IF(R13&lt;=0,0,R12*'37_Inputs_Tax'!$B$2)</f>
        <v>0</v>
      </c>
      <c r="S14" s="60">
        <f>IF(S13&lt;=0,0,S12*'37_Inputs_Tax'!$B$2)</f>
        <v>0</v>
      </c>
      <c r="T14" s="60">
        <f>IF(T13&lt;=0,0,T12*'37_Inputs_Tax'!$B$2)</f>
        <v>0</v>
      </c>
      <c r="U14" s="60">
        <f>IF(U13&lt;=0,0,U12*'37_Inputs_Tax'!$B$2)</f>
        <v>0</v>
      </c>
      <c r="V14" s="60">
        <f>IF(V13&lt;=0,0,V12*'37_Inputs_Tax'!$B$2)</f>
        <v>0</v>
      </c>
      <c r="W14" s="60">
        <f>IF(W13&lt;=0,0,W12*'37_Inputs_Tax'!$B$2)</f>
        <v>0</v>
      </c>
      <c r="X14" s="60">
        <f>IF(X13&lt;=0,0,X12*'37_Inputs_Tax'!$B$2)</f>
        <v>0</v>
      </c>
      <c r="Y14" s="60">
        <f>IF(Y13&lt;=0,0,Y12*'37_Inputs_Tax'!$B$2)</f>
        <v>0</v>
      </c>
      <c r="Z14" s="60">
        <f>IF(Z13&lt;=0,0,Z12*'37_Inputs_Tax'!$B$2)</f>
        <v>0</v>
      </c>
      <c r="AA14" s="60">
        <f>IF(AA13&lt;=0,0,AA12*'37_Inputs_Tax'!$B$2)</f>
        <v>0</v>
      </c>
      <c r="AB14" s="60">
        <f>IF(AB13&lt;=0,0,AB12*'37_Inputs_Tax'!$B$2)</f>
        <v>0</v>
      </c>
      <c r="AC14" s="60">
        <f>IF(AC13&lt;=0,0,AC12*'37_Inputs_Tax'!$B$2)</f>
        <v>0</v>
      </c>
      <c r="AD14" s="60">
        <f>IF(AD13&lt;=0,0,AD12*'37_Inputs_Tax'!$B$2)</f>
        <v>0</v>
      </c>
      <c r="AE14" s="60">
        <f>IF(AE13&lt;=0,0,AE12*'37_Inputs_Tax'!$B$2)</f>
        <v>0</v>
      </c>
      <c r="AF14" s="60">
        <f>IF(AF13&lt;=0,0,AF12*'37_Inputs_Tax'!$B$2)</f>
        <v>0</v>
      </c>
      <c r="AG14" s="60">
        <f>IF(AG13&lt;=0,0,AG12*'37_Inputs_Tax'!$B$2)</f>
        <v>0</v>
      </c>
      <c r="AH14" s="60">
        <f>IF(AH13&lt;=0,0,AH12*'37_Inputs_Tax'!$B$2)</f>
        <v>0</v>
      </c>
      <c r="AI14" s="60">
        <f>IF(AI13&lt;=0,0,AI12*'37_Inputs_Tax'!$B$2)</f>
        <v>0</v>
      </c>
      <c r="AJ14" s="60">
        <f>IF(AJ13&lt;=0,0,AJ12*'37_Inputs_Tax'!$B$2)</f>
        <v>0</v>
      </c>
      <c r="AK14" s="60">
        <f>IF(AK13&lt;=0,0,AK12*'37_Inputs_Tax'!$B$2)</f>
        <v>0</v>
      </c>
      <c r="AL14" s="76">
        <f>SUMIF('23_Time'!$B$3:$AK$3, 1,B14:AK14)</f>
        <v>0</v>
      </c>
      <c r="AM14" s="60">
        <f>SUMIF('23_Time'!$B$3:$AK$3, 2,B14:AK14)</f>
        <v>0</v>
      </c>
      <c r="AN14" s="73">
        <f>SUMIF('23_Time'!$B$3:$AK$3, 3,B14:AK14)</f>
        <v>0</v>
      </c>
    </row>
    <row r="15" spans="1:40" ht="15" thickBot="1" x14ac:dyDescent="0.35">
      <c r="A15" s="100" t="s">
        <v>63</v>
      </c>
      <c r="B15" s="133">
        <f>B12-B14</f>
        <v>-1305480</v>
      </c>
      <c r="C15" s="133">
        <f t="shared" ref="C15:AK15" si="5">C12-C14</f>
        <v>-1337460.4457015875</v>
      </c>
      <c r="D15" s="133">
        <f t="shared" si="5"/>
        <v>-1369289.3852325168</v>
      </c>
      <c r="E15" s="133">
        <f t="shared" si="5"/>
        <v>-1400917.0702848351</v>
      </c>
      <c r="F15" s="133">
        <f t="shared" si="5"/>
        <v>-1432291.8595421279</v>
      </c>
      <c r="G15" s="133">
        <f t="shared" si="5"/>
        <v>-1467526.7169632041</v>
      </c>
      <c r="H15" s="133">
        <f t="shared" si="5"/>
        <v>-1502399.0342621906</v>
      </c>
      <c r="I15" s="133">
        <f t="shared" si="5"/>
        <v>-1532683.7769522425</v>
      </c>
      <c r="J15" s="133">
        <f t="shared" si="5"/>
        <v>-1561140.8713434555</v>
      </c>
      <c r="K15" s="133">
        <f t="shared" si="5"/>
        <v>-1592202.4693276309</v>
      </c>
      <c r="L15" s="133">
        <f t="shared" si="5"/>
        <v>-1618376.0850451796</v>
      </c>
      <c r="M15" s="133">
        <f t="shared" si="5"/>
        <v>-1643753.7007178371</v>
      </c>
      <c r="N15" s="133">
        <f t="shared" si="5"/>
        <v>-1643777.9222951366</v>
      </c>
      <c r="O15" s="133">
        <f t="shared" si="5"/>
        <v>-1642809.5962025539</v>
      </c>
      <c r="P15" s="133">
        <f t="shared" si="5"/>
        <v>-1640761.7706208169</v>
      </c>
      <c r="Q15" s="133">
        <f t="shared" si="5"/>
        <v>-1637542.4796832837</v>
      </c>
      <c r="R15" s="133">
        <f t="shared" si="5"/>
        <v>-1633054.4214040292</v>
      </c>
      <c r="S15" s="133">
        <f t="shared" si="5"/>
        <v>-1627194.6139441228</v>
      </c>
      <c r="T15" s="133">
        <f t="shared" si="5"/>
        <v>-1619854.0290230145</v>
      </c>
      <c r="U15" s="133">
        <f t="shared" si="5"/>
        <v>-1610917.2011918905</v>
      </c>
      <c r="V15" s="133">
        <f t="shared" si="5"/>
        <v>-1600261.8115915249</v>
      </c>
      <c r="W15" s="133">
        <f t="shared" si="5"/>
        <v>-1587758.2447182359</v>
      </c>
      <c r="X15" s="133">
        <f t="shared" si="5"/>
        <v>-1573269.1166176698</v>
      </c>
      <c r="Y15" s="133">
        <f t="shared" si="5"/>
        <v>-1556648.7728168257</v>
      </c>
      <c r="Z15" s="133">
        <f t="shared" si="5"/>
        <v>-1537742.7541896116</v>
      </c>
      <c r="AA15" s="133">
        <f t="shared" si="5"/>
        <v>-1516387.228829874</v>
      </c>
      <c r="AB15" s="133">
        <f t="shared" si="5"/>
        <v>-1492408.387877699</v>
      </c>
      <c r="AC15" s="133">
        <f t="shared" si="5"/>
        <v>-1465621.8031095373</v>
      </c>
      <c r="AD15" s="133">
        <f t="shared" si="5"/>
        <v>-1435831.743959639</v>
      </c>
      <c r="AE15" s="133">
        <f t="shared" si="5"/>
        <v>-1402830.4514890555</v>
      </c>
      <c r="AF15" s="133">
        <f t="shared" si="5"/>
        <v>-1366397.3666583803</v>
      </c>
      <c r="AG15" s="133">
        <f t="shared" si="5"/>
        <v>-1312389.4254712027</v>
      </c>
      <c r="AH15" s="133">
        <f t="shared" si="5"/>
        <v>-1213737.5413438824</v>
      </c>
      <c r="AI15" s="133">
        <f t="shared" si="5"/>
        <v>-1118892.5681468109</v>
      </c>
      <c r="AJ15" s="133">
        <f t="shared" si="5"/>
        <v>-1027752.9980992571</v>
      </c>
      <c r="AK15" s="133">
        <f t="shared" si="5"/>
        <v>-940218.31650494901</v>
      </c>
      <c r="AL15" s="134">
        <f>SUMIF('23_Time'!$B$3:$AK$3, 1,B15:AK15)</f>
        <v>-17763521.415372808</v>
      </c>
      <c r="AM15" s="133">
        <f>SUMIF('23_Time'!$B$3:$AK$3, 2,B15:AK15)</f>
        <v>-19373849.980109103</v>
      </c>
      <c r="AN15" s="135">
        <f>SUMIF('23_Time'!$B$3:$AK$3, 3,B15:AK15)</f>
        <v>-15830210.585679902</v>
      </c>
    </row>
  </sheetData>
  <pageMargins left="0.7" right="0.7" top="0.75" bottom="0.75" header="0.3" footer="0.3"/>
  <ignoredErrors>
    <ignoredError sqref="A2:AN1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9353-00A7-4DFE-9C34-2BB125AAF5B1}">
  <dimension ref="A1:AN12"/>
  <sheetViews>
    <sheetView workbookViewId="0">
      <pane xSplit="1" topLeftCell="AK1" activePane="topRight" state="frozen"/>
      <selection pane="topRight" activeCell="K9" sqref="K9"/>
    </sheetView>
  </sheetViews>
  <sheetFormatPr defaultRowHeight="14.4" x14ac:dyDescent="0.3"/>
  <cols>
    <col min="1" max="1" width="23.88671875" bestFit="1" customWidth="1"/>
    <col min="2" max="6" width="13.109375" bestFit="1" customWidth="1"/>
    <col min="7" max="7" width="14.109375" bestFit="1" customWidth="1"/>
    <col min="8" max="9" width="13.109375" bestFit="1" customWidth="1"/>
    <col min="10" max="10" width="14.109375" bestFit="1" customWidth="1"/>
    <col min="11" max="37" width="13.109375" bestFit="1" customWidth="1"/>
    <col min="38" max="39" width="14.109375" bestFit="1" customWidth="1"/>
    <col min="40" max="40" width="13.109375" bestFit="1" customWidth="1"/>
  </cols>
  <sheetData>
    <row r="1" spans="1:40" ht="15" thickBot="1" x14ac:dyDescent="0.35">
      <c r="A1" s="95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  <c r="AL1" s="58"/>
      <c r="AM1" s="58"/>
    </row>
    <row r="2" spans="1:40" ht="15" thickBot="1" x14ac:dyDescent="0.35">
      <c r="A2" s="96" t="str">
        <v>Month Label</v>
      </c>
      <c r="B2" s="63" t="str">
        <v>M1</v>
      </c>
      <c r="C2" s="63" t="str">
        <v>M2</v>
      </c>
      <c r="D2" s="63" t="str">
        <v>M3</v>
      </c>
      <c r="E2" s="63" t="str">
        <v>M4</v>
      </c>
      <c r="F2" s="63" t="str">
        <v>M5</v>
      </c>
      <c r="G2" s="63" t="str">
        <v>M6</v>
      </c>
      <c r="H2" s="63" t="str">
        <v>M7</v>
      </c>
      <c r="I2" s="63" t="str">
        <v>M8</v>
      </c>
      <c r="J2" s="63" t="str">
        <v>M9</v>
      </c>
      <c r="K2" s="63" t="str">
        <v>M10</v>
      </c>
      <c r="L2" s="63" t="str">
        <v>M11</v>
      </c>
      <c r="M2" s="63" t="str">
        <v>M12</v>
      </c>
      <c r="N2" s="63" t="str">
        <v>M13</v>
      </c>
      <c r="O2" s="63" t="str">
        <v>M14</v>
      </c>
      <c r="P2" s="63" t="str">
        <v>M15</v>
      </c>
      <c r="Q2" s="63" t="str">
        <v>M16</v>
      </c>
      <c r="R2" s="63" t="str">
        <v>M17</v>
      </c>
      <c r="S2" s="63" t="str">
        <v>M18</v>
      </c>
      <c r="T2" s="63" t="str">
        <v>M19</v>
      </c>
      <c r="U2" s="63" t="str">
        <v>M20</v>
      </c>
      <c r="V2" s="63" t="str">
        <v>M21</v>
      </c>
      <c r="W2" s="63" t="str">
        <v>M22</v>
      </c>
      <c r="X2" s="63" t="str">
        <v>M23</v>
      </c>
      <c r="Y2" s="63" t="str">
        <v>M24</v>
      </c>
      <c r="Z2" s="63" t="str">
        <v>M25</v>
      </c>
      <c r="AA2" s="63" t="str">
        <v>M26</v>
      </c>
      <c r="AB2" s="63" t="str">
        <v>M27</v>
      </c>
      <c r="AC2" s="63" t="str">
        <v>M28</v>
      </c>
      <c r="AD2" s="63" t="str">
        <v>M29</v>
      </c>
      <c r="AE2" s="63" t="str">
        <v>M30</v>
      </c>
      <c r="AF2" s="63" t="str">
        <v>M31</v>
      </c>
      <c r="AG2" s="63" t="str">
        <v>M32</v>
      </c>
      <c r="AH2" s="63" t="str">
        <v>M33</v>
      </c>
      <c r="AI2" s="63" t="str">
        <v>M34</v>
      </c>
      <c r="AJ2" s="63" t="str">
        <v>M35</v>
      </c>
      <c r="AK2" s="63" t="str">
        <v>M36</v>
      </c>
      <c r="AL2" s="56" t="s">
        <v>74</v>
      </c>
      <c r="AM2" s="58" t="s">
        <v>75</v>
      </c>
      <c r="AN2" s="69" t="s">
        <v>76</v>
      </c>
    </row>
    <row r="3" spans="1:40" x14ac:dyDescent="0.3">
      <c r="A3" s="95" t="s">
        <v>63</v>
      </c>
      <c r="B3" s="57">
        <f>'10_Income_Statement'!B15</f>
        <v>-1305480</v>
      </c>
      <c r="C3" s="57">
        <f>'10_Income_Statement'!C15</f>
        <v>-1337460.4457015875</v>
      </c>
      <c r="D3" s="57">
        <f>'10_Income_Statement'!D15</f>
        <v>-1369289.3852325168</v>
      </c>
      <c r="E3" s="57">
        <f>'10_Income_Statement'!E15</f>
        <v>-1400917.0702848351</v>
      </c>
      <c r="F3" s="57">
        <f>'10_Income_Statement'!F15</f>
        <v>-1432291.8595421279</v>
      </c>
      <c r="G3" s="57">
        <f>'10_Income_Statement'!G15</f>
        <v>-1467526.7169632041</v>
      </c>
      <c r="H3" s="57">
        <f>'10_Income_Statement'!H15</f>
        <v>-1502399.0342621906</v>
      </c>
      <c r="I3" s="57">
        <f>'10_Income_Statement'!I15</f>
        <v>-1532683.7769522425</v>
      </c>
      <c r="J3" s="57">
        <f>'10_Income_Statement'!J15</f>
        <v>-1561140.8713434555</v>
      </c>
      <c r="K3" s="57">
        <f>'10_Income_Statement'!K15</f>
        <v>-1592202.4693276309</v>
      </c>
      <c r="L3" s="57">
        <f>'10_Income_Statement'!L15</f>
        <v>-1618376.0850451796</v>
      </c>
      <c r="M3" s="57">
        <f>'10_Income_Statement'!M15</f>
        <v>-1643753.7007178371</v>
      </c>
      <c r="N3" s="57">
        <f>'10_Income_Statement'!N15</f>
        <v>-1643777.9222951366</v>
      </c>
      <c r="O3" s="57">
        <f>'10_Income_Statement'!O15</f>
        <v>-1642809.5962025539</v>
      </c>
      <c r="P3" s="57">
        <f>'10_Income_Statement'!P15</f>
        <v>-1640761.7706208169</v>
      </c>
      <c r="Q3" s="57">
        <f>'10_Income_Statement'!Q15</f>
        <v>-1637542.4796832837</v>
      </c>
      <c r="R3" s="57">
        <f>'10_Income_Statement'!R15</f>
        <v>-1633054.4214040292</v>
      </c>
      <c r="S3" s="57">
        <f>'10_Income_Statement'!S15</f>
        <v>-1627194.6139441228</v>
      </c>
      <c r="T3" s="57">
        <f>'10_Income_Statement'!T15</f>
        <v>-1619854.0290230145</v>
      </c>
      <c r="U3" s="57">
        <f>'10_Income_Statement'!U15</f>
        <v>-1610917.2011918905</v>
      </c>
      <c r="V3" s="57">
        <f>'10_Income_Statement'!V15</f>
        <v>-1600261.8115915249</v>
      </c>
      <c r="W3" s="57">
        <f>'10_Income_Statement'!W15</f>
        <v>-1587758.2447182359</v>
      </c>
      <c r="X3" s="57">
        <f>'10_Income_Statement'!X15</f>
        <v>-1573269.1166176698</v>
      </c>
      <c r="Y3" s="57">
        <f>'10_Income_Statement'!Y15</f>
        <v>-1556648.7728168257</v>
      </c>
      <c r="Z3" s="57">
        <f>'10_Income_Statement'!Z15</f>
        <v>-1537742.7541896116</v>
      </c>
      <c r="AA3" s="57">
        <f>'10_Income_Statement'!AA15</f>
        <v>-1516387.228829874</v>
      </c>
      <c r="AB3" s="57">
        <f>'10_Income_Statement'!AB15</f>
        <v>-1492408.387877699</v>
      </c>
      <c r="AC3" s="57">
        <f>'10_Income_Statement'!AC15</f>
        <v>-1465621.8031095373</v>
      </c>
      <c r="AD3" s="57">
        <f>'10_Income_Statement'!AD15</f>
        <v>-1435831.743959639</v>
      </c>
      <c r="AE3" s="57">
        <f>'10_Income_Statement'!AE15</f>
        <v>-1402830.4514890555</v>
      </c>
      <c r="AF3" s="57">
        <f>'10_Income_Statement'!AF15</f>
        <v>-1366397.3666583803</v>
      </c>
      <c r="AG3" s="57">
        <f>'10_Income_Statement'!AG15</f>
        <v>-1312389.4254712027</v>
      </c>
      <c r="AH3" s="57">
        <f>'10_Income_Statement'!AH15</f>
        <v>-1213737.5413438824</v>
      </c>
      <c r="AI3" s="57">
        <f>'10_Income_Statement'!AI15</f>
        <v>-1118892.5681468109</v>
      </c>
      <c r="AJ3" s="57">
        <f>'10_Income_Statement'!AJ15</f>
        <v>-1027752.9980992571</v>
      </c>
      <c r="AK3" s="57">
        <f>'10_Income_Statement'!AK15</f>
        <v>-940218.31650494901</v>
      </c>
      <c r="AL3" s="75">
        <f>SUMIF('23_Time'!$B$3:$AK$3, 1,B3:AK3)</f>
        <v>-17763521.415372808</v>
      </c>
      <c r="AM3" s="57">
        <f>SUMIF('23_Time'!$B$3:$AK$3, 2,B3:AK3)</f>
        <v>-19373849.980109103</v>
      </c>
      <c r="AN3" s="72">
        <f>SUMIF('23_Time'!$B$3:$AK$3, 3,B3:AK3)</f>
        <v>-15830210.585679902</v>
      </c>
    </row>
    <row r="4" spans="1:40" x14ac:dyDescent="0.3">
      <c r="A4" s="97" t="s">
        <v>189</v>
      </c>
      <c r="B4" s="110">
        <f>'10_Income_Statement'!B9</f>
        <v>0</v>
      </c>
      <c r="C4" s="110">
        <f>'10_Income_Statement'!C9</f>
        <v>1660.4444444444443</v>
      </c>
      <c r="D4" s="110">
        <f>'10_Income_Statement'!D9</f>
        <v>3343.7654320987654</v>
      </c>
      <c r="E4" s="110">
        <f>'10_Income_Statement'!E9</f>
        <v>5049.3275034293556</v>
      </c>
      <c r="F4" s="110">
        <f>'10_Income_Statement'!F9</f>
        <v>6776.512850556318</v>
      </c>
      <c r="G4" s="110">
        <f>'10_Income_Statement'!G9</f>
        <v>8524.7208269297553</v>
      </c>
      <c r="H4" s="110">
        <f>'10_Income_Statement'!H9</f>
        <v>10293.36747062615</v>
      </c>
      <c r="I4" s="110">
        <f>'10_Income_Statement'!I9</f>
        <v>12081.885040886535</v>
      </c>
      <c r="J4" s="110">
        <f>'10_Income_Statement'!J9</f>
        <v>13889.721567528575</v>
      </c>
      <c r="K4" s="110">
        <f>'10_Income_Statement'!K9</f>
        <v>15716.340412875003</v>
      </c>
      <c r="L4" s="110">
        <f>'10_Income_Statement'!L9</f>
        <v>17561.219845850697</v>
      </c>
      <c r="M4" s="110">
        <f>'10_Income_Statement'!M9</f>
        <v>19423.852627910397</v>
      </c>
      <c r="N4" s="110">
        <f>'10_Income_Statement'!N9</f>
        <v>21303.745610468442</v>
      </c>
      <c r="O4" s="110">
        <f>'10_Income_Statement'!O9</f>
        <v>23165.919343510985</v>
      </c>
      <c r="P4" s="110">
        <f>'10_Income_Statement'!P9</f>
        <v>25010.866028413457</v>
      </c>
      <c r="Q4" s="110">
        <f>'10_Income_Statement'!Q9</f>
        <v>26839.064194290862</v>
      </c>
      <c r="R4" s="110">
        <f>'10_Income_Statement'!R9</f>
        <v>28650.979077782777</v>
      </c>
      <c r="S4" s="110">
        <f>'10_Income_Statement'!S9</f>
        <v>30447.062992288815</v>
      </c>
      <c r="T4" s="110">
        <f>'10_Income_Statement'!T9</f>
        <v>32227.755686947461</v>
      </c>
      <c r="U4" s="110">
        <f>'10_Income_Statement'!U9</f>
        <v>33993.484695643368</v>
      </c>
      <c r="V4" s="110">
        <f>'10_Income_Statement'!V9</f>
        <v>35744.665676319935</v>
      </c>
      <c r="W4" s="110">
        <f>'10_Income_Statement'!W9</f>
        <v>37481.702740866604</v>
      </c>
      <c r="X4" s="110">
        <f>'10_Income_Statement'!X9</f>
        <v>39204.988775842532</v>
      </c>
      <c r="Y4" s="110">
        <f>'10_Income_Statement'!Y9</f>
        <v>40914.905754291343</v>
      </c>
      <c r="Z4" s="110">
        <f>'10_Income_Statement'!Z9</f>
        <v>42611.825038894363</v>
      </c>
      <c r="AA4" s="110">
        <f>'10_Income_Statement'!AA9</f>
        <v>44296.10767670285</v>
      </c>
      <c r="AB4" s="110">
        <f>'10_Income_Statement'!AB9</f>
        <v>45968.104685683335</v>
      </c>
      <c r="AC4" s="110">
        <f>'10_Income_Statement'!AC9</f>
        <v>47628.157333303243</v>
      </c>
      <c r="AD4" s="110">
        <f>'10_Income_Statement'!AD9</f>
        <v>49276.597407378147</v>
      </c>
      <c r="AE4" s="110">
        <f>'10_Income_Statement'!AE9</f>
        <v>50913.747479395424</v>
      </c>
      <c r="AF4" s="110">
        <f>'10_Income_Statement'!AF9</f>
        <v>52539.921160523321</v>
      </c>
      <c r="AG4" s="110">
        <f>'10_Income_Statement'!AG9</f>
        <v>54155.42335050879</v>
      </c>
      <c r="AH4" s="110">
        <f>'10_Income_Statement'!AH9</f>
        <v>55760.550479661324</v>
      </c>
      <c r="AI4" s="110">
        <f>'10_Income_Statement'!AI9</f>
        <v>57355.590744115179</v>
      </c>
      <c r="AJ4" s="110">
        <f>'10_Income_Statement'!AJ9</f>
        <v>58940.824334556411</v>
      </c>
      <c r="AK4" s="110">
        <f>'10_Income_Statement'!AK9</f>
        <v>60516.523658596518</v>
      </c>
      <c r="AL4" s="76">
        <f>SUMIF('23_Time'!$B$3:$AK$3, 1,B4:AK4)</f>
        <v>114321.15802313598</v>
      </c>
      <c r="AM4" s="60">
        <f>SUMIF('23_Time'!$B$3:$AK$3, 2,B4:AK4)</f>
        <v>374985.14057666657</v>
      </c>
      <c r="AN4" s="73">
        <f>SUMIF('23_Time'!$B$3:$AK$3, 3,B4:AK4)</f>
        <v>619963.37334931886</v>
      </c>
    </row>
    <row r="5" spans="1:40" x14ac:dyDescent="0.3">
      <c r="A5" s="97" t="s">
        <v>204</v>
      </c>
      <c r="B5" s="60">
        <f>-'44_Working_Capital'!B7</f>
        <v>-15844</v>
      </c>
      <c r="C5" s="60">
        <f>'44_Working_Capital'!B7-'44_Working_Capital'!C7</f>
        <v>-16241.763619999994</v>
      </c>
      <c r="D5" s="60">
        <f>'44_Working_Capital'!C7-'44_Working_Capital'!D7</f>
        <v>-16682.685678480095</v>
      </c>
      <c r="E5" s="60">
        <f>'44_Working_Capital'!D7-'44_Working_Capital'!E7</f>
        <v>-17168.682465729536</v>
      </c>
      <c r="F5" s="60">
        <f>'44_Working_Capital'!E7-'44_Working_Capital'!F7</f>
        <v>-17701.808741327899</v>
      </c>
      <c r="G5" s="60">
        <f>'44_Working_Capital'!F7-'44_Working_Capital'!G7</f>
        <v>-18284.265222553702</v>
      </c>
      <c r="H5" s="60">
        <f>'44_Working_Capital'!G7-'44_Working_Capital'!H7</f>
        <v>-18918.406550702304</v>
      </c>
      <c r="I5" s="60">
        <f>'44_Working_Capital'!H7-'44_Working_Capital'!I7</f>
        <v>-19606.749762990599</v>
      </c>
      <c r="J5" s="60">
        <f>'44_Working_Capital'!I7-'44_Working_Capital'!J7</f>
        <v>-22556.949408281944</v>
      </c>
      <c r="K5" s="60">
        <f>'44_Working_Capital'!J7-'44_Working_Capital'!K7</f>
        <v>-22101.851544864738</v>
      </c>
      <c r="L5" s="60">
        <f>'44_Working_Capital'!K7-'44_Working_Capital'!L7</f>
        <v>-23013.150397847436</v>
      </c>
      <c r="M5" s="60">
        <f>'44_Working_Capital'!L7-'44_Working_Capital'!M7</f>
        <v>-23992.339750999905</v>
      </c>
      <c r="N5" s="60">
        <f>'44_Working_Capital'!M7-'44_Working_Capital'!N7</f>
        <v>-25043.137173747004</v>
      </c>
      <c r="O5" s="60">
        <f>'44_Working_Capital'!N7-'44_Working_Capital'!O7</f>
        <v>-26169.486941433104</v>
      </c>
      <c r="P5" s="60">
        <f>'44_Working_Capital'!O7-'44_Working_Capital'!P7</f>
        <v>-27375.574240749993</v>
      </c>
      <c r="Q5" s="60">
        <f>'44_Working_Capital'!P7-'44_Working_Capital'!Q7</f>
        <v>-28665.840145570051</v>
      </c>
      <c r="R5" s="60">
        <f>'44_Working_Capital'!Q7-'44_Working_Capital'!R7</f>
        <v>-30044.997417342849</v>
      </c>
      <c r="S5" s="60">
        <f>'44_Working_Capital'!R7-'44_Working_Capital'!S7</f>
        <v>-31518.047186758486</v>
      </c>
      <c r="T5" s="60">
        <f>'44_Working_Capital'!S7-'44_Working_Capital'!T7</f>
        <v>-33090.296576148248</v>
      </c>
      <c r="U5" s="60">
        <f>'44_Working_Capital'!T7-'44_Working_Capital'!U7</f>
        <v>-34767.377325072361</v>
      </c>
      <c r="V5" s="60">
        <f>'44_Working_Capital'!U7-'44_Working_Capital'!V7</f>
        <v>-36555.26548475679</v>
      </c>
      <c r="W5" s="60">
        <f>'44_Working_Capital'!V7-'44_Working_Capital'!W7</f>
        <v>-38460.302250494831</v>
      </c>
      <c r="X5" s="60">
        <f>'44_Working_Capital'!W7-'44_Working_Capital'!X7</f>
        <v>-40489.216004822403</v>
      </c>
      <c r="Y5" s="60">
        <f>'44_Working_Capital'!X7-'44_Working_Capital'!Y7</f>
        <v>-42649.145648245234</v>
      </c>
      <c r="Z5" s="60">
        <f>'44_Working_Capital'!Y7-'44_Working_Capital'!Z7</f>
        <v>-44947.665298513952</v>
      </c>
      <c r="AA5" s="60">
        <f>'44_Working_Capital'!Z7-'44_Working_Capital'!AA7</f>
        <v>-47392.810443977825</v>
      </c>
      <c r="AB5" s="60">
        <f>'44_Working_Capital'!AA7-'44_Working_Capital'!AB7</f>
        <v>-49993.105641357834</v>
      </c>
      <c r="AC5" s="60">
        <f>'44_Working_Capital'!AB7-'44_Working_Capital'!AC7</f>
        <v>-52757.593853414757</v>
      </c>
      <c r="AD5" s="60">
        <f>'44_Working_Capital'!AC7-'44_Working_Capital'!AD7</f>
        <v>-55695.867527461145</v>
      </c>
      <c r="AE5" s="60">
        <f>'44_Working_Capital'!AD7-'44_Working_Capital'!AE7</f>
        <v>-58818.101521476521</v>
      </c>
      <c r="AF5" s="60">
        <f>'44_Working_Capital'!AE7-'44_Working_Capital'!AF7</f>
        <v>-62135.087990791304</v>
      </c>
      <c r="AG5" s="60">
        <f>'44_Working_Capital'!AF7-'44_Working_Capital'!AG7</f>
        <v>-64243.266016841633</v>
      </c>
      <c r="AH5" s="60">
        <f>'44_Working_Capital'!AG7-'44_Working_Capital'!AH7</f>
        <v>-62161.528960403753</v>
      </c>
      <c r="AI5" s="60">
        <f>'44_Working_Capital'!AH7-'44_Working_Capital'!AI7</f>
        <v>-60139.098142615287</v>
      </c>
      <c r="AJ5" s="60">
        <f>'44_Working_Capital'!AI7-'44_Working_Capital'!AJ7</f>
        <v>-58175.015403608093</v>
      </c>
      <c r="AK5" s="60">
        <f>'44_Working_Capital'!AJ7-'44_Working_Capital'!AK7</f>
        <v>-56268.263407553313</v>
      </c>
      <c r="AL5" s="76">
        <f>SUMIF('23_Time'!$B$3:$AK$3, 1,B5:AK5)</f>
        <v>-232112.65314377815</v>
      </c>
      <c r="AM5" s="60">
        <f>SUMIF('23_Time'!$B$3:$AK$3, 2,B5:AK5)</f>
        <v>-394828.68639514135</v>
      </c>
      <c r="AN5" s="73">
        <f>SUMIF('23_Time'!$B$3:$AK$3, 3,B5:AK5)</f>
        <v>-672727.40420801542</v>
      </c>
    </row>
    <row r="6" spans="1:40" x14ac:dyDescent="0.3">
      <c r="A6" s="97" t="s">
        <v>205</v>
      </c>
      <c r="B6" s="60">
        <f>'44_Working_Capital'!B8</f>
        <v>4462.5</v>
      </c>
      <c r="C6" s="60">
        <f>'44_Working_Capital'!C8-'44_Working_Capital'!B8</f>
        <v>4574.5310625000002</v>
      </c>
      <c r="D6" s="60">
        <f>'44_Working_Capital'!D8-'44_Working_Capital'!C8</f>
        <v>4698.7178010740627</v>
      </c>
      <c r="E6" s="60">
        <f>'44_Working_Capital'!E8-'44_Working_Capital'!D8</f>
        <v>4835.5999434055811</v>
      </c>
      <c r="F6" s="60">
        <f>'44_Working_Capital'!F8-'44_Working_Capital'!E8</f>
        <v>4985.7562173804436</v>
      </c>
      <c r="G6" s="60">
        <f>'44_Working_Capital'!G8-'44_Working_Capital'!F8</f>
        <v>5149.8064602149607</v>
      </c>
      <c r="H6" s="60">
        <f>'44_Working_Capital'!H8-'44_Working_Capital'!G8</f>
        <v>5328.4138621881539</v>
      </c>
      <c r="I6" s="60">
        <f>'44_Working_Capital'!I8-'44_Working_Capital'!H8</f>
        <v>5522.2873527736519</v>
      </c>
      <c r="J6" s="60">
        <f>'44_Working_Capital'!J8-'44_Working_Capital'!I8</f>
        <v>5732.1841374435462</v>
      </c>
      <c r="K6" s="60">
        <f>'44_Working_Capital'!K8-'44_Working_Capital'!J8</f>
        <v>5958.9123939230849</v>
      </c>
      <c r="L6" s="60">
        <f>'44_Working_Capital'!L8-'44_Working_Capital'!K8</f>
        <v>6203.3341372101131</v>
      </c>
      <c r="M6" s="60">
        <f>'44_Working_Capital'!M8-'44_Working_Capital'!L8</f>
        <v>6466.3682632415075</v>
      </c>
      <c r="N6" s="60">
        <f>'44_Working_Capital'!N8-'44_Working_Capital'!M8</f>
        <v>6748.9937816900201</v>
      </c>
      <c r="O6" s="60">
        <f>'44_Working_Capital'!O8-'44_Working_Capital'!N8</f>
        <v>7052.2532490119193</v>
      </c>
      <c r="P6" s="60">
        <f>'44_Working_Capital'!P8-'44_Working_Capital'!O8</f>
        <v>7377.256413541676</v>
      </c>
      <c r="Q6" s="60">
        <f>'44_Working_Capital'!Q8-'44_Working_Capital'!P8</f>
        <v>7725.1840851443558</v>
      </c>
      <c r="R6" s="60">
        <f>'44_Working_Capital'!R8-'44_Working_Capital'!Q8</f>
        <v>8097.2922426956793</v>
      </c>
      <c r="S6" s="60">
        <f>'44_Working_Capital'!S8-'44_Working_Capital'!R8</f>
        <v>8494.9163934613898</v>
      </c>
      <c r="T6" s="60">
        <f>'44_Working_Capital'!T8-'44_Working_Capital'!S8</f>
        <v>8919.4761993006541</v>
      </c>
      <c r="U6" s="60">
        <f>'44_Working_Capital'!U8-'44_Working_Capital'!T8</f>
        <v>9372.4803855184582</v>
      </c>
      <c r="V6" s="60">
        <f>'44_Working_Capital'!V8-'44_Working_Capital'!U8</f>
        <v>9855.5319491497357</v>
      </c>
      <c r="W6" s="60">
        <f>'44_Working_Capital'!W8-'44_Working_Capital'!V8</f>
        <v>10370.333684469195</v>
      </c>
      <c r="X6" s="60">
        <f>'44_Working_Capital'!X8-'44_Working_Capital'!W8</f>
        <v>10918.694044595672</v>
      </c>
      <c r="Y6" s="60">
        <f>'44_Working_Capital'!Y8-'44_Working_Capital'!X8</f>
        <v>11502.533359198365</v>
      </c>
      <c r="Z6" s="60">
        <f>'44_Working_Capital'!Z8-'44_Working_Capital'!Y8</f>
        <v>12123.890429515333</v>
      </c>
      <c r="AA6" s="60">
        <f>'44_Working_Capital'!AA8-'44_Working_Capital'!Z8</f>
        <v>12784.929523176776</v>
      </c>
      <c r="AB6" s="60">
        <f>'44_Working_Capital'!AB8-'44_Working_Capital'!AA8</f>
        <v>13487.94779267683</v>
      </c>
      <c r="AC6" s="60">
        <f>'44_Working_Capital'!AC8-'44_Working_Capital'!AB8</f>
        <v>14235.383142775303</v>
      </c>
      <c r="AD6" s="60">
        <f>'44_Working_Capital'!AD8-'44_Working_Capital'!AC8</f>
        <v>15029.822573631682</v>
      </c>
      <c r="AE6" s="60">
        <f>'44_Working_Capital'!AE8-'44_Working_Capital'!AD8</f>
        <v>15874.011028085602</v>
      </c>
      <c r="AF6" s="60">
        <f>'44_Working_Capital'!AF8-'44_Working_Capital'!AE8</f>
        <v>16770.860773211025</v>
      </c>
      <c r="AG6" s="60">
        <f>'44_Working_Capital'!AG8-'44_Working_Capital'!AF8</f>
        <v>17330.31222740456</v>
      </c>
      <c r="AH6" s="60">
        <f>'44_Working_Capital'!AH8-'44_Working_Capital'!AG8</f>
        <v>16725.570982229139</v>
      </c>
      <c r="AI6" s="60">
        <f>'44_Working_Capital'!AI8-'44_Working_Capital'!AH8</f>
        <v>16141.932182804332</v>
      </c>
      <c r="AJ6" s="60">
        <f>'44_Working_Capital'!AJ8-'44_Working_Capital'!AI8</f>
        <v>15578.65945928538</v>
      </c>
      <c r="AK6" s="60">
        <f>'44_Working_Capital'!AK8-'44_Working_Capital'!AJ8</f>
        <v>15035.042137453624</v>
      </c>
      <c r="AL6" s="76">
        <f>SUMIF('23_Time'!$B$3:$AK$3, 1,B6:AK6)</f>
        <v>63918.411631355106</v>
      </c>
      <c r="AM6" s="60">
        <f>SUMIF('23_Time'!$B$3:$AK$3, 2,B6:AK6)</f>
        <v>106434.94578777712</v>
      </c>
      <c r="AN6" s="73">
        <f>SUMIF('23_Time'!$B$3:$AK$3, 3,B6:AK6)</f>
        <v>181118.36225224959</v>
      </c>
    </row>
    <row r="7" spans="1:40" x14ac:dyDescent="0.3">
      <c r="A7" s="97" t="s">
        <v>206</v>
      </c>
      <c r="B7" s="60">
        <f>'44_Working_Capital'!B9</f>
        <v>7650</v>
      </c>
      <c r="C7" s="60">
        <f>'44_Working_Capital'!C9 - '44_Working_Capital'!B9</f>
        <v>7842.0532500000008</v>
      </c>
      <c r="D7" s="60">
        <f>'44_Working_Capital'!D9 - '44_Working_Capital'!C9</f>
        <v>8054.9448018412477</v>
      </c>
      <c r="E7" s="60">
        <f>'44_Working_Capital'!E9 - '44_Working_Capital'!D9</f>
        <v>8289.5999029809936</v>
      </c>
      <c r="F7" s="60">
        <f>'44_Working_Capital'!F9 - '44_Working_Capital'!E9</f>
        <v>8547.0106583664783</v>
      </c>
      <c r="G7" s="60">
        <f>'44_Working_Capital'!G9 - '44_Working_Capital'!F9</f>
        <v>8828.2396460827877</v>
      </c>
      <c r="H7" s="60">
        <f>'44_Working_Capital'!H9 - '44_Working_Capital'!G9</f>
        <v>9134.4237637511178</v>
      </c>
      <c r="I7" s="60">
        <f>'44_Working_Capital'!I9 - '44_Working_Capital'!H9</f>
        <v>9466.7783190405316</v>
      </c>
      <c r="J7" s="60">
        <f>'44_Working_Capital'!J9 - '44_Working_Capital'!I9</f>
        <v>9826.601378474661</v>
      </c>
      <c r="K7" s="60">
        <f>'44_Working_Capital'!K9 - '44_Working_Capital'!J9</f>
        <v>10215.278389582425</v>
      </c>
      <c r="L7" s="60">
        <f>'44_Working_Capital'!L9 - '44_Working_Capital'!K9</f>
        <v>10634.287092360202</v>
      </c>
      <c r="M7" s="60">
        <f>'44_Working_Capital'!M9 - '44_Working_Capital'!L9</f>
        <v>11085.202736985433</v>
      </c>
      <c r="N7" s="60">
        <f>'44_Working_Capital'!N9 - '44_Working_Capital'!M9</f>
        <v>11569.703625754322</v>
      </c>
      <c r="O7" s="60">
        <f>'44_Working_Capital'!O9 - '44_Working_Capital'!N9</f>
        <v>12089.576998306162</v>
      </c>
      <c r="P7" s="60">
        <f>'44_Working_Capital'!P9 - '44_Working_Capital'!O9</f>
        <v>12646.725280357117</v>
      </c>
      <c r="Q7" s="60">
        <f>'44_Working_Capital'!Q9 - '44_Working_Capital'!P9</f>
        <v>13243.172717390349</v>
      </c>
      <c r="R7" s="60">
        <f>'44_Working_Capital'!R9 - '44_Working_Capital'!Q9</f>
        <v>13881.072416049748</v>
      </c>
      <c r="S7" s="60">
        <f>'44_Working_Capital'!S9 - '44_Working_Capital'!R9</f>
        <v>14562.713817362383</v>
      </c>
      <c r="T7" s="60">
        <f>'44_Working_Capital'!T9 - '44_Working_Capital'!S9</f>
        <v>15290.530627372558</v>
      </c>
      <c r="U7" s="60">
        <f>'44_Working_Capital'!U9 - '44_Working_Capital'!T9</f>
        <v>16067.109232317365</v>
      </c>
      <c r="V7" s="60">
        <f>'44_Working_Capital'!V9 - '44_Working_Capital'!U9</f>
        <v>16895.197627113783</v>
      </c>
      <c r="W7" s="60">
        <f>'44_Working_Capital'!W9 - '44_Working_Capital'!V9</f>
        <v>17777.714887661481</v>
      </c>
      <c r="X7" s="60">
        <f>'44_Working_Capital'!X9 - '44_Working_Capital'!W9</f>
        <v>18717.761219306907</v>
      </c>
      <c r="Y7" s="60">
        <f>'44_Working_Capital'!Y9 - '44_Working_Capital'!X9</f>
        <v>19718.628615768626</v>
      </c>
      <c r="Z7" s="60">
        <f>'44_Working_Capital'!Z9 - '44_Working_Capital'!Y9</f>
        <v>20783.81216488342</v>
      </c>
      <c r="AA7" s="60">
        <f>'44_Working_Capital'!AA9 - '44_Working_Capital'!Z9</f>
        <v>21917.022039731615</v>
      </c>
      <c r="AB7" s="60">
        <f>'44_Working_Capital'!AB9 - '44_Working_Capital'!AA9</f>
        <v>23122.196216017357</v>
      </c>
      <c r="AC7" s="60">
        <f>'44_Working_Capital'!AC9 - '44_Working_Capital'!AB9</f>
        <v>24403.513959043426</v>
      </c>
      <c r="AD7" s="60">
        <f>'44_Working_Capital'!AD9 - '44_Working_Capital'!AC9</f>
        <v>25765.410126225674</v>
      </c>
      <c r="AE7" s="60">
        <f>'44_Working_Capital'!AE9 - '44_Working_Capital'!AD9</f>
        <v>27212.590333861008</v>
      </c>
      <c r="AF7" s="60">
        <f>'44_Working_Capital'!AF9 - '44_Working_Capital'!AE9</f>
        <v>28750.047039790486</v>
      </c>
      <c r="AG7" s="60">
        <f>'44_Working_Capital'!AG9 - '44_Working_Capital'!AF9</f>
        <v>29709.106675550633</v>
      </c>
      <c r="AH7" s="60">
        <f>'44_Working_Capital'!AH9 - '44_Working_Capital'!AG9</f>
        <v>28672.407398107112</v>
      </c>
      <c r="AI7" s="60">
        <f>'44_Working_Capital'!AI9 - '44_Working_Capital'!AH9</f>
        <v>27671.883741950209</v>
      </c>
      <c r="AJ7" s="60">
        <f>'44_Working_Capital'!AJ9 - '44_Working_Capital'!AI9</f>
        <v>26706.273358774954</v>
      </c>
      <c r="AK7" s="60">
        <f>'44_Working_Capital'!AK9 - '44_Working_Capital'!AJ9</f>
        <v>25774.357949920581</v>
      </c>
      <c r="AL7" s="76">
        <f>SUMIF('23_Time'!$B$3:$AK$3, 1,B7:AK7)</f>
        <v>109574.41993946588</v>
      </c>
      <c r="AM7" s="60">
        <f>SUMIF('23_Time'!$B$3:$AK$3, 2,B7:AK7)</f>
        <v>182459.9070647608</v>
      </c>
      <c r="AN7" s="73">
        <f>SUMIF('23_Time'!$B$3:$AK$3, 3,B7:AK7)</f>
        <v>310488.62100385647</v>
      </c>
    </row>
    <row r="8" spans="1:40" ht="15" thickBot="1" x14ac:dyDescent="0.35">
      <c r="A8" s="96" t="s">
        <v>207</v>
      </c>
      <c r="B8" s="62">
        <f>'44_Working_Capital'!B3-'44_Working_Capital'!B6</f>
        <v>0</v>
      </c>
      <c r="C8" s="62">
        <f>'44_Working_Capital'!C3-'44_Working_Capital'!C6</f>
        <v>0</v>
      </c>
      <c r="D8" s="62">
        <f>'44_Working_Capital'!D3-'44_Working_Capital'!D6</f>
        <v>0</v>
      </c>
      <c r="E8" s="62">
        <f>'44_Working_Capital'!E3-'44_Working_Capital'!E6</f>
        <v>0</v>
      </c>
      <c r="F8" s="62">
        <f>'44_Working_Capital'!F3-'44_Working_Capital'!F6</f>
        <v>0</v>
      </c>
      <c r="G8" s="62">
        <f>'44_Working_Capital'!G3-'44_Working_Capital'!G6</f>
        <v>0</v>
      </c>
      <c r="H8" s="62">
        <f>'44_Working_Capital'!H3-'44_Working_Capital'!H6</f>
        <v>0</v>
      </c>
      <c r="I8" s="62">
        <f>'44_Working_Capital'!I3-'44_Working_Capital'!I6</f>
        <v>0</v>
      </c>
      <c r="J8" s="62">
        <f>'44_Working_Capital'!J3-'44_Working_Capital'!J6</f>
        <v>-155279.30344107567</v>
      </c>
      <c r="K8" s="62">
        <f>'44_Working_Capital'!K3-'44_Working_Capital'!K6</f>
        <v>-162769.91826681752</v>
      </c>
      <c r="L8" s="62">
        <f>'44_Working_Capital'!L3-'44_Working_Capital'!L6</f>
        <v>-170474.33259596978</v>
      </c>
      <c r="M8" s="62">
        <f>'44_Working_Capital'!M3-'44_Working_Capital'!M6</f>
        <v>-178438.54368694313</v>
      </c>
      <c r="N8" s="62">
        <f>'44_Working_Capital'!N3-'44_Working_Capital'!N6</f>
        <v>-186708.07229787321</v>
      </c>
      <c r="O8" s="62">
        <f>'44_Working_Capital'!O3-'44_Working_Capital'!O6</f>
        <v>-195328.22026966291</v>
      </c>
      <c r="P8" s="62">
        <f>'44_Working_Capital'!P3-'44_Working_Capital'!P6</f>
        <v>-204344.31914123846</v>
      </c>
      <c r="Q8" s="62">
        <f>'44_Working_Capital'!Q3-'44_Working_Capital'!Q6</f>
        <v>-213801.97131424933</v>
      </c>
      <c r="R8" s="62">
        <f>'44_Working_Capital'!R3-'44_Working_Capital'!R6</f>
        <v>-223747.2852034946</v>
      </c>
      <c r="S8" s="62">
        <f>'44_Working_Capital'!S3-'44_Working_Capital'!S6</f>
        <v>-234227.1057379283</v>
      </c>
      <c r="T8" s="62">
        <f>'44_Working_Capital'!T3-'44_Working_Capital'!T6</f>
        <v>-245289.24151451234</v>
      </c>
      <c r="U8" s="62">
        <f>'44_Working_Capital'!U3-'44_Working_Capital'!U6</f>
        <v>-256982.68985293806</v>
      </c>
      <c r="V8" s="62">
        <f>'44_Working_Capital'!V3-'44_Working_Capital'!V6</f>
        <v>-269357.86095275404</v>
      </c>
      <c r="W8" s="62">
        <f>'44_Working_Capital'!W3-'44_Working_Capital'!W6</f>
        <v>-282466.80231534736</v>
      </c>
      <c r="X8" s="62">
        <f>'44_Working_Capital'!X3-'44_Working_Capital'!X6</f>
        <v>-296363.4245610158</v>
      </c>
      <c r="Y8" s="62">
        <f>'44_Working_Capital'!Y3-'44_Working_Capital'!Y6</f>
        <v>-311103.72974580154</v>
      </c>
      <c r="Z8" s="62">
        <f>'44_Working_Capital'!Z3-'44_Working_Capital'!Z6</f>
        <v>-326746.04326341813</v>
      </c>
      <c r="AA8" s="62">
        <f>'44_Working_Capital'!AA3-'44_Working_Capital'!AA6</f>
        <v>-343351.25040426338</v>
      </c>
      <c r="AB8" s="62">
        <f>'44_Working_Capital'!AB3-'44_Working_Capital'!AB6</f>
        <v>-360983.03863594308</v>
      </c>
      <c r="AC8" s="62">
        <f>'44_Working_Capital'!AC3-'44_Working_Capital'!AC6</f>
        <v>-379708.14666770119</v>
      </c>
      <c r="AD8" s="62">
        <f>'44_Working_Capital'!AD3-'44_Working_Capital'!AD6</f>
        <v>-399596.62136451062</v>
      </c>
      <c r="AE8" s="62">
        <f>'44_Working_Capital'!AE3-'44_Working_Capital'!AE6</f>
        <v>-420722.08358519059</v>
      </c>
      <c r="AF8" s="62">
        <f>'44_Working_Capital'!AF3-'44_Working_Capital'!AF6</f>
        <v>-443162.00403267145</v>
      </c>
      <c r="AG8" s="62">
        <f>'44_Working_Capital'!AG3-'44_Working_Capital'!AG6</f>
        <v>-465650.05038105045</v>
      </c>
      <c r="AH8" s="62">
        <f>'44_Working_Capital'!AH3-'44_Working_Capital'!AH6</f>
        <v>-484190.6943121776</v>
      </c>
      <c r="AI8" s="62">
        <f>'44_Working_Capital'!AI3-'44_Working_Capital'!AI6</f>
        <v>-499185.23727006279</v>
      </c>
      <c r="AJ8" s="62">
        <f>'44_Working_Capital'!AJ3-'44_Working_Capital'!AJ6</f>
        <v>-510999.01421510801</v>
      </c>
      <c r="AK8" s="62">
        <f>'44_Working_Capital'!AK3-'44_Working_Capital'!AK6</f>
        <v>-519964.47893035598</v>
      </c>
      <c r="AL8" s="77">
        <f>SUMIF('23_Time'!$B$3:$AK$3, 1,B8:AK8)</f>
        <v>-666962.0979908061</v>
      </c>
      <c r="AM8" s="62">
        <f>SUMIF('23_Time'!$B$3:$AK$3, 2,B8:AK8)</f>
        <v>-2919720.7229068158</v>
      </c>
      <c r="AN8" s="74">
        <f>SUMIF('23_Time'!$B$3:$AK$3, 3,B8:AK8)</f>
        <v>-5154258.6630624533</v>
      </c>
    </row>
    <row r="9" spans="1:40" x14ac:dyDescent="0.3">
      <c r="A9" s="95" t="s">
        <v>72</v>
      </c>
      <c r="B9" s="57">
        <f>-'43_CAPEX_Depreciation'!B5</f>
        <v>-59776</v>
      </c>
      <c r="C9" s="57">
        <f>-'43_CAPEX_Depreciation'!C5</f>
        <v>-62260</v>
      </c>
      <c r="D9" s="57">
        <f>-'43_CAPEX_Depreciation'!D5</f>
        <v>-64744</v>
      </c>
      <c r="E9" s="57">
        <f>-'43_CAPEX_Depreciation'!E5</f>
        <v>-67228</v>
      </c>
      <c r="F9" s="57">
        <f>-'43_CAPEX_Depreciation'!F5</f>
        <v>-69712</v>
      </c>
      <c r="G9" s="57">
        <f>-'43_CAPEX_Depreciation'!G5</f>
        <v>-72196</v>
      </c>
      <c r="H9" s="57">
        <f>-'43_CAPEX_Depreciation'!H5</f>
        <v>-74680</v>
      </c>
      <c r="I9" s="57">
        <f>-'43_CAPEX_Depreciation'!I5</f>
        <v>-77164</v>
      </c>
      <c r="J9" s="57">
        <f>-'43_CAPEX_Depreciation'!J5</f>
        <v>-79648</v>
      </c>
      <c r="K9" s="57">
        <f>-'43_CAPEX_Depreciation'!K5</f>
        <v>-82132</v>
      </c>
      <c r="L9" s="57">
        <f>-'43_CAPEX_Depreciation'!L5</f>
        <v>-84616</v>
      </c>
      <c r="M9" s="57">
        <f>-'43_CAPEX_Depreciation'!M5</f>
        <v>-87100</v>
      </c>
      <c r="N9" s="57">
        <f>-'43_CAPEX_Depreciation'!N5</f>
        <v>-88342</v>
      </c>
      <c r="O9" s="57">
        <f>-'43_CAPEX_Depreciation'!O5</f>
        <v>-89584</v>
      </c>
      <c r="P9" s="57">
        <f>-'43_CAPEX_Depreciation'!P5</f>
        <v>-90826</v>
      </c>
      <c r="Q9" s="57">
        <f>-'43_CAPEX_Depreciation'!Q5</f>
        <v>-92068</v>
      </c>
      <c r="R9" s="57">
        <f>-'43_CAPEX_Depreciation'!R5</f>
        <v>-93310</v>
      </c>
      <c r="S9" s="57">
        <f>-'43_CAPEX_Depreciation'!S5</f>
        <v>-94552</v>
      </c>
      <c r="T9" s="57">
        <f>-'43_CAPEX_Depreciation'!T5</f>
        <v>-95794</v>
      </c>
      <c r="U9" s="57">
        <f>-'43_CAPEX_Depreciation'!U5</f>
        <v>-97036</v>
      </c>
      <c r="V9" s="57">
        <f>-'43_CAPEX_Depreciation'!V5</f>
        <v>-98278</v>
      </c>
      <c r="W9" s="57">
        <f>-'43_CAPEX_Depreciation'!W5</f>
        <v>-99520</v>
      </c>
      <c r="X9" s="57">
        <f>-'43_CAPEX_Depreciation'!X5</f>
        <v>-100762</v>
      </c>
      <c r="Y9" s="57">
        <f>-'43_CAPEX_Depreciation'!Y5</f>
        <v>-102004</v>
      </c>
      <c r="Z9" s="57">
        <f>-'43_CAPEX_Depreciation'!Z5</f>
        <v>-103246</v>
      </c>
      <c r="AA9" s="57">
        <f>-'43_CAPEX_Depreciation'!AA5</f>
        <v>-104488</v>
      </c>
      <c r="AB9" s="57">
        <f>-'43_CAPEX_Depreciation'!AB5</f>
        <v>-105730</v>
      </c>
      <c r="AC9" s="57">
        <f>-'43_CAPEX_Depreciation'!AC5</f>
        <v>-106972</v>
      </c>
      <c r="AD9" s="57">
        <f>-'43_CAPEX_Depreciation'!AD5</f>
        <v>-108214.00000000001</v>
      </c>
      <c r="AE9" s="57">
        <f>-'43_CAPEX_Depreciation'!AE5</f>
        <v>-109456.00000000001</v>
      </c>
      <c r="AF9" s="57">
        <f>-'43_CAPEX_Depreciation'!AF5</f>
        <v>-110697.99999999999</v>
      </c>
      <c r="AG9" s="57">
        <f>-'43_CAPEX_Depreciation'!AG5</f>
        <v>-111939.99999999999</v>
      </c>
      <c r="AH9" s="57">
        <f>-'43_CAPEX_Depreciation'!AH5</f>
        <v>-113182</v>
      </c>
      <c r="AI9" s="57">
        <f>-'43_CAPEX_Depreciation'!AI5</f>
        <v>-114424</v>
      </c>
      <c r="AJ9" s="57">
        <f>-'43_CAPEX_Depreciation'!AJ5</f>
        <v>-115666.00000000001</v>
      </c>
      <c r="AK9" s="57">
        <f>-'43_CAPEX_Depreciation'!AK5</f>
        <v>-116908.00000000001</v>
      </c>
      <c r="AL9" s="76">
        <f>SUMIF('23_Time'!$B$3:$AK$3, 1,B9:AK9)</f>
        <v>-881256</v>
      </c>
      <c r="AM9" s="60">
        <f>SUMIF('23_Time'!$B$3:$AK$3, 2,B9:AK9)</f>
        <v>-1142076</v>
      </c>
      <c r="AN9" s="73">
        <f>SUMIF('23_Time'!$B$3:$AK$3, 3,B9:AK9)</f>
        <v>-1320924</v>
      </c>
    </row>
    <row r="10" spans="1:40" x14ac:dyDescent="0.3">
      <c r="A10" s="97" t="s">
        <v>198</v>
      </c>
      <c r="B10" s="60">
        <f>'45_Funding_Interest_Equity'!B4</f>
        <v>0</v>
      </c>
      <c r="C10" s="60">
        <f>'45_Funding_Interest_Equity'!C4</f>
        <v>0</v>
      </c>
      <c r="D10" s="60">
        <f>'45_Funding_Interest_Equity'!D4</f>
        <v>0</v>
      </c>
      <c r="E10" s="60">
        <f>'45_Funding_Interest_Equity'!E4</f>
        <v>0</v>
      </c>
      <c r="F10" s="60">
        <f>'45_Funding_Interest_Equity'!F4</f>
        <v>0</v>
      </c>
      <c r="G10" s="60">
        <f>'45_Funding_Interest_Equity'!G4</f>
        <v>1000000</v>
      </c>
      <c r="H10" s="60">
        <f>'45_Funding_Interest_Equity'!H4</f>
        <v>0</v>
      </c>
      <c r="I10" s="60">
        <f>'45_Funding_Interest_Equity'!I4</f>
        <v>0</v>
      </c>
      <c r="J10" s="60">
        <f>'45_Funding_Interest_Equity'!J4</f>
        <v>1000000</v>
      </c>
      <c r="K10" s="60">
        <f>'45_Funding_Interest_Equity'!K4</f>
        <v>0</v>
      </c>
      <c r="L10" s="60">
        <f>'45_Funding_Interest_Equity'!L4</f>
        <v>0</v>
      </c>
      <c r="M10" s="60">
        <f>'45_Funding_Interest_Equity'!M4</f>
        <v>0</v>
      </c>
      <c r="N10" s="60">
        <f>'45_Funding_Interest_Equity'!N4</f>
        <v>0</v>
      </c>
      <c r="O10" s="60">
        <f>'45_Funding_Interest_Equity'!O4</f>
        <v>0</v>
      </c>
      <c r="P10" s="60">
        <f>'45_Funding_Interest_Equity'!P4</f>
        <v>0</v>
      </c>
      <c r="Q10" s="60">
        <f>'45_Funding_Interest_Equity'!Q4</f>
        <v>0</v>
      </c>
      <c r="R10" s="60">
        <f>'45_Funding_Interest_Equity'!R4</f>
        <v>0</v>
      </c>
      <c r="S10" s="60">
        <f>'45_Funding_Interest_Equity'!S4</f>
        <v>0</v>
      </c>
      <c r="T10" s="60">
        <f>'45_Funding_Interest_Equity'!T4</f>
        <v>0</v>
      </c>
      <c r="U10" s="60">
        <f>'45_Funding_Interest_Equity'!U4</f>
        <v>0</v>
      </c>
      <c r="V10" s="60">
        <f>'45_Funding_Interest_Equity'!V4</f>
        <v>0</v>
      </c>
      <c r="W10" s="60">
        <f>'45_Funding_Interest_Equity'!W4</f>
        <v>0</v>
      </c>
      <c r="X10" s="60">
        <f>'45_Funding_Interest_Equity'!X4</f>
        <v>0</v>
      </c>
      <c r="Y10" s="60">
        <f>'45_Funding_Interest_Equity'!Y4</f>
        <v>0</v>
      </c>
      <c r="Z10" s="60">
        <f>'45_Funding_Interest_Equity'!Z4</f>
        <v>0</v>
      </c>
      <c r="AA10" s="60">
        <f>'45_Funding_Interest_Equity'!AA4</f>
        <v>0</v>
      </c>
      <c r="AB10" s="60">
        <f>'45_Funding_Interest_Equity'!AB4</f>
        <v>0</v>
      </c>
      <c r="AC10" s="60">
        <f>'45_Funding_Interest_Equity'!AC4</f>
        <v>0</v>
      </c>
      <c r="AD10" s="60">
        <f>'45_Funding_Interest_Equity'!AD4</f>
        <v>0</v>
      </c>
      <c r="AE10" s="60">
        <f>'45_Funding_Interest_Equity'!AE4</f>
        <v>0</v>
      </c>
      <c r="AF10" s="60">
        <f>'45_Funding_Interest_Equity'!AF4</f>
        <v>0</v>
      </c>
      <c r="AG10" s="60">
        <f>'45_Funding_Interest_Equity'!AG4</f>
        <v>0</v>
      </c>
      <c r="AH10" s="60">
        <f>'45_Funding_Interest_Equity'!AH4</f>
        <v>0</v>
      </c>
      <c r="AI10" s="60">
        <f>'45_Funding_Interest_Equity'!AI4</f>
        <v>0</v>
      </c>
      <c r="AJ10" s="60">
        <f>'45_Funding_Interest_Equity'!AJ4</f>
        <v>0</v>
      </c>
      <c r="AK10" s="60">
        <f>'45_Funding_Interest_Equity'!AK4</f>
        <v>0</v>
      </c>
      <c r="AL10" s="76">
        <f>SUMIF('23_Time'!$B$3:$AK$3, 1,B10:AK10)</f>
        <v>2000000</v>
      </c>
      <c r="AM10" s="60">
        <f>SUMIF('23_Time'!$B$3:$AK$3, 2,B10:AK10)</f>
        <v>0</v>
      </c>
      <c r="AN10" s="73">
        <f>SUMIF('23_Time'!$B$3:$AK$3, 3,B10:AK10)</f>
        <v>0</v>
      </c>
    </row>
    <row r="11" spans="1:40" ht="15" thickBot="1" x14ac:dyDescent="0.35">
      <c r="A11" s="96" t="s">
        <v>208</v>
      </c>
      <c r="B11" s="111">
        <f>'45_Funding_Interest_Equity'!B7</f>
        <v>0</v>
      </c>
      <c r="C11" s="111">
        <f>'45_Funding_Interest_Equity'!C7</f>
        <v>0</v>
      </c>
      <c r="D11" s="111">
        <f>'45_Funding_Interest_Equity'!D7</f>
        <v>0</v>
      </c>
      <c r="E11" s="111">
        <f>'45_Funding_Interest_Equity'!E7</f>
        <v>0</v>
      </c>
      <c r="F11" s="111">
        <f>'45_Funding_Interest_Equity'!F7</f>
        <v>0</v>
      </c>
      <c r="G11" s="111">
        <f>'45_Funding_Interest_Equity'!G7</f>
        <v>25000000</v>
      </c>
      <c r="H11" s="111">
        <f>'45_Funding_Interest_Equity'!H7</f>
        <v>0</v>
      </c>
      <c r="I11" s="111">
        <f>'45_Funding_Interest_Equity'!I7</f>
        <v>0</v>
      </c>
      <c r="J11" s="111">
        <f>'45_Funding_Interest_Equity'!J7</f>
        <v>0</v>
      </c>
      <c r="K11" s="111">
        <f>'45_Funding_Interest_Equity'!K7</f>
        <v>0</v>
      </c>
      <c r="L11" s="111">
        <f>'45_Funding_Interest_Equity'!L7</f>
        <v>0</v>
      </c>
      <c r="M11" s="111">
        <f>'45_Funding_Interest_Equity'!M7</f>
        <v>0</v>
      </c>
      <c r="N11" s="111">
        <f>'45_Funding_Interest_Equity'!N7</f>
        <v>0</v>
      </c>
      <c r="O11" s="111">
        <f>'45_Funding_Interest_Equity'!O7</f>
        <v>0</v>
      </c>
      <c r="P11" s="111">
        <f>'45_Funding_Interest_Equity'!P7</f>
        <v>0</v>
      </c>
      <c r="Q11" s="111">
        <f>'45_Funding_Interest_Equity'!Q7</f>
        <v>0</v>
      </c>
      <c r="R11" s="111">
        <f>'45_Funding_Interest_Equity'!R7</f>
        <v>0</v>
      </c>
      <c r="S11" s="111">
        <f>'45_Funding_Interest_Equity'!S7</f>
        <v>0</v>
      </c>
      <c r="T11" s="111">
        <f>'45_Funding_Interest_Equity'!T7</f>
        <v>0</v>
      </c>
      <c r="U11" s="111">
        <f>'45_Funding_Interest_Equity'!U7</f>
        <v>0</v>
      </c>
      <c r="V11" s="111">
        <f>'45_Funding_Interest_Equity'!V7</f>
        <v>0</v>
      </c>
      <c r="W11" s="111">
        <f>'45_Funding_Interest_Equity'!W7</f>
        <v>0</v>
      </c>
      <c r="X11" s="111">
        <f>'45_Funding_Interest_Equity'!X7</f>
        <v>0</v>
      </c>
      <c r="Y11" s="111">
        <f>'45_Funding_Interest_Equity'!Y7</f>
        <v>0</v>
      </c>
      <c r="Z11" s="111">
        <f>'45_Funding_Interest_Equity'!Z7</f>
        <v>0</v>
      </c>
      <c r="AA11" s="111">
        <f>'45_Funding_Interest_Equity'!AA7</f>
        <v>0</v>
      </c>
      <c r="AB11" s="111">
        <f>'45_Funding_Interest_Equity'!AB7</f>
        <v>0</v>
      </c>
      <c r="AC11" s="111">
        <f>'45_Funding_Interest_Equity'!AC7</f>
        <v>0</v>
      </c>
      <c r="AD11" s="111">
        <f>'45_Funding_Interest_Equity'!AD7</f>
        <v>0</v>
      </c>
      <c r="AE11" s="111">
        <f>'45_Funding_Interest_Equity'!AE7</f>
        <v>0</v>
      </c>
      <c r="AF11" s="111">
        <f>'45_Funding_Interest_Equity'!AF7</f>
        <v>0</v>
      </c>
      <c r="AG11" s="111">
        <f>'45_Funding_Interest_Equity'!AG7</f>
        <v>0</v>
      </c>
      <c r="AH11" s="111">
        <f>'45_Funding_Interest_Equity'!AH7</f>
        <v>0</v>
      </c>
      <c r="AI11" s="111">
        <f>'45_Funding_Interest_Equity'!AI7</f>
        <v>0</v>
      </c>
      <c r="AJ11" s="111">
        <f>'45_Funding_Interest_Equity'!AJ7</f>
        <v>0</v>
      </c>
      <c r="AK11" s="111">
        <f>'45_Funding_Interest_Equity'!AK7</f>
        <v>0</v>
      </c>
      <c r="AL11" s="76">
        <f>SUMIF('23_Time'!$B$3:$AK$3, 1,B11:AK11)</f>
        <v>25000000</v>
      </c>
      <c r="AM11" s="60">
        <f>SUMIF('23_Time'!$B$3:$AK$3, 2,B11:AK11)</f>
        <v>0</v>
      </c>
      <c r="AN11" s="73">
        <f>SUMIF('23_Time'!$B$3:$AK$3, 3,B11:AK11)</f>
        <v>0</v>
      </c>
    </row>
    <row r="12" spans="1:40" ht="15" thickBot="1" x14ac:dyDescent="0.35">
      <c r="A12" s="145" t="s">
        <v>73</v>
      </c>
      <c r="B12" s="141">
        <f>SUM(B3:B11)</f>
        <v>-1368987.5</v>
      </c>
      <c r="C12" s="141">
        <f t="shared" ref="C12:AK12" si="0">SUM(C3:C11)</f>
        <v>-1401885.1805646429</v>
      </c>
      <c r="D12" s="141">
        <f t="shared" si="0"/>
        <v>-1434618.6428759829</v>
      </c>
      <c r="E12" s="141">
        <f t="shared" si="0"/>
        <v>-1467139.2254007489</v>
      </c>
      <c r="F12" s="141">
        <f t="shared" si="0"/>
        <v>-1499396.3885571526</v>
      </c>
      <c r="G12" s="141">
        <f t="shared" si="0"/>
        <v>24464495.78474747</v>
      </c>
      <c r="H12" s="141">
        <f t="shared" si="0"/>
        <v>-1571241.2357163276</v>
      </c>
      <c r="I12" s="141">
        <f t="shared" si="0"/>
        <v>-1602383.5760025324</v>
      </c>
      <c r="J12" s="141">
        <f t="shared" si="0"/>
        <v>-789176.61710936646</v>
      </c>
      <c r="K12" s="141">
        <f t="shared" si="0"/>
        <v>-1827315.7079429326</v>
      </c>
      <c r="L12" s="141">
        <f t="shared" si="0"/>
        <v>-1862080.7269635757</v>
      </c>
      <c r="M12" s="141">
        <f t="shared" si="0"/>
        <v>-1896309.1605276426</v>
      </c>
      <c r="N12" s="141">
        <f t="shared" si="0"/>
        <v>-1904248.688748844</v>
      </c>
      <c r="O12" s="141">
        <f t="shared" si="0"/>
        <v>-1911583.553822821</v>
      </c>
      <c r="P12" s="141">
        <f t="shared" si="0"/>
        <v>-1918272.816280493</v>
      </c>
      <c r="Q12" s="141">
        <f t="shared" si="0"/>
        <v>-1924270.8701462774</v>
      </c>
      <c r="R12" s="141">
        <f t="shared" si="0"/>
        <v>-1929527.3602883387</v>
      </c>
      <c r="S12" s="141">
        <f t="shared" si="0"/>
        <v>-1933987.0736656971</v>
      </c>
      <c r="T12" s="141">
        <f t="shared" si="0"/>
        <v>-1937589.8046000544</v>
      </c>
      <c r="U12" s="141">
        <f t="shared" si="0"/>
        <v>-1940270.1940564218</v>
      </c>
      <c r="V12" s="141">
        <f t="shared" si="0"/>
        <v>-1941957.5427764524</v>
      </c>
      <c r="W12" s="141">
        <f t="shared" si="0"/>
        <v>-1942575.5979710808</v>
      </c>
      <c r="X12" s="141">
        <f t="shared" si="0"/>
        <v>-1942042.313143763</v>
      </c>
      <c r="Y12" s="141">
        <f t="shared" si="0"/>
        <v>-1940269.580481614</v>
      </c>
      <c r="Z12" s="141">
        <f t="shared" si="0"/>
        <v>-1937162.9351182508</v>
      </c>
      <c r="AA12" s="141">
        <f t="shared" si="0"/>
        <v>-1932621.2304385039</v>
      </c>
      <c r="AB12" s="141">
        <f t="shared" si="0"/>
        <v>-1926536.2834606227</v>
      </c>
      <c r="AC12" s="141">
        <f t="shared" si="0"/>
        <v>-1918792.4891955312</v>
      </c>
      <c r="AD12" s="141">
        <f t="shared" si="0"/>
        <v>-1909266.4027443752</v>
      </c>
      <c r="AE12" s="141">
        <f t="shared" si="0"/>
        <v>-1897826.2877543806</v>
      </c>
      <c r="AF12" s="141">
        <f t="shared" si="0"/>
        <v>-1884331.629708318</v>
      </c>
      <c r="AG12" s="141">
        <f t="shared" si="0"/>
        <v>-1853027.8996156307</v>
      </c>
      <c r="AH12" s="141">
        <f t="shared" si="0"/>
        <v>-1772113.2357564662</v>
      </c>
      <c r="AI12" s="141">
        <f t="shared" si="0"/>
        <v>-1691471.4968906194</v>
      </c>
      <c r="AJ12" s="141">
        <f t="shared" si="0"/>
        <v>-1611367.2705653566</v>
      </c>
      <c r="AK12" s="141">
        <f t="shared" si="0"/>
        <v>-1532033.1350968876</v>
      </c>
      <c r="AL12" s="130">
        <f>SUMIF('23_Time'!$B$3:$AK$3, 1,B12:AK12)</f>
        <v>7743961.8230865654</v>
      </c>
      <c r="AM12" s="131">
        <f>SUMIF('23_Time'!$B$3:$AK$3, 2,B12:AK12)</f>
        <v>-23166595.395981859</v>
      </c>
      <c r="AN12" s="132">
        <f>SUMIF('23_Time'!$B$3:$AK$3, 3,B12:AK12)</f>
        <v>-21866550.296344943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FF72-B7AE-4838-8133-38A16456AD08}">
  <dimension ref="A1:AN19"/>
  <sheetViews>
    <sheetView workbookViewId="0">
      <pane xSplit="1" topLeftCell="AK1" activePane="topRight" state="frozen"/>
      <selection pane="topRight" activeCell="AT22" sqref="AT22"/>
    </sheetView>
  </sheetViews>
  <sheetFormatPr defaultRowHeight="14.4" x14ac:dyDescent="0.3"/>
  <cols>
    <col min="1" max="1" width="19.44140625" bestFit="1" customWidth="1"/>
    <col min="2" max="2" width="11.44140625" bestFit="1" customWidth="1"/>
    <col min="3" max="6" width="10.44140625" bestFit="1" customWidth="1"/>
    <col min="7" max="40" width="11.44140625" bestFit="1" customWidth="1"/>
  </cols>
  <sheetData>
    <row r="1" spans="1:40" ht="15" thickBot="1" x14ac:dyDescent="0.35">
      <c r="A1" s="56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59" t="str">
        <v>Month Label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  <c r="AL2" s="128" t="s">
        <v>74</v>
      </c>
      <c r="AM2" s="155" t="s">
        <v>75</v>
      </c>
      <c r="AN2" s="156" t="s">
        <v>76</v>
      </c>
    </row>
    <row r="3" spans="1:40" x14ac:dyDescent="0.3">
      <c r="A3" s="56" t="s">
        <v>64</v>
      </c>
      <c r="B3" s="56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6">
        <f>SUMIF('23_Time'!$B$3:$AK$3, 1,$B$3:$AK$3)</f>
        <v>0</v>
      </c>
      <c r="AM3" s="58">
        <f>SUMIF('23_Time'!$B$3:$AK$3, 2,$B$3:$AK$3)</f>
        <v>0</v>
      </c>
      <c r="AN3" s="69">
        <f>SUMIF('23_Time'!$B$3:$AK$3, 3,$B$3:$AK$3)</f>
        <v>0</v>
      </c>
    </row>
    <row r="4" spans="1:40" x14ac:dyDescent="0.3">
      <c r="A4" s="105" t="s">
        <v>65</v>
      </c>
      <c r="B4" s="76">
        <f>'36_Inputs_Funding'!B2+'11_Cash_Flow'!B12</f>
        <v>3631012.5</v>
      </c>
      <c r="C4" s="60">
        <f>B4+'11_Cash_Flow'!C12</f>
        <v>2229127.3194353571</v>
      </c>
      <c r="D4" s="60">
        <f>C4+'11_Cash_Flow'!D12</f>
        <v>794508.6765593742</v>
      </c>
      <c r="E4" s="60">
        <f>D4+'11_Cash_Flow'!E12</f>
        <v>-672630.54884137469</v>
      </c>
      <c r="F4" s="60">
        <f>E4+'11_Cash_Flow'!F12</f>
        <v>-2172026.9373985273</v>
      </c>
      <c r="G4" s="60">
        <f>F4+'11_Cash_Flow'!G12</f>
        <v>22292468.847348943</v>
      </c>
      <c r="H4" s="60">
        <f>G4+'11_Cash_Flow'!H12</f>
        <v>20721227.611632615</v>
      </c>
      <c r="I4" s="60">
        <f>H4+'11_Cash_Flow'!I12</f>
        <v>19118844.035630085</v>
      </c>
      <c r="J4" s="60">
        <f>I4+'11_Cash_Flow'!J12</f>
        <v>18329667.418520719</v>
      </c>
      <c r="K4" s="60">
        <f>J4+'11_Cash_Flow'!K12</f>
        <v>16502351.710577786</v>
      </c>
      <c r="L4" s="60">
        <f>K4+'11_Cash_Flow'!L12</f>
        <v>14640270.98361421</v>
      </c>
      <c r="M4" s="60">
        <f>L4+'11_Cash_Flow'!M12</f>
        <v>12743961.823086567</v>
      </c>
      <c r="N4" s="60">
        <f>M4+'11_Cash_Flow'!N12</f>
        <v>10839713.134337723</v>
      </c>
      <c r="O4" s="60">
        <f>N4+'11_Cash_Flow'!O12</f>
        <v>8928129.5805149022</v>
      </c>
      <c r="P4" s="60">
        <f>O4+'11_Cash_Flow'!P12</f>
        <v>7009856.7642344087</v>
      </c>
      <c r="Q4" s="60">
        <f>P4+'11_Cash_Flow'!Q12</f>
        <v>5085585.8940881314</v>
      </c>
      <c r="R4" s="60">
        <f>Q4+'11_Cash_Flow'!R12</f>
        <v>3156058.5337997926</v>
      </c>
      <c r="S4" s="60">
        <f>R4+'11_Cash_Flow'!S12</f>
        <v>1222071.4601340955</v>
      </c>
      <c r="T4" s="60">
        <f>S4+'11_Cash_Flow'!T12</f>
        <v>-715518.34446595889</v>
      </c>
      <c r="U4" s="60">
        <f>T4+'11_Cash_Flow'!U12</f>
        <v>-2655788.5385223804</v>
      </c>
      <c r="V4" s="60">
        <f>U4+'11_Cash_Flow'!V12</f>
        <v>-4597746.0812988328</v>
      </c>
      <c r="W4" s="60">
        <f>V4+'11_Cash_Flow'!W12</f>
        <v>-6540321.6792699136</v>
      </c>
      <c r="X4" s="60">
        <f>W4+'11_Cash_Flow'!X12</f>
        <v>-8482363.9924136773</v>
      </c>
      <c r="Y4" s="60">
        <f>X4+'11_Cash_Flow'!Y12</f>
        <v>-10422633.572895292</v>
      </c>
      <c r="Z4" s="60">
        <f>Y4+'11_Cash_Flow'!Z12</f>
        <v>-12359796.508013543</v>
      </c>
      <c r="AA4" s="60">
        <f>Z4+'11_Cash_Flow'!AA12</f>
        <v>-14292417.738452047</v>
      </c>
      <c r="AB4" s="60">
        <f>AA4+'11_Cash_Flow'!AB12</f>
        <v>-16218954.02191267</v>
      </c>
      <c r="AC4" s="60">
        <f>AB4+'11_Cash_Flow'!AC12</f>
        <v>-18137746.511108201</v>
      </c>
      <c r="AD4" s="60">
        <f>AC4+'11_Cash_Flow'!AD12</f>
        <v>-20047012.913852576</v>
      </c>
      <c r="AE4" s="60">
        <f>AD4+'11_Cash_Flow'!AE12</f>
        <v>-21944839.201606955</v>
      </c>
      <c r="AF4" s="60">
        <f>AE4+'11_Cash_Flow'!AF12</f>
        <v>-23829170.831315272</v>
      </c>
      <c r="AG4" s="60">
        <f>AF4+'11_Cash_Flow'!AG12</f>
        <v>-25682198.730930902</v>
      </c>
      <c r="AH4" s="60">
        <f>AG4+'11_Cash_Flow'!AH12</f>
        <v>-27454311.966687366</v>
      </c>
      <c r="AI4" s="60">
        <f>AH4+'11_Cash_Flow'!AI12</f>
        <v>-29145783.463577986</v>
      </c>
      <c r="AJ4" s="60">
        <f>AI4+'11_Cash_Flow'!AJ12</f>
        <v>-30757150.734143343</v>
      </c>
      <c r="AK4" s="60">
        <f>AJ4+'11_Cash_Flow'!AK12</f>
        <v>-32289183.869240232</v>
      </c>
      <c r="AL4" s="161">
        <f>M4</f>
        <v>12743961.823086567</v>
      </c>
      <c r="AM4" s="87">
        <f>Y4</f>
        <v>-10422633.572895292</v>
      </c>
      <c r="AN4" s="115">
        <f>AK4</f>
        <v>-32289183.869240232</v>
      </c>
    </row>
    <row r="5" spans="1:40" x14ac:dyDescent="0.3">
      <c r="A5" s="105" t="s">
        <v>193</v>
      </c>
      <c r="B5" s="76">
        <f>'44_Working_Capital'!B7</f>
        <v>15844</v>
      </c>
      <c r="C5" s="60">
        <f>'44_Working_Capital'!C7</f>
        <v>32085.763619999994</v>
      </c>
      <c r="D5" s="60">
        <f>'44_Working_Capital'!D7</f>
        <v>48768.449298480089</v>
      </c>
      <c r="E5" s="60">
        <f>'44_Working_Capital'!E7</f>
        <v>65937.131764209626</v>
      </c>
      <c r="F5" s="60">
        <f>'44_Working_Capital'!F7</f>
        <v>83638.940505537525</v>
      </c>
      <c r="G5" s="60">
        <f>'44_Working_Capital'!G7</f>
        <v>101923.20572809123</v>
      </c>
      <c r="H5" s="60">
        <f>'44_Working_Capital'!H7</f>
        <v>120841.61227879353</v>
      </c>
      <c r="I5" s="60">
        <f>'44_Working_Capital'!I7</f>
        <v>140448.36204178413</v>
      </c>
      <c r="J5" s="60">
        <f>'44_Working_Capital'!J7</f>
        <v>163005.31145006607</v>
      </c>
      <c r="K5" s="60">
        <f>'44_Working_Capital'!K7</f>
        <v>185107.16299493081</v>
      </c>
      <c r="L5" s="60">
        <f>'44_Working_Capital'!L7</f>
        <v>208120.31339277825</v>
      </c>
      <c r="M5" s="60">
        <f>'44_Working_Capital'!M7</f>
        <v>232112.65314377815</v>
      </c>
      <c r="N5" s="60">
        <f>'44_Working_Capital'!N7</f>
        <v>257155.79031752516</v>
      </c>
      <c r="O5" s="60">
        <f>'44_Working_Capital'!O7</f>
        <v>283325.27725895826</v>
      </c>
      <c r="P5" s="60">
        <f>'44_Working_Capital'!P7</f>
        <v>310700.85149970825</v>
      </c>
      <c r="Q5" s="60">
        <f>'44_Working_Capital'!Q7</f>
        <v>339366.6916452783</v>
      </c>
      <c r="R5" s="60">
        <f>'44_Working_Capital'!R7</f>
        <v>369411.68906262115</v>
      </c>
      <c r="S5" s="60">
        <f>'44_Working_Capital'!S7</f>
        <v>400929.73624937964</v>
      </c>
      <c r="T5" s="60">
        <f>'44_Working_Capital'!T7</f>
        <v>434020.03282552789</v>
      </c>
      <c r="U5" s="60">
        <f>'44_Working_Capital'!U7</f>
        <v>468787.41015060025</v>
      </c>
      <c r="V5" s="60">
        <f>'44_Working_Capital'!V7</f>
        <v>505342.67563535704</v>
      </c>
      <c r="W5" s="60">
        <f>'44_Working_Capital'!W7</f>
        <v>543802.97788585187</v>
      </c>
      <c r="X5" s="60">
        <f>'44_Working_Capital'!X7</f>
        <v>584292.19389067427</v>
      </c>
      <c r="Y5" s="60">
        <f>'44_Working_Capital'!Y7</f>
        <v>626941.33953891951</v>
      </c>
      <c r="Z5" s="60">
        <f>'44_Working_Capital'!Z7</f>
        <v>671889.00483743346</v>
      </c>
      <c r="AA5" s="60">
        <f>'44_Working_Capital'!AA7</f>
        <v>719281.81528141128</v>
      </c>
      <c r="AB5" s="60">
        <f>'44_Working_Capital'!AB7</f>
        <v>769274.92092276912</v>
      </c>
      <c r="AC5" s="60">
        <f>'44_Working_Capital'!AC7</f>
        <v>822032.51477618387</v>
      </c>
      <c r="AD5" s="60">
        <f>'44_Working_Capital'!AD7</f>
        <v>877728.38230364502</v>
      </c>
      <c r="AE5" s="60">
        <f>'44_Working_Capital'!AE7</f>
        <v>936546.48382512154</v>
      </c>
      <c r="AF5" s="60">
        <f>'44_Working_Capital'!AF7</f>
        <v>998681.57181591284</v>
      </c>
      <c r="AG5" s="60">
        <f>'44_Working_Capital'!AG7</f>
        <v>1062924.8378327545</v>
      </c>
      <c r="AH5" s="60">
        <f>'44_Working_Capital'!AH7</f>
        <v>1125086.3667931582</v>
      </c>
      <c r="AI5" s="60">
        <f>'44_Working_Capital'!AI7</f>
        <v>1185225.4649357735</v>
      </c>
      <c r="AJ5" s="60">
        <f>'44_Working_Capital'!AJ7</f>
        <v>1243400.4803393816</v>
      </c>
      <c r="AK5" s="60">
        <f>'44_Working_Capital'!AK7</f>
        <v>1299668.7437469349</v>
      </c>
      <c r="AL5" s="161">
        <f t="shared" ref="AL5:AL7" si="0">M5</f>
        <v>232112.65314377815</v>
      </c>
      <c r="AM5" s="87">
        <f t="shared" ref="AM5:AM7" si="1">Y5</f>
        <v>626941.33953891951</v>
      </c>
      <c r="AN5" s="115">
        <f t="shared" ref="AN5:AN7" si="2">AK5</f>
        <v>1299668.7437469349</v>
      </c>
    </row>
    <row r="6" spans="1:40" x14ac:dyDescent="0.3">
      <c r="A6" s="105" t="s">
        <v>202</v>
      </c>
      <c r="B6" s="76">
        <f>'44_Working_Capital'!B6</f>
        <v>0</v>
      </c>
      <c r="C6" s="60">
        <f>'44_Working_Capital'!C6</f>
        <v>0</v>
      </c>
      <c r="D6" s="60">
        <f>'44_Working_Capital'!D6</f>
        <v>0</v>
      </c>
      <c r="E6" s="60">
        <f>'44_Working_Capital'!E6</f>
        <v>0</v>
      </c>
      <c r="F6" s="60">
        <f>'44_Working_Capital'!F6</f>
        <v>0</v>
      </c>
      <c r="G6" s="60">
        <f>'44_Working_Capital'!G6</f>
        <v>0</v>
      </c>
      <c r="H6" s="60">
        <f>'44_Working_Capital'!H6</f>
        <v>0</v>
      </c>
      <c r="I6" s="60">
        <f>'44_Working_Capital'!I6</f>
        <v>0</v>
      </c>
      <c r="J6" s="60">
        <f>'44_Working_Capital'!J6</f>
        <v>155279.30344107567</v>
      </c>
      <c r="K6" s="60">
        <f>'44_Working_Capital'!K6</f>
        <v>318049.22170789319</v>
      </c>
      <c r="L6" s="60">
        <f>'44_Working_Capital'!L6</f>
        <v>488523.55430386297</v>
      </c>
      <c r="M6" s="60">
        <f>'44_Working_Capital'!M6</f>
        <v>666962.0979908061</v>
      </c>
      <c r="N6" s="60">
        <f>'44_Working_Capital'!N6</f>
        <v>853670.17028867931</v>
      </c>
      <c r="O6" s="60">
        <f>'44_Working_Capital'!O6</f>
        <v>1048998.3905583422</v>
      </c>
      <c r="P6" s="60">
        <f>'44_Working_Capital'!P6</f>
        <v>1253342.7096995807</v>
      </c>
      <c r="Q6" s="60">
        <f>'44_Working_Capital'!Q6</f>
        <v>1467144.68101383</v>
      </c>
      <c r="R6" s="60">
        <f>'44_Working_Capital'!R6</f>
        <v>1690891.9662173246</v>
      </c>
      <c r="S6" s="60">
        <f>'44_Working_Capital'!S6</f>
        <v>1925119.0719552529</v>
      </c>
      <c r="T6" s="60">
        <f>'44_Working_Capital'!T6</f>
        <v>2170408.3134697652</v>
      </c>
      <c r="U6" s="60">
        <f>'44_Working_Capital'!U6</f>
        <v>2427391.0033227033</v>
      </c>
      <c r="V6" s="60">
        <f>'44_Working_Capital'!V6</f>
        <v>2696748.8642754573</v>
      </c>
      <c r="W6" s="60">
        <f>'44_Working_Capital'!W6</f>
        <v>2979215.6665908047</v>
      </c>
      <c r="X6" s="60">
        <f>'44_Working_Capital'!X6</f>
        <v>3275579.0911518205</v>
      </c>
      <c r="Y6" s="60">
        <f>'44_Working_Capital'!Y6</f>
        <v>3586682.820897622</v>
      </c>
      <c r="Z6" s="60">
        <f>'44_Working_Capital'!Z6</f>
        <v>3913428.8641610402</v>
      </c>
      <c r="AA6" s="60">
        <f>'44_Working_Capital'!AA6</f>
        <v>4256780.1145653035</v>
      </c>
      <c r="AB6" s="60">
        <f>'44_Working_Capital'!AB6</f>
        <v>4617763.1532012466</v>
      </c>
      <c r="AC6" s="60">
        <f>'44_Working_Capital'!AC6</f>
        <v>4997471.2998689478</v>
      </c>
      <c r="AD6" s="60">
        <f>'44_Working_Capital'!AD6</f>
        <v>5397067.9212334584</v>
      </c>
      <c r="AE6" s="60">
        <f>'44_Working_Capital'!AE6</f>
        <v>5817790.004818649</v>
      </c>
      <c r="AF6" s="60">
        <f>'44_Working_Capital'!AF6</f>
        <v>6260952.0088513205</v>
      </c>
      <c r="AG6" s="60">
        <f>'44_Working_Capital'!AG6</f>
        <v>6726602.0592323709</v>
      </c>
      <c r="AH6" s="60">
        <f>'44_Working_Capital'!AH6</f>
        <v>7210792.7535445485</v>
      </c>
      <c r="AI6" s="60">
        <f>'44_Working_Capital'!AI6</f>
        <v>7709977.9908146113</v>
      </c>
      <c r="AJ6" s="60">
        <f>'44_Working_Capital'!AJ6</f>
        <v>8220977.0050297193</v>
      </c>
      <c r="AK6" s="60">
        <f>'44_Working_Capital'!AK6</f>
        <v>8740941.4839600753</v>
      </c>
      <c r="AL6" s="161">
        <f t="shared" si="0"/>
        <v>666962.0979908061</v>
      </c>
      <c r="AM6" s="87">
        <f t="shared" si="1"/>
        <v>3586682.820897622</v>
      </c>
      <c r="AN6" s="115">
        <f t="shared" si="2"/>
        <v>8740941.4839600753</v>
      </c>
    </row>
    <row r="7" spans="1:40" ht="15" thickBot="1" x14ac:dyDescent="0.35">
      <c r="A7" s="105" t="s">
        <v>203</v>
      </c>
      <c r="B7" s="76">
        <f>'43_CAPEX_Depreciation'!B8</f>
        <v>59776</v>
      </c>
      <c r="C7" s="60">
        <f>'43_CAPEX_Depreciation'!C8</f>
        <v>120375.55555555556</v>
      </c>
      <c r="D7" s="60">
        <f>'43_CAPEX_Depreciation'!D8</f>
        <v>181775.7901234568</v>
      </c>
      <c r="E7" s="60">
        <f>'43_CAPEX_Depreciation'!E8</f>
        <v>243954.46262002745</v>
      </c>
      <c r="F7" s="60">
        <f>'43_CAPEX_Depreciation'!F8</f>
        <v>306889.94976947119</v>
      </c>
      <c r="G7" s="60">
        <f>'43_CAPEX_Depreciation'!G8</f>
        <v>370561.22894254141</v>
      </c>
      <c r="H7" s="60">
        <f>'43_CAPEX_Depreciation'!H8</f>
        <v>434947.86147191527</v>
      </c>
      <c r="I7" s="60">
        <f>'43_CAPEX_Depreciation'!I8</f>
        <v>500029.97643102874</v>
      </c>
      <c r="J7" s="60">
        <f>'43_CAPEX_Depreciation'!J8</f>
        <v>565788.25486350013</v>
      </c>
      <c r="K7" s="60">
        <f>'43_CAPEX_Depreciation'!K8</f>
        <v>632203.91445062507</v>
      </c>
      <c r="L7" s="60">
        <f>'43_CAPEX_Depreciation'!L8</f>
        <v>699258.69460477435</v>
      </c>
      <c r="M7" s="60">
        <f>'43_CAPEX_Depreciation'!M8</f>
        <v>766934.84197686391</v>
      </c>
      <c r="N7" s="60">
        <f>'43_CAPEX_Depreciation'!N8</f>
        <v>833973.09636639548</v>
      </c>
      <c r="O7" s="60">
        <f>'43_CAPEX_Depreciation'!O8</f>
        <v>900391.17702288448</v>
      </c>
      <c r="P7" s="60">
        <f>'43_CAPEX_Depreciation'!P8</f>
        <v>966206.31099447107</v>
      </c>
      <c r="Q7" s="60">
        <f>'43_CAPEX_Depreciation'!Q8</f>
        <v>1031435.2468001801</v>
      </c>
      <c r="R7" s="60">
        <f>'43_CAPEX_Depreciation'!R8</f>
        <v>1096094.2677223973</v>
      </c>
      <c r="S7" s="60">
        <f>'43_CAPEX_Depreciation'!S8</f>
        <v>1160199.2047301086</v>
      </c>
      <c r="T7" s="60">
        <f>'43_CAPEX_Depreciation'!T8</f>
        <v>1223765.4490431612</v>
      </c>
      <c r="U7" s="60">
        <f>'43_CAPEX_Depreciation'!U8</f>
        <v>1286807.9643475178</v>
      </c>
      <c r="V7" s="60">
        <f>'43_CAPEX_Depreciation'!V8</f>
        <v>1349341.2986711978</v>
      </c>
      <c r="W7" s="60">
        <f>'43_CAPEX_Depreciation'!W8</f>
        <v>1411379.5959303312</v>
      </c>
      <c r="X7" s="60">
        <f>'43_CAPEX_Depreciation'!X8</f>
        <v>1472936.6071544886</v>
      </c>
      <c r="Y7" s="60">
        <f>'43_CAPEX_Depreciation'!Y8</f>
        <v>1534025.7014001971</v>
      </c>
      <c r="Z7" s="60">
        <f>'43_CAPEX_Depreciation'!Z8</f>
        <v>1594659.8763613028</v>
      </c>
      <c r="AA7" s="60">
        <f>'43_CAPEX_Depreciation'!AA8</f>
        <v>1654851.7686846</v>
      </c>
      <c r="AB7" s="60">
        <f>'43_CAPEX_Depreciation'!AB8</f>
        <v>1714613.6639989167</v>
      </c>
      <c r="AC7" s="60">
        <f>'43_CAPEX_Depreciation'!AC8</f>
        <v>1773957.5066656135</v>
      </c>
      <c r="AD7" s="60">
        <f>'43_CAPEX_Depreciation'!AD8</f>
        <v>1832894.9092582352</v>
      </c>
      <c r="AE7" s="60">
        <f>'43_CAPEX_Depreciation'!AE8</f>
        <v>1891437.1617788398</v>
      </c>
      <c r="AF7" s="60">
        <f>'43_CAPEX_Depreciation'!AF8</f>
        <v>1949595.2406183165</v>
      </c>
      <c r="AG7" s="60">
        <f>'43_CAPEX_Depreciation'!AG8</f>
        <v>2007379.8172678077</v>
      </c>
      <c r="AH7" s="60">
        <f>'43_CAPEX_Depreciation'!AH8</f>
        <v>2064801.2667881465</v>
      </c>
      <c r="AI7" s="60">
        <f>'43_CAPEX_Depreciation'!AI8</f>
        <v>2121869.676044031</v>
      </c>
      <c r="AJ7" s="60">
        <f>'43_CAPEX_Depreciation'!AJ8</f>
        <v>2178594.8517094748</v>
      </c>
      <c r="AK7" s="60">
        <f>'43_CAPEX_Depreciation'!AK8</f>
        <v>2234986.3280508784</v>
      </c>
      <c r="AL7" s="162">
        <f t="shared" si="0"/>
        <v>766934.84197686391</v>
      </c>
      <c r="AM7" s="68">
        <f t="shared" si="1"/>
        <v>1534025.7014001971</v>
      </c>
      <c r="AN7" s="114">
        <f t="shared" si="2"/>
        <v>2234986.3280508784</v>
      </c>
    </row>
    <row r="8" spans="1:40" x14ac:dyDescent="0.3">
      <c r="A8" s="56" t="s">
        <v>66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6"/>
      <c r="AM8" s="58"/>
      <c r="AN8" s="69"/>
    </row>
    <row r="9" spans="1:40" x14ac:dyDescent="0.3">
      <c r="A9" s="108" t="s">
        <v>201</v>
      </c>
      <c r="B9" s="110">
        <f>'44_Working_Capital'!B8</f>
        <v>4462.5</v>
      </c>
      <c r="C9" s="60">
        <f>'44_Working_Capital'!C8</f>
        <v>9037.0310625000002</v>
      </c>
      <c r="D9" s="60">
        <f>'44_Working_Capital'!D8</f>
        <v>13735.748863574063</v>
      </c>
      <c r="E9" s="60">
        <f>'44_Working_Capital'!E8</f>
        <v>18571.348806979644</v>
      </c>
      <c r="F9" s="60">
        <f>'44_Working_Capital'!F8</f>
        <v>23557.105024360088</v>
      </c>
      <c r="G9" s="60">
        <f>'44_Working_Capital'!G8</f>
        <v>28706.911484575048</v>
      </c>
      <c r="H9" s="60">
        <f>'44_Working_Capital'!H8</f>
        <v>34035.325346763202</v>
      </c>
      <c r="I9" s="60">
        <f>'44_Working_Capital'!I8</f>
        <v>39557.612699536854</v>
      </c>
      <c r="J9" s="60">
        <f>'44_Working_Capital'!J8</f>
        <v>45289.7968369804</v>
      </c>
      <c r="K9" s="60">
        <f>'44_Working_Capital'!K8</f>
        <v>51248.709230903485</v>
      </c>
      <c r="L9" s="60">
        <f>'44_Working_Capital'!L8</f>
        <v>57452.043368113598</v>
      </c>
      <c r="M9" s="60">
        <f>'44_Working_Capital'!M8</f>
        <v>63918.411631355106</v>
      </c>
      <c r="N9" s="60">
        <f>'44_Working_Capital'!N8</f>
        <v>70667.405413045126</v>
      </c>
      <c r="O9" s="60">
        <f>'44_Working_Capital'!O8</f>
        <v>77719.658662057045</v>
      </c>
      <c r="P9" s="60">
        <f>'44_Working_Capital'!P8</f>
        <v>85096.915075598721</v>
      </c>
      <c r="Q9" s="60">
        <f>'44_Working_Capital'!Q8</f>
        <v>92822.099160743077</v>
      </c>
      <c r="R9" s="60">
        <f>'44_Working_Capital'!R8</f>
        <v>100919.39140343876</v>
      </c>
      <c r="S9" s="60">
        <f>'44_Working_Capital'!S8</f>
        <v>109414.30779690015</v>
      </c>
      <c r="T9" s="60">
        <f>'44_Working_Capital'!T8</f>
        <v>118333.7839962008</v>
      </c>
      <c r="U9" s="60">
        <f>'44_Working_Capital'!U8</f>
        <v>127706.26438171926</v>
      </c>
      <c r="V9" s="60">
        <f>'44_Working_Capital'!V8</f>
        <v>137561.79633086899</v>
      </c>
      <c r="W9" s="60">
        <f>'44_Working_Capital'!W8</f>
        <v>147932.13001533819</v>
      </c>
      <c r="X9" s="60">
        <f>'44_Working_Capital'!X8</f>
        <v>158850.82405993386</v>
      </c>
      <c r="Y9" s="60">
        <f>'44_Working_Capital'!Y8</f>
        <v>170353.35741913223</v>
      </c>
      <c r="Z9" s="60">
        <f>'44_Working_Capital'!Z8</f>
        <v>182477.24784864756</v>
      </c>
      <c r="AA9" s="60">
        <f>'44_Working_Capital'!AA8</f>
        <v>195262.17737182433</v>
      </c>
      <c r="AB9" s="60">
        <f>'44_Working_Capital'!AB8</f>
        <v>208750.12516450117</v>
      </c>
      <c r="AC9" s="60">
        <f>'44_Working_Capital'!AC8</f>
        <v>222985.50830727647</v>
      </c>
      <c r="AD9" s="60">
        <f>'44_Working_Capital'!AD8</f>
        <v>238015.33088090815</v>
      </c>
      <c r="AE9" s="60">
        <f>'44_Working_Capital'!AE8</f>
        <v>253889.34190899375</v>
      </c>
      <c r="AF9" s="60">
        <f>'44_Working_Capital'!AF8</f>
        <v>270660.20268220478</v>
      </c>
      <c r="AG9" s="60">
        <f>'44_Working_Capital'!AG8</f>
        <v>287990.51490960934</v>
      </c>
      <c r="AH9" s="60">
        <f>'44_Working_Capital'!AH8</f>
        <v>304716.08589183848</v>
      </c>
      <c r="AI9" s="60">
        <f>'44_Working_Capital'!AI8</f>
        <v>320858.01807464281</v>
      </c>
      <c r="AJ9" s="60">
        <f>'44_Working_Capital'!AJ8</f>
        <v>336436.67753392819</v>
      </c>
      <c r="AK9" s="60">
        <f>'44_Working_Capital'!AK8</f>
        <v>351471.71967138181</v>
      </c>
      <c r="AL9" s="161">
        <f>M9</f>
        <v>63918.411631355106</v>
      </c>
      <c r="AM9" s="87">
        <f>Y9</f>
        <v>170353.35741913223</v>
      </c>
      <c r="AN9" s="115">
        <f>AK9</f>
        <v>351471.71967138181</v>
      </c>
    </row>
    <row r="10" spans="1:40" x14ac:dyDescent="0.3">
      <c r="A10" s="108" t="s">
        <v>67</v>
      </c>
      <c r="B10" s="110">
        <f>'44_Working_Capital'!B9</f>
        <v>7650</v>
      </c>
      <c r="C10" s="60">
        <f>'44_Working_Capital'!C9</f>
        <v>15492.053250000001</v>
      </c>
      <c r="D10" s="60">
        <f>'44_Working_Capital'!D9</f>
        <v>23546.998051841249</v>
      </c>
      <c r="E10" s="60">
        <f>'44_Working_Capital'!E9</f>
        <v>31836.597954822242</v>
      </c>
      <c r="F10" s="60">
        <f>'44_Working_Capital'!F9</f>
        <v>40383.60861318872</v>
      </c>
      <c r="G10" s="60">
        <f>'44_Working_Capital'!G9</f>
        <v>49211.848259271508</v>
      </c>
      <c r="H10" s="60">
        <f>'44_Working_Capital'!H9</f>
        <v>58346.272023022626</v>
      </c>
      <c r="I10" s="60">
        <f>'44_Working_Capital'!I9</f>
        <v>67813.050342063158</v>
      </c>
      <c r="J10" s="60">
        <f>'44_Working_Capital'!J9</f>
        <v>77639.651720537819</v>
      </c>
      <c r="K10" s="60">
        <f>'44_Working_Capital'!K9</f>
        <v>87854.930110120244</v>
      </c>
      <c r="L10" s="60">
        <f>'44_Working_Capital'!L9</f>
        <v>98489.217202480446</v>
      </c>
      <c r="M10" s="60">
        <f>'44_Working_Capital'!M9</f>
        <v>109574.41993946588</v>
      </c>
      <c r="N10" s="60">
        <f>'44_Working_Capital'!N9</f>
        <v>121144.1235652202</v>
      </c>
      <c r="O10" s="60">
        <f>'44_Working_Capital'!O9</f>
        <v>133233.70056352636</v>
      </c>
      <c r="P10" s="60">
        <f>'44_Working_Capital'!P9</f>
        <v>145880.42584388348</v>
      </c>
      <c r="Q10" s="60">
        <f>'44_Working_Capital'!Q9</f>
        <v>159123.59856127383</v>
      </c>
      <c r="R10" s="60">
        <f>'44_Working_Capital'!R9</f>
        <v>173004.67097732358</v>
      </c>
      <c r="S10" s="60">
        <f>'44_Working_Capital'!S9</f>
        <v>187567.38479468596</v>
      </c>
      <c r="T10" s="60">
        <f>'44_Working_Capital'!T9</f>
        <v>202857.91542205852</v>
      </c>
      <c r="U10" s="60">
        <f>'44_Working_Capital'!U9</f>
        <v>218925.02465437588</v>
      </c>
      <c r="V10" s="60">
        <f>'44_Working_Capital'!V9</f>
        <v>235820.22228148967</v>
      </c>
      <c r="W10" s="60">
        <f>'44_Working_Capital'!W9</f>
        <v>253597.93716915115</v>
      </c>
      <c r="X10" s="60">
        <f>'44_Working_Capital'!X9</f>
        <v>272315.69838845805</v>
      </c>
      <c r="Y10" s="60">
        <f>'44_Working_Capital'!Y9</f>
        <v>292034.32700422668</v>
      </c>
      <c r="Z10" s="60">
        <f>'44_Working_Capital'!Z9</f>
        <v>312818.1391691101</v>
      </c>
      <c r="AA10" s="60">
        <f>'44_Working_Capital'!AA9</f>
        <v>334735.16120884172</v>
      </c>
      <c r="AB10" s="60">
        <f>'44_Working_Capital'!AB9</f>
        <v>357857.35742485907</v>
      </c>
      <c r="AC10" s="60">
        <f>'44_Working_Capital'!AC9</f>
        <v>382260.8713839025</v>
      </c>
      <c r="AD10" s="60">
        <f>'44_Working_Capital'!AD9</f>
        <v>408026.28151012817</v>
      </c>
      <c r="AE10" s="60">
        <f>'44_Working_Capital'!AE9</f>
        <v>435238.87184398918</v>
      </c>
      <c r="AF10" s="60">
        <f>'44_Working_Capital'!AF9</f>
        <v>463988.91888377967</v>
      </c>
      <c r="AG10" s="60">
        <f>'44_Working_Capital'!AG9</f>
        <v>493698.0255593303</v>
      </c>
      <c r="AH10" s="60">
        <f>'44_Working_Capital'!AH9</f>
        <v>522370.43295743741</v>
      </c>
      <c r="AI10" s="60">
        <f>'44_Working_Capital'!AI9</f>
        <v>550042.31669938762</v>
      </c>
      <c r="AJ10" s="60">
        <f>'44_Working_Capital'!AJ9</f>
        <v>576748.59005816258</v>
      </c>
      <c r="AK10" s="60">
        <f>'44_Working_Capital'!AK9</f>
        <v>602522.94800808316</v>
      </c>
      <c r="AL10" s="161">
        <f t="shared" ref="AL10:AL11" si="3">M10</f>
        <v>109574.41993946588</v>
      </c>
      <c r="AM10" s="87">
        <f t="shared" ref="AM10:AM11" si="4">Y10</f>
        <v>292034.32700422668</v>
      </c>
      <c r="AN10" s="115">
        <f t="shared" ref="AN10:AN11" si="5">AK10</f>
        <v>602522.94800808316</v>
      </c>
    </row>
    <row r="11" spans="1:40" x14ac:dyDescent="0.3">
      <c r="A11" s="108" t="s">
        <v>68</v>
      </c>
      <c r="B11" s="110">
        <f>'45_Funding_Interest_Equity'!B5</f>
        <v>0</v>
      </c>
      <c r="C11" s="60">
        <f>'45_Funding_Interest_Equity'!C5</f>
        <v>0</v>
      </c>
      <c r="D11" s="60">
        <f>'45_Funding_Interest_Equity'!D5</f>
        <v>0</v>
      </c>
      <c r="E11" s="60">
        <f>'45_Funding_Interest_Equity'!E5</f>
        <v>0</v>
      </c>
      <c r="F11" s="60">
        <f>'45_Funding_Interest_Equity'!F5</f>
        <v>0</v>
      </c>
      <c r="G11" s="60">
        <f>'45_Funding_Interest_Equity'!G5</f>
        <v>1000000</v>
      </c>
      <c r="H11" s="60">
        <f>'45_Funding_Interest_Equity'!H5</f>
        <v>1000000</v>
      </c>
      <c r="I11" s="60">
        <f>'45_Funding_Interest_Equity'!I5</f>
        <v>1000000</v>
      </c>
      <c r="J11" s="60">
        <f>'45_Funding_Interest_Equity'!J5</f>
        <v>2000000</v>
      </c>
      <c r="K11" s="60">
        <f>'45_Funding_Interest_Equity'!K5</f>
        <v>2000000</v>
      </c>
      <c r="L11" s="60">
        <f>'45_Funding_Interest_Equity'!L5</f>
        <v>2000000</v>
      </c>
      <c r="M11" s="60">
        <f>'45_Funding_Interest_Equity'!M5</f>
        <v>2000000</v>
      </c>
      <c r="N11" s="60">
        <f>'45_Funding_Interest_Equity'!N5</f>
        <v>2000000</v>
      </c>
      <c r="O11" s="60">
        <f>'45_Funding_Interest_Equity'!O5</f>
        <v>2000000</v>
      </c>
      <c r="P11" s="60">
        <f>'45_Funding_Interest_Equity'!P5</f>
        <v>2000000</v>
      </c>
      <c r="Q11" s="60">
        <f>'45_Funding_Interest_Equity'!Q5</f>
        <v>2000000</v>
      </c>
      <c r="R11" s="60">
        <f>'45_Funding_Interest_Equity'!R5</f>
        <v>2000000</v>
      </c>
      <c r="S11" s="60">
        <f>'45_Funding_Interest_Equity'!S5</f>
        <v>2000000</v>
      </c>
      <c r="T11" s="60">
        <f>'45_Funding_Interest_Equity'!T5</f>
        <v>2000000</v>
      </c>
      <c r="U11" s="60">
        <f>'45_Funding_Interest_Equity'!U5</f>
        <v>2000000</v>
      </c>
      <c r="V11" s="60">
        <f>'45_Funding_Interest_Equity'!V5</f>
        <v>2000000</v>
      </c>
      <c r="W11" s="60">
        <f>'45_Funding_Interest_Equity'!W5</f>
        <v>2000000</v>
      </c>
      <c r="X11" s="60">
        <f>'45_Funding_Interest_Equity'!X5</f>
        <v>2000000</v>
      </c>
      <c r="Y11" s="60">
        <f>'45_Funding_Interest_Equity'!Y5</f>
        <v>2000000</v>
      </c>
      <c r="Z11" s="60">
        <f>'45_Funding_Interest_Equity'!Z5</f>
        <v>2000000</v>
      </c>
      <c r="AA11" s="60">
        <f>'45_Funding_Interest_Equity'!AA5</f>
        <v>2000000</v>
      </c>
      <c r="AB11" s="60">
        <f>'45_Funding_Interest_Equity'!AB5</f>
        <v>2000000</v>
      </c>
      <c r="AC11" s="60">
        <f>'45_Funding_Interest_Equity'!AC5</f>
        <v>2000000</v>
      </c>
      <c r="AD11" s="60">
        <f>'45_Funding_Interest_Equity'!AD5</f>
        <v>2000000</v>
      </c>
      <c r="AE11" s="60">
        <f>'45_Funding_Interest_Equity'!AE5</f>
        <v>2000000</v>
      </c>
      <c r="AF11" s="60">
        <f>'45_Funding_Interest_Equity'!AF5</f>
        <v>2000000</v>
      </c>
      <c r="AG11" s="60">
        <f>'45_Funding_Interest_Equity'!AG5</f>
        <v>2000000</v>
      </c>
      <c r="AH11" s="60">
        <f>'45_Funding_Interest_Equity'!AH5</f>
        <v>2000000</v>
      </c>
      <c r="AI11" s="60">
        <f>'45_Funding_Interest_Equity'!AI5</f>
        <v>2000000</v>
      </c>
      <c r="AJ11" s="60">
        <f>'45_Funding_Interest_Equity'!AJ5</f>
        <v>2000000</v>
      </c>
      <c r="AK11" s="60">
        <f>'45_Funding_Interest_Equity'!AK5</f>
        <v>2000000</v>
      </c>
      <c r="AL11" s="161">
        <f t="shared" si="3"/>
        <v>2000000</v>
      </c>
      <c r="AM11" s="87">
        <f t="shared" si="4"/>
        <v>2000000</v>
      </c>
      <c r="AN11" s="115">
        <f t="shared" si="5"/>
        <v>2000000</v>
      </c>
    </row>
    <row r="12" spans="1:40" x14ac:dyDescent="0.3">
      <c r="A12" s="59" t="s">
        <v>69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59"/>
      <c r="AN12" s="71"/>
    </row>
    <row r="13" spans="1:40" x14ac:dyDescent="0.3">
      <c r="A13" s="108" t="s">
        <v>70</v>
      </c>
      <c r="B13" s="60">
        <f>'36_Inputs_Funding'!$B$2</f>
        <v>5000000</v>
      </c>
      <c r="C13" s="60">
        <f>B13+'45_Funding_Interest_Equity'!C7</f>
        <v>5000000</v>
      </c>
      <c r="D13" s="60">
        <f>C13+'45_Funding_Interest_Equity'!D7</f>
        <v>5000000</v>
      </c>
      <c r="E13" s="60">
        <f>D13+'45_Funding_Interest_Equity'!E7</f>
        <v>5000000</v>
      </c>
      <c r="F13" s="60">
        <f>E13+'45_Funding_Interest_Equity'!F7</f>
        <v>5000000</v>
      </c>
      <c r="G13" s="60">
        <f>F13+'45_Funding_Interest_Equity'!G7</f>
        <v>30000000</v>
      </c>
      <c r="H13" s="60">
        <f>G13+'45_Funding_Interest_Equity'!H7</f>
        <v>30000000</v>
      </c>
      <c r="I13" s="60">
        <f>H13+'45_Funding_Interest_Equity'!I7</f>
        <v>30000000</v>
      </c>
      <c r="J13" s="60">
        <f>I13+'45_Funding_Interest_Equity'!J7</f>
        <v>30000000</v>
      </c>
      <c r="K13" s="60">
        <f>J13+'45_Funding_Interest_Equity'!K7</f>
        <v>30000000</v>
      </c>
      <c r="L13" s="60">
        <f>K13+'45_Funding_Interest_Equity'!L7</f>
        <v>30000000</v>
      </c>
      <c r="M13" s="60">
        <f>L13+'45_Funding_Interest_Equity'!M7</f>
        <v>30000000</v>
      </c>
      <c r="N13" s="60">
        <f>M13+'45_Funding_Interest_Equity'!N7</f>
        <v>30000000</v>
      </c>
      <c r="O13" s="60">
        <f>N13+'45_Funding_Interest_Equity'!O7</f>
        <v>30000000</v>
      </c>
      <c r="P13" s="60">
        <f>O13+'45_Funding_Interest_Equity'!P7</f>
        <v>30000000</v>
      </c>
      <c r="Q13" s="60">
        <f>P13+'45_Funding_Interest_Equity'!Q7</f>
        <v>30000000</v>
      </c>
      <c r="R13" s="60">
        <f>Q13+'45_Funding_Interest_Equity'!R7</f>
        <v>30000000</v>
      </c>
      <c r="S13" s="60">
        <f>R13+'45_Funding_Interest_Equity'!S7</f>
        <v>30000000</v>
      </c>
      <c r="T13" s="60">
        <f>S13+'45_Funding_Interest_Equity'!T7</f>
        <v>30000000</v>
      </c>
      <c r="U13" s="60">
        <f>T13+'45_Funding_Interest_Equity'!U7</f>
        <v>30000000</v>
      </c>
      <c r="V13" s="60">
        <f>U13+'45_Funding_Interest_Equity'!V7</f>
        <v>30000000</v>
      </c>
      <c r="W13" s="60">
        <f>V13+'45_Funding_Interest_Equity'!W7</f>
        <v>30000000</v>
      </c>
      <c r="X13" s="60">
        <f>W13+'45_Funding_Interest_Equity'!X7</f>
        <v>30000000</v>
      </c>
      <c r="Y13" s="60">
        <f>X13+'45_Funding_Interest_Equity'!Y7</f>
        <v>30000000</v>
      </c>
      <c r="Z13" s="60">
        <f>Y13+'45_Funding_Interest_Equity'!Z7</f>
        <v>30000000</v>
      </c>
      <c r="AA13" s="60">
        <f>Z13+'45_Funding_Interest_Equity'!AA7</f>
        <v>30000000</v>
      </c>
      <c r="AB13" s="60">
        <f>AA13+'45_Funding_Interest_Equity'!AB7</f>
        <v>30000000</v>
      </c>
      <c r="AC13" s="60">
        <f>AB13+'45_Funding_Interest_Equity'!AC7</f>
        <v>30000000</v>
      </c>
      <c r="AD13" s="60">
        <f>AC13+'45_Funding_Interest_Equity'!AD7</f>
        <v>30000000</v>
      </c>
      <c r="AE13" s="60">
        <f>AD13+'45_Funding_Interest_Equity'!AE7</f>
        <v>30000000</v>
      </c>
      <c r="AF13" s="60">
        <f>AE13+'45_Funding_Interest_Equity'!AF7</f>
        <v>30000000</v>
      </c>
      <c r="AG13" s="60">
        <f>AF13+'45_Funding_Interest_Equity'!AG7</f>
        <v>30000000</v>
      </c>
      <c r="AH13" s="60">
        <f>AG13+'45_Funding_Interest_Equity'!AH7</f>
        <v>30000000</v>
      </c>
      <c r="AI13" s="60">
        <f>AH13+'45_Funding_Interest_Equity'!AI7</f>
        <v>30000000</v>
      </c>
      <c r="AJ13" s="60">
        <f>AI13+'45_Funding_Interest_Equity'!AJ7</f>
        <v>30000000</v>
      </c>
      <c r="AK13" s="60">
        <f>AJ13+'45_Funding_Interest_Equity'!AK7</f>
        <v>30000000</v>
      </c>
      <c r="AL13" s="161">
        <f t="shared" ref="AL13:AL14" si="6">M13</f>
        <v>30000000</v>
      </c>
      <c r="AM13" s="87">
        <f t="shared" ref="AM13:AM14" si="7">Y13</f>
        <v>30000000</v>
      </c>
      <c r="AN13" s="115">
        <f t="shared" ref="AN13:AN14" si="8">AK13</f>
        <v>30000000</v>
      </c>
    </row>
    <row r="14" spans="1:40" ht="15" thickBot="1" x14ac:dyDescent="0.35">
      <c r="A14" s="109" t="s">
        <v>71</v>
      </c>
      <c r="B14" s="111">
        <f>'10_Income_Statement'!B15</f>
        <v>-1305480</v>
      </c>
      <c r="C14" s="62">
        <f>B14+'10_Income_Statement'!C15</f>
        <v>-2642940.4457015875</v>
      </c>
      <c r="D14" s="62">
        <f>C14+'10_Income_Statement'!D15</f>
        <v>-4012229.8309341045</v>
      </c>
      <c r="E14" s="62">
        <f>D14+'10_Income_Statement'!E15</f>
        <v>-5413146.9012189396</v>
      </c>
      <c r="F14" s="62">
        <f>E14+'10_Income_Statement'!F15</f>
        <v>-6845438.7607610673</v>
      </c>
      <c r="G14" s="62">
        <f>F14+'10_Income_Statement'!G15</f>
        <v>-8312965.4777242709</v>
      </c>
      <c r="H14" s="62">
        <f>G14+'10_Income_Statement'!H15</f>
        <v>-9815364.5119864605</v>
      </c>
      <c r="I14" s="62">
        <f>H14+'10_Income_Statement'!I15</f>
        <v>-11348048.288938703</v>
      </c>
      <c r="J14" s="62">
        <f>I14+'10_Income_Statement'!J15</f>
        <v>-12909189.160282159</v>
      </c>
      <c r="K14" s="62">
        <f>J14+'10_Income_Statement'!K15</f>
        <v>-14501391.62960979</v>
      </c>
      <c r="L14" s="62">
        <f>K14+'10_Income_Statement'!L15</f>
        <v>-16119767.714654969</v>
      </c>
      <c r="M14" s="62">
        <f>L14+'10_Income_Statement'!M15</f>
        <v>-17763521.415372808</v>
      </c>
      <c r="N14" s="62">
        <f>M14+'10_Income_Statement'!N15</f>
        <v>-19407299.337667946</v>
      </c>
      <c r="O14" s="62">
        <f>N14+'10_Income_Statement'!O15</f>
        <v>-21050108.933870498</v>
      </c>
      <c r="P14" s="62">
        <f>O14+'10_Income_Statement'!P15</f>
        <v>-22690870.704491314</v>
      </c>
      <c r="Q14" s="62">
        <f>P14+'10_Income_Statement'!Q15</f>
        <v>-24328413.184174597</v>
      </c>
      <c r="R14" s="62">
        <f>Q14+'10_Income_Statement'!R15</f>
        <v>-25961467.605578627</v>
      </c>
      <c r="S14" s="62">
        <f>R14+'10_Income_Statement'!S15</f>
        <v>-27588662.219522752</v>
      </c>
      <c r="T14" s="62">
        <f>S14+'10_Income_Statement'!T15</f>
        <v>-29208516.248545766</v>
      </c>
      <c r="U14" s="62">
        <f>T14+'10_Income_Statement'!U15</f>
        <v>-30819433.449737657</v>
      </c>
      <c r="V14" s="62">
        <f>U14+'10_Income_Statement'!V15</f>
        <v>-32419695.261329181</v>
      </c>
      <c r="W14" s="62">
        <f>V14+'10_Income_Statement'!W15</f>
        <v>-34007453.50604742</v>
      </c>
      <c r="X14" s="62">
        <f>W14+'10_Income_Statement'!X15</f>
        <v>-35580722.622665092</v>
      </c>
      <c r="Y14" s="62">
        <f>X14+'10_Income_Statement'!Y15</f>
        <v>-37137371.395481914</v>
      </c>
      <c r="Z14" s="62">
        <f>Y14+'10_Income_Statement'!Z15</f>
        <v>-38675114.149671525</v>
      </c>
      <c r="AA14" s="62">
        <f>Z14+'10_Income_Statement'!AA15</f>
        <v>-40191501.3785014</v>
      </c>
      <c r="AB14" s="62">
        <f>AA14+'10_Income_Statement'!AB15</f>
        <v>-41683909.766379103</v>
      </c>
      <c r="AC14" s="62">
        <f>AB14+'10_Income_Statement'!AC15</f>
        <v>-43149531.569488637</v>
      </c>
      <c r="AD14" s="62">
        <f>AC14+'10_Income_Statement'!AD15</f>
        <v>-44585363.313448273</v>
      </c>
      <c r="AE14" s="62">
        <f>AD14+'10_Income_Statement'!AE15</f>
        <v>-45988193.764937326</v>
      </c>
      <c r="AF14" s="62">
        <f>AE14+'10_Income_Statement'!AF15</f>
        <v>-47354591.131595708</v>
      </c>
      <c r="AG14" s="62">
        <f>AF14+'10_Income_Statement'!AG15</f>
        <v>-48666980.55706691</v>
      </c>
      <c r="AH14" s="62">
        <f>AG14+'10_Income_Statement'!AH15</f>
        <v>-49880718.098410793</v>
      </c>
      <c r="AI14" s="62">
        <f>AH14+'10_Income_Statement'!AI15</f>
        <v>-50999610.666557603</v>
      </c>
      <c r="AJ14" s="62">
        <f>AI14+'10_Income_Statement'!AJ15</f>
        <v>-52027363.664656863</v>
      </c>
      <c r="AK14" s="62">
        <f>AJ14+'10_Income_Statement'!AK15</f>
        <v>-52967581.98116181</v>
      </c>
      <c r="AL14" s="162">
        <f t="shared" si="6"/>
        <v>-17763521.415372808</v>
      </c>
      <c r="AM14" s="68">
        <f t="shared" si="7"/>
        <v>-37137371.395481914</v>
      </c>
      <c r="AN14" s="114">
        <f t="shared" si="8"/>
        <v>-52967581.98116181</v>
      </c>
    </row>
    <row r="16" spans="1:40" ht="15" thickBot="1" x14ac:dyDescent="0.35"/>
    <row r="17" spans="1:40" x14ac:dyDescent="0.3">
      <c r="A17" s="116" t="s">
        <v>209</v>
      </c>
      <c r="B17" s="112">
        <f t="shared" ref="B17:AK17" si="9">SUM(B4:B7)</f>
        <v>3706632.5</v>
      </c>
      <c r="C17" s="112">
        <f t="shared" si="9"/>
        <v>2381588.6386109125</v>
      </c>
      <c r="D17" s="112">
        <f t="shared" si="9"/>
        <v>1025052.9159813111</v>
      </c>
      <c r="E17" s="112">
        <f t="shared" si="9"/>
        <v>-362738.95445713762</v>
      </c>
      <c r="F17" s="112">
        <f t="shared" si="9"/>
        <v>-1781498.0471235188</v>
      </c>
      <c r="G17" s="112">
        <f t="shared" si="9"/>
        <v>22764953.282019578</v>
      </c>
      <c r="H17" s="112">
        <f t="shared" si="9"/>
        <v>21277017.085383322</v>
      </c>
      <c r="I17" s="112">
        <f t="shared" si="9"/>
        <v>19759322.374102894</v>
      </c>
      <c r="J17" s="112">
        <f t="shared" si="9"/>
        <v>19213740.288275365</v>
      </c>
      <c r="K17" s="112">
        <f t="shared" si="9"/>
        <v>17637712.009731237</v>
      </c>
      <c r="L17" s="112">
        <f t="shared" si="9"/>
        <v>16036173.545915626</v>
      </c>
      <c r="M17" s="112">
        <f t="shared" si="9"/>
        <v>14409971.416198015</v>
      </c>
      <c r="N17" s="112">
        <f t="shared" si="9"/>
        <v>12784512.191310324</v>
      </c>
      <c r="O17" s="112">
        <f t="shared" si="9"/>
        <v>11160844.425355086</v>
      </c>
      <c r="P17" s="112">
        <f t="shared" si="9"/>
        <v>9540106.636428168</v>
      </c>
      <c r="Q17" s="112">
        <f t="shared" si="9"/>
        <v>7923532.5135474205</v>
      </c>
      <c r="R17" s="112">
        <f t="shared" si="9"/>
        <v>6312456.4568021353</v>
      </c>
      <c r="S17" s="112">
        <f t="shared" si="9"/>
        <v>4708319.4730688361</v>
      </c>
      <c r="T17" s="112">
        <f t="shared" si="9"/>
        <v>3112675.4508724958</v>
      </c>
      <c r="U17" s="112">
        <f t="shared" si="9"/>
        <v>1527197.8392984408</v>
      </c>
      <c r="V17" s="112">
        <f t="shared" si="9"/>
        <v>-46313.242716820678</v>
      </c>
      <c r="W17" s="112">
        <f t="shared" si="9"/>
        <v>-1605923.4388629261</v>
      </c>
      <c r="X17" s="112">
        <f t="shared" si="9"/>
        <v>-3149556.1002166942</v>
      </c>
      <c r="Y17" s="112">
        <f t="shared" si="9"/>
        <v>-4674983.7110585542</v>
      </c>
      <c r="Z17" s="112">
        <f t="shared" si="9"/>
        <v>-6179818.7626537662</v>
      </c>
      <c r="AA17" s="112">
        <f t="shared" si="9"/>
        <v>-7661504.0399207324</v>
      </c>
      <c r="AB17" s="112">
        <f t="shared" si="9"/>
        <v>-9117302.2837897372</v>
      </c>
      <c r="AC17" s="112">
        <f t="shared" si="9"/>
        <v>-10544285.189797454</v>
      </c>
      <c r="AD17" s="112">
        <f t="shared" si="9"/>
        <v>-11939321.701057239</v>
      </c>
      <c r="AE17" s="112">
        <f t="shared" si="9"/>
        <v>-13299065.551184347</v>
      </c>
      <c r="AF17" s="112">
        <f t="shared" si="9"/>
        <v>-14619942.010029724</v>
      </c>
      <c r="AG17" s="112">
        <f t="shared" si="9"/>
        <v>-15885292.016597969</v>
      </c>
      <c r="AH17" s="112">
        <f t="shared" si="9"/>
        <v>-17053631.579561509</v>
      </c>
      <c r="AI17" s="112">
        <f t="shared" si="9"/>
        <v>-18128710.33178357</v>
      </c>
      <c r="AJ17" s="112">
        <f t="shared" si="9"/>
        <v>-19114178.397064768</v>
      </c>
      <c r="AK17" s="112">
        <f t="shared" si="9"/>
        <v>-20013587.31348234</v>
      </c>
      <c r="AL17" s="163">
        <f t="shared" ref="AL17:AL18" si="10">M17</f>
        <v>14409971.416198015</v>
      </c>
      <c r="AM17" s="112">
        <f t="shared" ref="AM17:AM18" si="11">Y17</f>
        <v>-4674983.7110585542</v>
      </c>
      <c r="AN17" s="113">
        <f t="shared" ref="AN17:AN18" si="12">AK17</f>
        <v>-20013587.31348234</v>
      </c>
    </row>
    <row r="18" spans="1:40" x14ac:dyDescent="0.3">
      <c r="A18" s="117" t="s">
        <v>210</v>
      </c>
      <c r="B18" s="87">
        <f t="shared" ref="B18:AK18" si="13">SUM(B9:B14)</f>
        <v>3706632.5</v>
      </c>
      <c r="C18" s="87">
        <f t="shared" si="13"/>
        <v>2381588.638610913</v>
      </c>
      <c r="D18" s="87">
        <f t="shared" si="13"/>
        <v>1025052.9159813104</v>
      </c>
      <c r="E18" s="87">
        <f t="shared" si="13"/>
        <v>-362738.95445713773</v>
      </c>
      <c r="F18" s="87">
        <f t="shared" si="13"/>
        <v>-1781498.0471235188</v>
      </c>
      <c r="G18" s="87">
        <f t="shared" si="13"/>
        <v>22764953.282019578</v>
      </c>
      <c r="H18" s="87">
        <f t="shared" si="13"/>
        <v>21277017.085383326</v>
      </c>
      <c r="I18" s="87">
        <f t="shared" si="13"/>
        <v>19759322.374102898</v>
      </c>
      <c r="J18" s="87">
        <f t="shared" si="13"/>
        <v>19213740.288275361</v>
      </c>
      <c r="K18" s="87">
        <f t="shared" si="13"/>
        <v>17637712.009731233</v>
      </c>
      <c r="L18" s="87">
        <f t="shared" si="13"/>
        <v>16036173.545915624</v>
      </c>
      <c r="M18" s="87">
        <f t="shared" si="13"/>
        <v>14409971.416198011</v>
      </c>
      <c r="N18" s="87">
        <f t="shared" si="13"/>
        <v>12784512.19131032</v>
      </c>
      <c r="O18" s="87">
        <f t="shared" si="13"/>
        <v>11160844.425355084</v>
      </c>
      <c r="P18" s="87">
        <f t="shared" si="13"/>
        <v>9540106.6364281699</v>
      </c>
      <c r="Q18" s="87">
        <f t="shared" si="13"/>
        <v>7923532.5135474205</v>
      </c>
      <c r="R18" s="87">
        <f t="shared" si="13"/>
        <v>6312456.4568021335</v>
      </c>
      <c r="S18" s="87">
        <f t="shared" si="13"/>
        <v>4708319.4730688334</v>
      </c>
      <c r="T18" s="87">
        <f t="shared" si="13"/>
        <v>3112675.450872492</v>
      </c>
      <c r="U18" s="87">
        <f t="shared" si="13"/>
        <v>1527197.8392984383</v>
      </c>
      <c r="V18" s="87">
        <f t="shared" si="13"/>
        <v>-46313.242716822773</v>
      </c>
      <c r="W18" s="87">
        <f t="shared" si="13"/>
        <v>-1605923.438862931</v>
      </c>
      <c r="X18" s="87">
        <f t="shared" si="13"/>
        <v>-3149556.1002167016</v>
      </c>
      <c r="Y18" s="87">
        <f t="shared" si="13"/>
        <v>-4674983.711058557</v>
      </c>
      <c r="Z18" s="87">
        <f t="shared" si="13"/>
        <v>-6179818.7626537681</v>
      </c>
      <c r="AA18" s="87">
        <f t="shared" si="13"/>
        <v>-7661504.0399207324</v>
      </c>
      <c r="AB18" s="87">
        <f t="shared" si="13"/>
        <v>-9117302.2837897427</v>
      </c>
      <c r="AC18" s="87">
        <f t="shared" si="13"/>
        <v>-10544285.189797457</v>
      </c>
      <c r="AD18" s="87">
        <f t="shared" si="13"/>
        <v>-11939321.701057237</v>
      </c>
      <c r="AE18" s="87">
        <f t="shared" si="13"/>
        <v>-13299065.551184341</v>
      </c>
      <c r="AF18" s="87">
        <f t="shared" si="13"/>
        <v>-14619942.010029726</v>
      </c>
      <c r="AG18" s="87">
        <f t="shared" si="13"/>
        <v>-15885292.016597971</v>
      </c>
      <c r="AH18" s="87">
        <f t="shared" si="13"/>
        <v>-17053631.579561517</v>
      </c>
      <c r="AI18" s="87">
        <f t="shared" si="13"/>
        <v>-18128710.33178357</v>
      </c>
      <c r="AJ18" s="87">
        <f t="shared" si="13"/>
        <v>-19114178.397064772</v>
      </c>
      <c r="AK18" s="87">
        <f t="shared" si="13"/>
        <v>-20013587.313482344</v>
      </c>
      <c r="AL18" s="161">
        <f t="shared" si="10"/>
        <v>14409971.416198011</v>
      </c>
      <c r="AM18" s="87">
        <f t="shared" si="11"/>
        <v>-4674983.711058557</v>
      </c>
      <c r="AN18" s="115">
        <f t="shared" si="12"/>
        <v>-20013587.313482344</v>
      </c>
    </row>
    <row r="19" spans="1:40" ht="15" thickBot="1" x14ac:dyDescent="0.35">
      <c r="A19" s="118" t="s">
        <v>211</v>
      </c>
      <c r="B19" s="68">
        <f>B17-B18</f>
        <v>0</v>
      </c>
      <c r="C19" s="68">
        <f t="shared" ref="C19:AN19" si="14">C17-C18</f>
        <v>0</v>
      </c>
      <c r="D19" s="68">
        <f t="shared" si="14"/>
        <v>0</v>
      </c>
      <c r="E19" s="68">
        <f t="shared" si="14"/>
        <v>0</v>
      </c>
      <c r="F19" s="68">
        <f t="shared" si="14"/>
        <v>0</v>
      </c>
      <c r="G19" s="68">
        <f t="shared" si="14"/>
        <v>0</v>
      </c>
      <c r="H19" s="68">
        <f t="shared" si="14"/>
        <v>0</v>
      </c>
      <c r="I19" s="68">
        <f t="shared" si="14"/>
        <v>0</v>
      </c>
      <c r="J19" s="68">
        <f t="shared" si="14"/>
        <v>0</v>
      </c>
      <c r="K19" s="68">
        <f t="shared" si="14"/>
        <v>0</v>
      </c>
      <c r="L19" s="68">
        <f t="shared" si="14"/>
        <v>0</v>
      </c>
      <c r="M19" s="68">
        <f t="shared" si="14"/>
        <v>0</v>
      </c>
      <c r="N19" s="68">
        <f t="shared" si="14"/>
        <v>0</v>
      </c>
      <c r="O19" s="68">
        <f t="shared" si="14"/>
        <v>0</v>
      </c>
      <c r="P19" s="68">
        <f t="shared" si="14"/>
        <v>0</v>
      </c>
      <c r="Q19" s="68">
        <f t="shared" si="14"/>
        <v>0</v>
      </c>
      <c r="R19" s="68">
        <f t="shared" si="14"/>
        <v>0</v>
      </c>
      <c r="S19" s="68">
        <f t="shared" si="14"/>
        <v>0</v>
      </c>
      <c r="T19" s="68">
        <f t="shared" si="14"/>
        <v>3.7252902984619141E-9</v>
      </c>
      <c r="U19" s="68">
        <f t="shared" si="14"/>
        <v>2.5611370801925659E-9</v>
      </c>
      <c r="V19" s="68">
        <f t="shared" si="14"/>
        <v>2.0954757928848267E-9</v>
      </c>
      <c r="W19" s="68">
        <f t="shared" si="14"/>
        <v>4.8894435167312622E-9</v>
      </c>
      <c r="X19" s="68">
        <f t="shared" si="14"/>
        <v>7.4505805969238281E-9</v>
      </c>
      <c r="Y19" s="68">
        <f t="shared" si="14"/>
        <v>0</v>
      </c>
      <c r="Z19" s="68">
        <f t="shared" si="14"/>
        <v>0</v>
      </c>
      <c r="AA19" s="68">
        <f t="shared" si="14"/>
        <v>0</v>
      </c>
      <c r="AB19" s="68">
        <f t="shared" si="14"/>
        <v>0</v>
      </c>
      <c r="AC19" s="68">
        <f t="shared" si="14"/>
        <v>0</v>
      </c>
      <c r="AD19" s="68">
        <f t="shared" si="14"/>
        <v>0</v>
      </c>
      <c r="AE19" s="68">
        <f t="shared" si="14"/>
        <v>0</v>
      </c>
      <c r="AF19" s="68">
        <f t="shared" si="14"/>
        <v>0</v>
      </c>
      <c r="AG19" s="68">
        <f t="shared" si="14"/>
        <v>0</v>
      </c>
      <c r="AH19" s="68">
        <f t="shared" si="14"/>
        <v>0</v>
      </c>
      <c r="AI19" s="68">
        <f t="shared" si="14"/>
        <v>0</v>
      </c>
      <c r="AJ19" s="68">
        <f t="shared" si="14"/>
        <v>0</v>
      </c>
      <c r="AK19" s="68">
        <f t="shared" si="14"/>
        <v>0</v>
      </c>
      <c r="AL19" s="162">
        <f t="shared" si="14"/>
        <v>0</v>
      </c>
      <c r="AM19" s="68">
        <f t="shared" si="14"/>
        <v>0</v>
      </c>
      <c r="AN19" s="114">
        <f t="shared" si="14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C542-D6B0-4D77-AFA3-9AF248669F13}">
  <dimension ref="A1:I23"/>
  <sheetViews>
    <sheetView workbookViewId="0">
      <selection activeCell="A14" sqref="A14"/>
    </sheetView>
  </sheetViews>
  <sheetFormatPr defaultRowHeight="14.4" x14ac:dyDescent="0.3"/>
  <cols>
    <col min="1" max="1" width="17" bestFit="1" customWidth="1"/>
    <col min="2" max="5" width="11.44140625" bestFit="1" customWidth="1"/>
    <col min="8" max="8" width="16.6640625" bestFit="1" customWidth="1"/>
    <col min="9" max="9" width="18.109375" bestFit="1" customWidth="1"/>
    <col min="10" max="10" width="21.33203125" bestFit="1" customWidth="1"/>
  </cols>
  <sheetData>
    <row r="1" spans="1:9" x14ac:dyDescent="0.3">
      <c r="A1" s="26" t="s">
        <v>228</v>
      </c>
      <c r="B1" s="124"/>
      <c r="C1" s="124"/>
      <c r="D1" s="124"/>
      <c r="E1" s="124"/>
      <c r="H1" s="4" t="s">
        <v>129</v>
      </c>
      <c r="I1" s="4" t="s">
        <v>130</v>
      </c>
    </row>
    <row r="2" spans="1:9" x14ac:dyDescent="0.3">
      <c r="A2" s="125">
        <f>MIN('03_KPIs'!B13:AK13)</f>
        <v>0</v>
      </c>
      <c r="B2" s="126">
        <v>10000000</v>
      </c>
      <c r="C2" s="126">
        <v>15000000</v>
      </c>
      <c r="D2" s="126">
        <v>20000000</v>
      </c>
      <c r="E2" s="126">
        <v>25000000</v>
      </c>
      <c r="H2" s="2">
        <v>6</v>
      </c>
      <c r="I2" s="104">
        <v>25000000</v>
      </c>
    </row>
    <row r="3" spans="1:9" x14ac:dyDescent="0.3">
      <c r="A3" s="3">
        <v>6</v>
      </c>
      <c r="B3" s="125">
        <f t="dataTable" ref="B3:E5" dt2D="1" dtr="1" r1="I2" r2="H2" ca="1"/>
        <v>0</v>
      </c>
      <c r="C3" s="125">
        <v>0</v>
      </c>
      <c r="D3" s="125">
        <v>0</v>
      </c>
      <c r="E3" s="125">
        <v>0</v>
      </c>
    </row>
    <row r="4" spans="1:9" x14ac:dyDescent="0.3">
      <c r="A4" s="3">
        <v>9</v>
      </c>
      <c r="B4" s="125">
        <v>0</v>
      </c>
      <c r="C4" s="125">
        <v>0</v>
      </c>
      <c r="D4" s="125">
        <v>0</v>
      </c>
      <c r="E4" s="125">
        <v>0</v>
      </c>
    </row>
    <row r="5" spans="1:9" x14ac:dyDescent="0.3">
      <c r="A5" s="3">
        <v>12</v>
      </c>
      <c r="B5" s="125">
        <v>0</v>
      </c>
      <c r="C5" s="125">
        <v>0</v>
      </c>
      <c r="D5" s="125">
        <v>0</v>
      </c>
      <c r="E5" s="125">
        <v>0</v>
      </c>
    </row>
    <row r="6" spans="1:9" x14ac:dyDescent="0.3">
      <c r="A6" s="124"/>
      <c r="B6" s="124"/>
      <c r="C6" s="124"/>
      <c r="D6" s="124"/>
      <c r="E6" s="124"/>
    </row>
    <row r="7" spans="1:9" x14ac:dyDescent="0.3">
      <c r="A7" s="26" t="s">
        <v>229</v>
      </c>
      <c r="B7" s="124"/>
      <c r="C7" s="124"/>
      <c r="D7" s="124"/>
      <c r="E7" s="124"/>
    </row>
    <row r="8" spans="1:9" x14ac:dyDescent="0.3">
      <c r="A8" s="3" cm="1">
        <f t="array" ref="A8">IFERROR(MATCH(TRUE, '12_Balance Sheet'!B4:AK4&lt;0, 0), 99)</f>
        <v>4</v>
      </c>
      <c r="B8" s="126">
        <v>10000000</v>
      </c>
      <c r="C8" s="126">
        <v>15000000</v>
      </c>
      <c r="D8" s="126">
        <v>20000000</v>
      </c>
      <c r="E8" s="126">
        <v>25000000</v>
      </c>
    </row>
    <row r="9" spans="1:9" x14ac:dyDescent="0.3">
      <c r="A9" s="3">
        <v>6</v>
      </c>
      <c r="B9" s="3">
        <f t="dataTable" ref="B9:E11" dt2D="1" dtr="1" r1="I2" r2="H2" ca="1"/>
        <v>4</v>
      </c>
      <c r="C9" s="3">
        <v>4</v>
      </c>
      <c r="D9" s="3">
        <v>4</v>
      </c>
      <c r="E9" s="3">
        <v>4</v>
      </c>
    </row>
    <row r="10" spans="1:9" x14ac:dyDescent="0.3">
      <c r="A10" s="3">
        <v>9</v>
      </c>
      <c r="B10" s="3">
        <v>4</v>
      </c>
      <c r="C10" s="3">
        <v>4</v>
      </c>
      <c r="D10" s="3">
        <v>4</v>
      </c>
      <c r="E10" s="3">
        <v>4</v>
      </c>
    </row>
    <row r="11" spans="1:9" x14ac:dyDescent="0.3">
      <c r="A11" s="3">
        <v>12</v>
      </c>
      <c r="B11" s="3">
        <v>4</v>
      </c>
      <c r="C11" s="3">
        <v>4</v>
      </c>
      <c r="D11" s="3">
        <v>4</v>
      </c>
      <c r="E11" s="3">
        <v>4</v>
      </c>
    </row>
    <row r="12" spans="1:9" x14ac:dyDescent="0.3">
      <c r="A12" s="124"/>
      <c r="B12" s="124"/>
      <c r="C12" s="124"/>
      <c r="D12" s="124"/>
      <c r="E12" s="124"/>
    </row>
    <row r="13" spans="1:9" x14ac:dyDescent="0.3">
      <c r="A13" s="26" t="s">
        <v>230</v>
      </c>
      <c r="B13" s="124"/>
      <c r="C13" s="124"/>
      <c r="D13" s="124"/>
      <c r="E13" s="124"/>
    </row>
    <row r="14" spans="1:9" x14ac:dyDescent="0.3">
      <c r="A14" s="126">
        <f ca="1">MIN(OFFSET('12_Balance Sheet'!B4, 0, 0, 1, $H$2-1))</f>
        <v>-2172026.9373985273</v>
      </c>
      <c r="B14" s="126">
        <v>10000000</v>
      </c>
      <c r="C14" s="126">
        <v>15000000</v>
      </c>
      <c r="D14" s="126">
        <v>20000000</v>
      </c>
      <c r="E14" s="126">
        <v>25000000</v>
      </c>
    </row>
    <row r="15" spans="1:9" x14ac:dyDescent="0.3">
      <c r="A15" s="3">
        <v>6</v>
      </c>
      <c r="B15" s="126">
        <f t="dataTable" ref="B15:E17" dt2D="1" dtr="1" r1="I2" r2="H2" ca="1"/>
        <v>-2172026.9373985273</v>
      </c>
      <c r="C15" s="126">
        <v>-2172026.9373985273</v>
      </c>
      <c r="D15" s="126">
        <v>-2172026.9373985273</v>
      </c>
      <c r="E15" s="126">
        <v>-2172026.9373985273</v>
      </c>
    </row>
    <row r="16" spans="1:9" x14ac:dyDescent="0.3">
      <c r="A16" s="3">
        <v>9</v>
      </c>
      <c r="B16" s="126">
        <v>-5881155.9643699173</v>
      </c>
      <c r="C16" s="126">
        <v>-5881155.9643699173</v>
      </c>
      <c r="D16" s="126">
        <v>-5881155.9643699173</v>
      </c>
      <c r="E16" s="126">
        <v>-5881155.9643699173</v>
      </c>
    </row>
    <row r="17" spans="1:5" x14ac:dyDescent="0.3">
      <c r="A17" s="3">
        <v>12</v>
      </c>
      <c r="B17" s="126">
        <v>-10359729.016385792</v>
      </c>
      <c r="C17" s="126">
        <v>-10359729.016385792</v>
      </c>
      <c r="D17" s="126">
        <v>-10359729.016385792</v>
      </c>
      <c r="E17" s="126">
        <v>-10359729.016385792</v>
      </c>
    </row>
    <row r="18" spans="1:5" x14ac:dyDescent="0.3">
      <c r="A18" s="124"/>
      <c r="B18" s="124"/>
      <c r="C18" s="124"/>
      <c r="D18" s="124"/>
      <c r="E18" s="124"/>
    </row>
    <row r="19" spans="1:5" x14ac:dyDescent="0.3">
      <c r="A19" s="26" t="s">
        <v>231</v>
      </c>
      <c r="B19" s="124"/>
      <c r="C19" s="124"/>
      <c r="D19" s="124"/>
      <c r="E19" s="124"/>
    </row>
    <row r="20" spans="1:5" x14ac:dyDescent="0.3">
      <c r="A20" s="126" cm="1">
        <f t="array" ref="A20">INDEX('03_KPIs'!B13:AK13, '20_Capital_Sensitivity'!$H$2+1)</f>
        <v>13.965233846447056</v>
      </c>
      <c r="B20" s="126">
        <v>10000000</v>
      </c>
      <c r="C20" s="126">
        <v>15000000</v>
      </c>
      <c r="D20" s="126">
        <v>20000000</v>
      </c>
      <c r="E20" s="126">
        <v>25000000</v>
      </c>
    </row>
    <row r="21" spans="1:5" x14ac:dyDescent="0.3">
      <c r="A21" s="3">
        <v>6</v>
      </c>
      <c r="B21" s="126">
        <f t="dataTable" ref="B21:E23" dt2D="1" dtr="1" r1="I2" r2="H2"/>
        <v>3.8558662152017211</v>
      </c>
      <c r="C21" s="126">
        <v>7.2256554256168322</v>
      </c>
      <c r="D21" s="126">
        <v>10.595444636031944</v>
      </c>
      <c r="E21" s="126">
        <v>13.965233846447056</v>
      </c>
    </row>
    <row r="22" spans="1:5" x14ac:dyDescent="0.3">
      <c r="A22" s="3">
        <v>9</v>
      </c>
      <c r="B22" s="126">
        <v>0.96315743388181629</v>
      </c>
      <c r="C22" s="126">
        <v>4.1686566092759687</v>
      </c>
      <c r="D22" s="126">
        <v>7.3741557846701209</v>
      </c>
      <c r="E22" s="126">
        <v>10.579654960064273</v>
      </c>
    </row>
    <row r="23" spans="1:5" x14ac:dyDescent="0.3">
      <c r="A23" s="3">
        <v>12</v>
      </c>
      <c r="B23" s="126">
        <v>0</v>
      </c>
      <c r="C23" s="126">
        <v>0.52292265984501973</v>
      </c>
      <c r="D23" s="126">
        <v>3.6366208888089315</v>
      </c>
      <c r="E23" s="126">
        <v>6.7503191177728432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455F-8A3A-456F-BB13-B07A8254129A}">
  <dimension ref="A1:I6"/>
  <sheetViews>
    <sheetView workbookViewId="0">
      <selection activeCell="I11" sqref="I11"/>
    </sheetView>
  </sheetViews>
  <sheetFormatPr defaultRowHeight="14.4" x14ac:dyDescent="0.3"/>
  <cols>
    <col min="1" max="1" width="24.21875" customWidth="1"/>
    <col min="2" max="2" width="5" bestFit="1" customWidth="1"/>
    <col min="3" max="3" width="9.109375" bestFit="1" customWidth="1"/>
    <col min="4" max="4" width="6.88671875" bestFit="1" customWidth="1"/>
    <col min="7" max="7" width="16.6640625" bestFit="1" customWidth="1"/>
    <col min="8" max="8" width="18.109375" bestFit="1" customWidth="1"/>
    <col min="9" max="9" width="21.33203125" bestFit="1" customWidth="1"/>
  </cols>
  <sheetData>
    <row r="1" spans="1:9" x14ac:dyDescent="0.3">
      <c r="A1" s="5" t="s">
        <v>52</v>
      </c>
      <c r="B1" s="5" t="s">
        <v>53</v>
      </c>
      <c r="C1" s="5" t="s">
        <v>54</v>
      </c>
      <c r="D1" s="5" t="s">
        <v>55</v>
      </c>
      <c r="G1" s="4" t="s">
        <v>129</v>
      </c>
      <c r="H1" s="4" t="s">
        <v>130</v>
      </c>
      <c r="I1" s="4" t="s">
        <v>227</v>
      </c>
    </row>
    <row r="2" spans="1:9" x14ac:dyDescent="0.3">
      <c r="A2" s="6" t="s">
        <v>56</v>
      </c>
      <c r="B2" s="6">
        <v>1</v>
      </c>
      <c r="C2" s="6">
        <v>0.6</v>
      </c>
      <c r="D2" s="6">
        <v>1.25</v>
      </c>
      <c r="G2" s="2">
        <f>'20_Capital_Sensitivity'!H2</f>
        <v>6</v>
      </c>
      <c r="H2" s="2">
        <f>'20_Capital_Sensitivity'!I2</f>
        <v>25000000</v>
      </c>
      <c r="I2" s="2">
        <f>'20_Capital_Sensitivity'!J2</f>
        <v>0</v>
      </c>
    </row>
    <row r="3" spans="1:9" x14ac:dyDescent="0.3">
      <c r="A3" s="6" t="s">
        <v>138</v>
      </c>
      <c r="B3" s="6">
        <v>1</v>
      </c>
      <c r="C3" s="6">
        <v>1.35</v>
      </c>
      <c r="D3" s="6">
        <v>0.8</v>
      </c>
    </row>
    <row r="4" spans="1:9" x14ac:dyDescent="0.3">
      <c r="A4" s="6" t="s">
        <v>139</v>
      </c>
      <c r="B4" s="6">
        <v>1</v>
      </c>
      <c r="C4" s="6">
        <v>1.2</v>
      </c>
      <c r="D4" s="6">
        <v>0.9</v>
      </c>
    </row>
    <row r="5" spans="1:9" x14ac:dyDescent="0.3">
      <c r="A5" s="6" t="s">
        <v>140</v>
      </c>
      <c r="B5" s="6">
        <v>1</v>
      </c>
      <c r="C5" s="6">
        <v>0.9</v>
      </c>
      <c r="D5" s="6">
        <v>1.05</v>
      </c>
    </row>
    <row r="6" spans="1:9" x14ac:dyDescent="0.3">
      <c r="A6" s="6" t="s">
        <v>141</v>
      </c>
      <c r="B6" s="6">
        <v>0</v>
      </c>
      <c r="C6" s="6">
        <v>3</v>
      </c>
      <c r="D6" s="6">
        <v>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96D7-09D6-4598-AC53-FEDE7D465DCB}">
  <dimension ref="A1:D21"/>
  <sheetViews>
    <sheetView workbookViewId="0">
      <selection activeCell="K20" sqref="K20"/>
    </sheetView>
  </sheetViews>
  <sheetFormatPr defaultRowHeight="14.4" x14ac:dyDescent="0.3"/>
  <cols>
    <col min="1" max="1" width="26" bestFit="1" customWidth="1"/>
    <col min="2" max="4" width="14.109375" bestFit="1" customWidth="1"/>
  </cols>
  <sheetData>
    <row r="1" spans="1:4" ht="15" thickBot="1" x14ac:dyDescent="0.35">
      <c r="A1" s="128" t="s">
        <v>243</v>
      </c>
      <c r="B1" s="98" t="s">
        <v>54</v>
      </c>
      <c r="C1" s="142" t="s">
        <v>53</v>
      </c>
      <c r="D1" s="98" t="s">
        <v>55</v>
      </c>
    </row>
    <row r="2" spans="1:4" ht="15" thickBot="1" x14ac:dyDescent="0.35">
      <c r="A2" s="180" t="s">
        <v>244</v>
      </c>
      <c r="B2" s="65"/>
      <c r="C2" s="66"/>
      <c r="D2" s="78"/>
    </row>
    <row r="3" spans="1:4" x14ac:dyDescent="0.3">
      <c r="A3" s="181" t="s">
        <v>248</v>
      </c>
      <c r="B3" s="186">
        <v>15546091.487620302</v>
      </c>
      <c r="C3" s="187">
        <v>29279351.468526199</v>
      </c>
      <c r="D3" s="186">
        <v>38866922.50867784</v>
      </c>
    </row>
    <row r="4" spans="1:4" x14ac:dyDescent="0.3">
      <c r="A4" s="181" t="s">
        <v>249</v>
      </c>
      <c r="B4" s="173">
        <v>11053772.140548199</v>
      </c>
      <c r="C4" s="177">
        <v>21203584.88720943</v>
      </c>
      <c r="D4" s="173">
        <v>26280797.492363103</v>
      </c>
    </row>
    <row r="5" spans="1:4" ht="15" thickBot="1" x14ac:dyDescent="0.35">
      <c r="A5" s="182" t="s">
        <v>250</v>
      </c>
      <c r="B5" s="176">
        <v>69472.252607312854</v>
      </c>
      <c r="C5" s="183">
        <v>133893.98844624069</v>
      </c>
      <c r="D5" s="176">
        <v>165596.1985772023</v>
      </c>
    </row>
    <row r="6" spans="1:4" ht="15" thickBot="1" x14ac:dyDescent="0.35">
      <c r="A6" s="180" t="s">
        <v>245</v>
      </c>
      <c r="B6" s="65"/>
      <c r="C6" s="66"/>
      <c r="D6" s="78"/>
    </row>
    <row r="7" spans="1:4" x14ac:dyDescent="0.3">
      <c r="A7" s="181" t="s">
        <v>253</v>
      </c>
      <c r="B7" s="188">
        <v>0.80602102765815464</v>
      </c>
      <c r="C7" s="189">
        <v>0.81825072017715772</v>
      </c>
      <c r="D7" s="188">
        <v>0.81825072017715772</v>
      </c>
    </row>
    <row r="8" spans="1:4" x14ac:dyDescent="0.3">
      <c r="A8" s="181" t="s">
        <v>254</v>
      </c>
      <c r="B8" s="174">
        <v>-1.3736224408094</v>
      </c>
      <c r="C8" s="178">
        <v>-0.19561798992691654</v>
      </c>
      <c r="D8" s="174">
        <v>-0.19561798992691654</v>
      </c>
    </row>
    <row r="9" spans="1:4" ht="15" thickBot="1" x14ac:dyDescent="0.35">
      <c r="A9" s="182" t="s">
        <v>255</v>
      </c>
      <c r="B9" s="176">
        <v>-22174423.507620551</v>
      </c>
      <c r="C9" s="183">
        <v>-15830210.585679902</v>
      </c>
      <c r="D9" s="176">
        <v>-8423032.6291421074</v>
      </c>
    </row>
    <row r="10" spans="1:4" ht="15" thickBot="1" x14ac:dyDescent="0.35">
      <c r="A10" s="180" t="s">
        <v>251</v>
      </c>
      <c r="B10" s="65"/>
      <c r="C10" s="66"/>
      <c r="D10" s="78"/>
    </row>
    <row r="11" spans="1:4" x14ac:dyDescent="0.3">
      <c r="A11" s="181" t="s">
        <v>256</v>
      </c>
      <c r="B11" s="213">
        <v>39.221353682601077</v>
      </c>
      <c r="C11" s="89">
        <v>26.802941240547554</v>
      </c>
      <c r="D11" s="190">
        <v>20.342500278011187</v>
      </c>
    </row>
    <row r="12" spans="1:4" x14ac:dyDescent="0.3">
      <c r="A12" s="181" t="s">
        <v>257</v>
      </c>
      <c r="B12" s="214">
        <v>3.0562921347861991</v>
      </c>
      <c r="C12" s="179">
        <v>5.305661871943018</v>
      </c>
      <c r="D12" s="175">
        <v>7.6023532386410109</v>
      </c>
    </row>
    <row r="13" spans="1:4" ht="15" thickBot="1" x14ac:dyDescent="0.35">
      <c r="A13" s="182" t="s">
        <v>258</v>
      </c>
      <c r="B13" s="184">
        <v>6.9247376332700199</v>
      </c>
      <c r="C13" s="185">
        <v>5.3850828154952239</v>
      </c>
      <c r="D13" s="184">
        <v>4.6977935111931162</v>
      </c>
    </row>
    <row r="14" spans="1:4" ht="15" thickBot="1" x14ac:dyDescent="0.35">
      <c r="A14" s="180" t="s">
        <v>246</v>
      </c>
      <c r="B14" s="65"/>
      <c r="C14" s="66"/>
      <c r="D14" s="78"/>
    </row>
    <row r="15" spans="1:4" x14ac:dyDescent="0.3">
      <c r="A15" s="181" t="s">
        <v>261</v>
      </c>
      <c r="B15" s="186">
        <v>14</v>
      </c>
      <c r="C15" s="187">
        <v>14</v>
      </c>
      <c r="D15" s="186">
        <v>14</v>
      </c>
    </row>
    <row r="16" spans="1:4" x14ac:dyDescent="0.3">
      <c r="A16" s="181" t="s">
        <v>262</v>
      </c>
      <c r="B16" s="173">
        <v>-2393128.6674843505</v>
      </c>
      <c r="C16" s="177">
        <v>-2172026.9373985273</v>
      </c>
      <c r="D16" s="173">
        <v>-2057032.3441131327</v>
      </c>
    </row>
    <row r="17" spans="1:4" x14ac:dyDescent="0.3">
      <c r="A17" s="181" t="s">
        <v>259</v>
      </c>
      <c r="B17" s="172">
        <v>4</v>
      </c>
      <c r="C17" s="21">
        <v>4</v>
      </c>
      <c r="D17" s="172">
        <v>4</v>
      </c>
    </row>
    <row r="18" spans="1:4" ht="15" thickBot="1" x14ac:dyDescent="0.35">
      <c r="A18" s="182" t="s">
        <v>263</v>
      </c>
      <c r="B18" s="176">
        <v>12582483.868672933</v>
      </c>
      <c r="C18" s="183">
        <v>12743961.823086567</v>
      </c>
      <c r="D18" s="176">
        <v>12873809.250891658</v>
      </c>
    </row>
    <row r="19" spans="1:4" ht="15" thickBot="1" x14ac:dyDescent="0.35">
      <c r="A19" s="180" t="s">
        <v>320</v>
      </c>
      <c r="B19" s="65"/>
      <c r="C19" s="66"/>
      <c r="D19" s="78"/>
    </row>
    <row r="20" spans="1:4" x14ac:dyDescent="0.3">
      <c r="A20" s="181" t="s">
        <v>241</v>
      </c>
      <c r="B20" s="188">
        <v>0.76647181392469921</v>
      </c>
      <c r="C20" s="189">
        <v>0.74411548947921435</v>
      </c>
      <c r="D20" s="188">
        <v>0.7311108595107576</v>
      </c>
    </row>
    <row r="21" spans="1:4" ht="15" thickBot="1" x14ac:dyDescent="0.35">
      <c r="A21" s="182" t="s">
        <v>260</v>
      </c>
      <c r="B21" s="176">
        <v>39214934.718087345</v>
      </c>
      <c r="C21" s="183">
        <v>34289183.869240232</v>
      </c>
      <c r="D21" s="176">
        <v>27457868.22560861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2137-A509-4C5B-B089-0030A1EEE421}">
  <dimension ref="A1:AK4"/>
  <sheetViews>
    <sheetView workbookViewId="0">
      <selection activeCell="U15" sqref="U15"/>
    </sheetView>
  </sheetViews>
  <sheetFormatPr defaultRowHeight="14.4" x14ac:dyDescent="0.3"/>
  <cols>
    <col min="1" max="1" width="13.77734375" bestFit="1" customWidth="1"/>
    <col min="2" max="10" width="3.44140625" bestFit="1" customWidth="1"/>
    <col min="11" max="37" width="4.44140625" bestFit="1" customWidth="1"/>
  </cols>
  <sheetData>
    <row r="1" spans="1:37" x14ac:dyDescent="0.3">
      <c r="A1" s="3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</row>
    <row r="2" spans="1:37" x14ac:dyDescent="0.3">
      <c r="A2" s="3" t="s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</row>
    <row r="3" spans="1:37" x14ac:dyDescent="0.3">
      <c r="A3" s="3" t="s">
        <v>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2</v>
      </c>
      <c r="O3" s="3">
        <v>2</v>
      </c>
      <c r="P3" s="3">
        <v>2</v>
      </c>
      <c r="Q3" s="3">
        <v>2</v>
      </c>
      <c r="R3" s="3">
        <v>2</v>
      </c>
      <c r="S3" s="3">
        <v>2</v>
      </c>
      <c r="T3" s="3">
        <v>2</v>
      </c>
      <c r="U3" s="3">
        <v>2</v>
      </c>
      <c r="V3" s="3">
        <v>2</v>
      </c>
      <c r="W3" s="3">
        <v>2</v>
      </c>
      <c r="X3" s="3">
        <v>2</v>
      </c>
      <c r="Y3" s="3">
        <v>2</v>
      </c>
      <c r="Z3" s="3">
        <v>3</v>
      </c>
      <c r="AA3" s="3">
        <v>3</v>
      </c>
      <c r="AB3" s="3">
        <v>3</v>
      </c>
      <c r="AC3" s="3">
        <v>3</v>
      </c>
      <c r="AD3" s="3">
        <v>3</v>
      </c>
      <c r="AE3" s="3">
        <v>3</v>
      </c>
      <c r="AF3" s="3">
        <v>3</v>
      </c>
      <c r="AG3" s="3">
        <v>3</v>
      </c>
      <c r="AH3" s="3">
        <v>3</v>
      </c>
      <c r="AI3" s="3">
        <v>3</v>
      </c>
      <c r="AJ3" s="3">
        <v>3</v>
      </c>
      <c r="AK3" s="3">
        <v>3</v>
      </c>
    </row>
    <row r="4" spans="1:37" x14ac:dyDescent="0.3">
      <c r="A4" s="3" t="s">
        <v>3</v>
      </c>
      <c r="B4" s="3" t="s">
        <v>40</v>
      </c>
      <c r="C4" s="3" t="s">
        <v>40</v>
      </c>
      <c r="D4" s="3" t="s">
        <v>40</v>
      </c>
      <c r="E4" s="3" t="s">
        <v>41</v>
      </c>
      <c r="F4" s="3" t="s">
        <v>41</v>
      </c>
      <c r="G4" s="3" t="s">
        <v>41</v>
      </c>
      <c r="H4" s="3" t="s">
        <v>42</v>
      </c>
      <c r="I4" s="3" t="s">
        <v>42</v>
      </c>
      <c r="J4" s="3" t="s">
        <v>42</v>
      </c>
      <c r="K4" s="3" t="s">
        <v>43</v>
      </c>
      <c r="L4" s="3" t="s">
        <v>43</v>
      </c>
      <c r="M4" s="3" t="s">
        <v>43</v>
      </c>
      <c r="N4" s="3" t="s">
        <v>44</v>
      </c>
      <c r="O4" s="3" t="s">
        <v>44</v>
      </c>
      <c r="P4" s="3" t="s">
        <v>44</v>
      </c>
      <c r="Q4" s="3" t="s">
        <v>45</v>
      </c>
      <c r="R4" s="3" t="s">
        <v>45</v>
      </c>
      <c r="S4" s="3" t="s">
        <v>45</v>
      </c>
      <c r="T4" s="3" t="s">
        <v>46</v>
      </c>
      <c r="U4" s="3" t="s">
        <v>46</v>
      </c>
      <c r="V4" s="3" t="s">
        <v>46</v>
      </c>
      <c r="W4" s="3" t="s">
        <v>47</v>
      </c>
      <c r="X4" s="3" t="s">
        <v>47</v>
      </c>
      <c r="Y4" s="3" t="s">
        <v>47</v>
      </c>
      <c r="Z4" s="3" t="s">
        <v>48</v>
      </c>
      <c r="AA4" s="3" t="s">
        <v>48</v>
      </c>
      <c r="AB4" s="3" t="s">
        <v>48</v>
      </c>
      <c r="AC4" s="3" t="s">
        <v>49</v>
      </c>
      <c r="AD4" s="3" t="s">
        <v>49</v>
      </c>
      <c r="AE4" s="3" t="s">
        <v>49</v>
      </c>
      <c r="AF4" s="3" t="s">
        <v>50</v>
      </c>
      <c r="AG4" s="3" t="s">
        <v>50</v>
      </c>
      <c r="AH4" s="3" t="s">
        <v>50</v>
      </c>
      <c r="AI4" s="3" t="s">
        <v>51</v>
      </c>
      <c r="AJ4" s="3" t="s">
        <v>51</v>
      </c>
      <c r="AK4" s="3" t="s">
        <v>51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7110-3DB6-4797-8A6A-79B4EB7AA60B}">
  <dimension ref="A2:F34"/>
  <sheetViews>
    <sheetView workbookViewId="0">
      <selection activeCell="A2" sqref="A2:F2"/>
    </sheetView>
  </sheetViews>
  <sheetFormatPr defaultRowHeight="14.4" x14ac:dyDescent="0.3"/>
  <sheetData>
    <row r="2" spans="1:6" ht="21" x14ac:dyDescent="0.4">
      <c r="A2" s="312" t="s">
        <v>142</v>
      </c>
      <c r="B2" s="312"/>
      <c r="C2" s="312"/>
      <c r="D2" s="312"/>
      <c r="E2" s="312"/>
      <c r="F2" s="312"/>
    </row>
    <row r="4" spans="1:6" ht="18" x14ac:dyDescent="0.35">
      <c r="A4" s="41" t="s">
        <v>296</v>
      </c>
      <c r="B4" s="41" t="s">
        <v>297</v>
      </c>
    </row>
    <row r="5" spans="1:6" x14ac:dyDescent="0.3">
      <c r="B5" t="s">
        <v>298</v>
      </c>
    </row>
    <row r="6" spans="1:6" x14ac:dyDescent="0.3">
      <c r="B6" t="s">
        <v>319</v>
      </c>
    </row>
    <row r="8" spans="1:6" ht="18" x14ac:dyDescent="0.35">
      <c r="A8" s="41" t="s">
        <v>300</v>
      </c>
      <c r="B8" s="41" t="s">
        <v>299</v>
      </c>
    </row>
    <row r="9" spans="1:6" x14ac:dyDescent="0.3">
      <c r="B9" t="s">
        <v>301</v>
      </c>
    </row>
    <row r="10" spans="1:6" x14ac:dyDescent="0.3">
      <c r="B10" t="s">
        <v>302</v>
      </c>
    </row>
    <row r="11" spans="1:6" x14ac:dyDescent="0.3">
      <c r="B11" t="s">
        <v>146</v>
      </c>
    </row>
    <row r="12" spans="1:6" x14ac:dyDescent="0.3">
      <c r="B12" t="s">
        <v>303</v>
      </c>
    </row>
    <row r="13" spans="1:6" x14ac:dyDescent="0.3">
      <c r="B13" s="1"/>
    </row>
    <row r="14" spans="1:6" ht="18" x14ac:dyDescent="0.35">
      <c r="A14" s="41" t="s">
        <v>304</v>
      </c>
      <c r="B14" s="41" t="s">
        <v>85</v>
      </c>
    </row>
    <row r="15" spans="1:6" x14ac:dyDescent="0.3">
      <c r="B15" t="s">
        <v>306</v>
      </c>
    </row>
    <row r="16" spans="1:6" x14ac:dyDescent="0.3">
      <c r="B16" t="s">
        <v>146</v>
      </c>
    </row>
    <row r="17" spans="1:2" x14ac:dyDescent="0.3">
      <c r="B17" t="s">
        <v>305</v>
      </c>
    </row>
    <row r="18" spans="1:2" x14ac:dyDescent="0.3">
      <c r="B18" t="s">
        <v>307</v>
      </c>
    </row>
    <row r="19" spans="1:2" x14ac:dyDescent="0.3">
      <c r="B19" s="42"/>
    </row>
    <row r="20" spans="1:2" ht="18" x14ac:dyDescent="0.35">
      <c r="A20" s="41" t="s">
        <v>308</v>
      </c>
      <c r="B20" s="41" t="s">
        <v>264</v>
      </c>
    </row>
    <row r="21" spans="1:2" x14ac:dyDescent="0.3">
      <c r="B21" t="s">
        <v>143</v>
      </c>
    </row>
    <row r="22" spans="1:2" x14ac:dyDescent="0.3">
      <c r="B22" t="s">
        <v>146</v>
      </c>
    </row>
    <row r="23" spans="1:2" x14ac:dyDescent="0.3">
      <c r="B23" t="s">
        <v>309</v>
      </c>
    </row>
    <row r="24" spans="1:2" x14ac:dyDescent="0.3">
      <c r="B24" t="s">
        <v>310</v>
      </c>
    </row>
    <row r="26" spans="1:2" ht="18" x14ac:dyDescent="0.35">
      <c r="A26" s="41" t="s">
        <v>311</v>
      </c>
      <c r="B26" s="41" t="s">
        <v>252</v>
      </c>
    </row>
    <row r="27" spans="1:2" x14ac:dyDescent="0.3">
      <c r="B27" t="s">
        <v>312</v>
      </c>
    </row>
    <row r="28" spans="1:2" x14ac:dyDescent="0.3">
      <c r="B28" t="s">
        <v>313</v>
      </c>
    </row>
    <row r="29" spans="1:2" x14ac:dyDescent="0.3">
      <c r="B29" t="s">
        <v>144</v>
      </c>
    </row>
    <row r="30" spans="1:2" x14ac:dyDescent="0.3">
      <c r="B30" t="s">
        <v>314</v>
      </c>
    </row>
    <row r="32" spans="1:2" ht="18" x14ac:dyDescent="0.35">
      <c r="A32" s="41" t="s">
        <v>315</v>
      </c>
      <c r="B32" s="41" t="s">
        <v>316</v>
      </c>
    </row>
    <row r="33" spans="2:2" x14ac:dyDescent="0.3">
      <c r="B33" t="s">
        <v>317</v>
      </c>
    </row>
    <row r="34" spans="2:2" x14ac:dyDescent="0.3">
      <c r="B34" t="s">
        <v>318</v>
      </c>
    </row>
  </sheetData>
  <mergeCells count="1"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4613-449E-4982-B8CC-C7FF95573E4A}">
  <dimension ref="A1:D22"/>
  <sheetViews>
    <sheetView workbookViewId="0">
      <selection activeCell="D19" sqref="D19"/>
    </sheetView>
  </sheetViews>
  <sheetFormatPr defaultRowHeight="14.4" x14ac:dyDescent="0.3"/>
  <cols>
    <col min="1" max="1" width="19.88671875" bestFit="1" customWidth="1"/>
    <col min="2" max="2" width="27" customWidth="1"/>
    <col min="3" max="3" width="6.109375" bestFit="1" customWidth="1"/>
    <col min="4" max="4" width="8.21875" bestFit="1" customWidth="1"/>
  </cols>
  <sheetData>
    <row r="1" spans="1:4" x14ac:dyDescent="0.3">
      <c r="A1" s="26" t="s">
        <v>86</v>
      </c>
      <c r="B1" s="27"/>
      <c r="C1" s="28"/>
    </row>
    <row r="2" spans="1:4" x14ac:dyDescent="0.3">
      <c r="A2" s="29"/>
      <c r="B2" s="13" t="s">
        <v>52</v>
      </c>
      <c r="C2" s="13" t="s">
        <v>53</v>
      </c>
      <c r="D2" s="4" t="s">
        <v>145</v>
      </c>
    </row>
    <row r="3" spans="1:4" x14ac:dyDescent="0.3">
      <c r="A3" s="29"/>
      <c r="B3" s="40" t="s">
        <v>87</v>
      </c>
      <c r="C3" s="22">
        <v>900</v>
      </c>
    </row>
    <row r="4" spans="1:4" x14ac:dyDescent="0.3">
      <c r="A4" s="29"/>
      <c r="B4" s="40" t="s">
        <v>88</v>
      </c>
      <c r="C4" s="23">
        <v>1.2E-2</v>
      </c>
      <c r="D4" s="46">
        <f xml:space="preserve"> C4
  * INDEX('21_Scenarios'!$B$5:$D$5, MATCH('01_Dashboard'!$S$25, '21_Scenarios'!$B$1:$D$1, 0))</f>
        <v>1.2E-2</v>
      </c>
    </row>
    <row r="5" spans="1:4" x14ac:dyDescent="0.3">
      <c r="A5" s="29"/>
      <c r="B5" s="40" t="s">
        <v>89</v>
      </c>
      <c r="C5" s="23">
        <v>3.5000000000000001E-3</v>
      </c>
    </row>
    <row r="6" spans="1:4" x14ac:dyDescent="0.3">
      <c r="A6" s="30"/>
      <c r="B6" s="40" t="s">
        <v>90</v>
      </c>
      <c r="C6" s="23">
        <v>1.5E-3</v>
      </c>
    </row>
    <row r="7" spans="1:4" x14ac:dyDescent="0.3">
      <c r="A7" s="26" t="s">
        <v>91</v>
      </c>
      <c r="B7" s="27"/>
      <c r="C7" s="28"/>
    </row>
    <row r="8" spans="1:4" x14ac:dyDescent="0.3">
      <c r="A8" s="29"/>
      <c r="B8" s="13" t="s">
        <v>52</v>
      </c>
      <c r="C8" s="13" t="s">
        <v>53</v>
      </c>
    </row>
    <row r="9" spans="1:4" x14ac:dyDescent="0.3">
      <c r="A9" s="29"/>
      <c r="B9" s="40" t="s">
        <v>92</v>
      </c>
      <c r="C9" s="22">
        <v>8</v>
      </c>
    </row>
    <row r="10" spans="1:4" x14ac:dyDescent="0.3">
      <c r="A10" s="29"/>
      <c r="B10" s="40" t="s">
        <v>93</v>
      </c>
      <c r="C10" s="24">
        <v>0.18</v>
      </c>
    </row>
    <row r="11" spans="1:4" x14ac:dyDescent="0.3">
      <c r="A11" s="30"/>
      <c r="B11" s="40" t="s">
        <v>94</v>
      </c>
      <c r="C11" s="22">
        <v>25</v>
      </c>
    </row>
    <row r="12" spans="1:4" x14ac:dyDescent="0.3">
      <c r="A12" s="26" t="s">
        <v>95</v>
      </c>
      <c r="B12" s="27"/>
      <c r="C12" s="28"/>
    </row>
    <row r="13" spans="1:4" x14ac:dyDescent="0.3">
      <c r="A13" s="34"/>
      <c r="B13" s="12" t="s">
        <v>52</v>
      </c>
      <c r="C13" s="13" t="s">
        <v>53</v>
      </c>
    </row>
    <row r="14" spans="1:4" x14ac:dyDescent="0.3">
      <c r="A14" s="35"/>
      <c r="B14" s="38" t="s">
        <v>96</v>
      </c>
      <c r="C14" s="24">
        <v>0.06</v>
      </c>
    </row>
    <row r="15" spans="1:4" x14ac:dyDescent="0.3">
      <c r="A15" s="35"/>
      <c r="B15" s="38" t="s">
        <v>97</v>
      </c>
      <c r="C15" s="25">
        <v>1800</v>
      </c>
    </row>
    <row r="16" spans="1:4" x14ac:dyDescent="0.3">
      <c r="A16" s="35"/>
      <c r="B16" s="38" t="s">
        <v>98</v>
      </c>
      <c r="C16" s="24">
        <v>0.03</v>
      </c>
    </row>
    <row r="17" spans="1:4" x14ac:dyDescent="0.3">
      <c r="A17" s="35"/>
      <c r="B17" s="39" t="s">
        <v>99</v>
      </c>
      <c r="C17" s="49">
        <v>1.0999999999999999E-2</v>
      </c>
    </row>
    <row r="18" spans="1:4" x14ac:dyDescent="0.3">
      <c r="A18" s="53"/>
      <c r="B18" s="38" t="s">
        <v>162</v>
      </c>
      <c r="C18" s="21">
        <v>9</v>
      </c>
      <c r="D18" s="2">
        <f xml:space="preserve"> C18
  + INDEX('21_Scenarios'!$B$6:$D$6, MATCH('01_Dashboard'!$S$25, '21_Scenarios'!$B$1:$D$1, 0))</f>
        <v>9</v>
      </c>
    </row>
    <row r="19" spans="1:4" x14ac:dyDescent="0.3">
      <c r="A19" s="11"/>
      <c r="B19" s="38" t="s">
        <v>183</v>
      </c>
      <c r="C19" s="46">
        <f>1/12</f>
        <v>8.3333333333333329E-2</v>
      </c>
    </row>
    <row r="20" spans="1:4" x14ac:dyDescent="0.3">
      <c r="A20" s="4" t="s">
        <v>176</v>
      </c>
      <c r="B20" s="14"/>
      <c r="C20" s="15"/>
    </row>
    <row r="21" spans="1:4" x14ac:dyDescent="0.3">
      <c r="A21" s="10"/>
      <c r="B21" s="12" t="s">
        <v>52</v>
      </c>
      <c r="C21" s="13" t="s">
        <v>53</v>
      </c>
    </row>
    <row r="22" spans="1:4" ht="28.8" x14ac:dyDescent="0.3">
      <c r="A22" s="11"/>
      <c r="B22" s="38" t="s">
        <v>177</v>
      </c>
      <c r="C22" s="50">
        <v>1.2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06B7-AB87-47EE-8787-6542CF529E7B}">
  <dimension ref="A1:D18"/>
  <sheetViews>
    <sheetView workbookViewId="0">
      <selection activeCell="D9" sqref="D9"/>
    </sheetView>
  </sheetViews>
  <sheetFormatPr defaultRowHeight="14.4" x14ac:dyDescent="0.3"/>
  <cols>
    <col min="1" max="1" width="14.44140625" bestFit="1" customWidth="1"/>
    <col min="2" max="2" width="20.6640625" bestFit="1" customWidth="1"/>
    <col min="3" max="3" width="7.5546875" bestFit="1" customWidth="1"/>
  </cols>
  <sheetData>
    <row r="1" spans="1:4" x14ac:dyDescent="0.3">
      <c r="A1" s="32" t="s">
        <v>77</v>
      </c>
      <c r="B1" s="33"/>
      <c r="C1" s="27"/>
      <c r="D1" s="15"/>
    </row>
    <row r="2" spans="1:4" x14ac:dyDescent="0.3">
      <c r="A2" s="34"/>
      <c r="B2" s="13" t="s">
        <v>52</v>
      </c>
      <c r="C2" s="13" t="s">
        <v>53</v>
      </c>
      <c r="D2" s="4" t="s">
        <v>145</v>
      </c>
    </row>
    <row r="3" spans="1:4" x14ac:dyDescent="0.3">
      <c r="A3" s="35"/>
      <c r="B3" s="40" t="s">
        <v>78</v>
      </c>
      <c r="C3" s="22">
        <v>0</v>
      </c>
    </row>
    <row r="4" spans="1:4" x14ac:dyDescent="0.3">
      <c r="A4" s="35"/>
      <c r="B4" s="40" t="s">
        <v>79</v>
      </c>
      <c r="C4" s="25">
        <v>2000</v>
      </c>
    </row>
    <row r="5" spans="1:4" x14ac:dyDescent="0.3">
      <c r="A5" s="35"/>
      <c r="B5" s="40" t="s">
        <v>80</v>
      </c>
      <c r="C5" s="24">
        <v>0.06</v>
      </c>
      <c r="D5" s="46">
        <f xml:space="preserve"> C5
  * INDEX('21_Scenarios'!$B$2:$D$2, MATCH('01_Dashboard'!$S$25, '21_Scenarios'!$B$1:$D$1, 0))</f>
        <v>0.06</v>
      </c>
    </row>
    <row r="6" spans="1:4" x14ac:dyDescent="0.3">
      <c r="A6" s="36"/>
      <c r="B6" s="44" t="s">
        <v>81</v>
      </c>
      <c r="C6" s="25">
        <v>12000</v>
      </c>
    </row>
    <row r="7" spans="1:4" x14ac:dyDescent="0.3">
      <c r="A7" s="37" t="s">
        <v>85</v>
      </c>
      <c r="B7" s="31"/>
      <c r="C7" s="45"/>
      <c r="D7" s="2"/>
    </row>
    <row r="8" spans="1:4" x14ac:dyDescent="0.3">
      <c r="A8" s="34"/>
      <c r="B8" s="13" t="s">
        <v>52</v>
      </c>
      <c r="C8" s="13" t="s">
        <v>53</v>
      </c>
      <c r="D8" s="43" t="s">
        <v>145</v>
      </c>
    </row>
    <row r="9" spans="1:4" x14ac:dyDescent="0.3">
      <c r="A9" s="35"/>
      <c r="B9" s="40" t="s">
        <v>82</v>
      </c>
      <c r="C9" s="23">
        <v>3.5000000000000003E-2</v>
      </c>
      <c r="D9" s="46">
        <f xml:space="preserve"> C9
  * INDEX('21_Scenarios'!$B$3:$D$3, MATCH('01_Dashboard'!$S$25, '21_Scenarios'!$B$1:$D$1, 0))</f>
        <v>3.5000000000000003E-2</v>
      </c>
    </row>
    <row r="10" spans="1:4" x14ac:dyDescent="0.3">
      <c r="A10" s="35"/>
      <c r="B10" s="40" t="s">
        <v>232</v>
      </c>
      <c r="C10" s="23">
        <f>1-((1-C9)^12)</f>
        <v>0.34787963925176613</v>
      </c>
      <c r="D10" s="23">
        <f>1-((1-D9)^12)</f>
        <v>0.34787963925176613</v>
      </c>
    </row>
    <row r="11" spans="1:4" x14ac:dyDescent="0.3">
      <c r="A11" s="35"/>
      <c r="B11" s="40" t="s">
        <v>83</v>
      </c>
      <c r="C11" s="23">
        <v>3.0000000000000001E-3</v>
      </c>
    </row>
    <row r="12" spans="1:4" x14ac:dyDescent="0.3">
      <c r="A12" s="36"/>
      <c r="B12" s="44" t="s">
        <v>84</v>
      </c>
      <c r="C12" s="24">
        <v>0.85</v>
      </c>
    </row>
    <row r="13" spans="1:4" x14ac:dyDescent="0.3">
      <c r="A13" s="20" t="s">
        <v>100</v>
      </c>
      <c r="B13" s="14"/>
      <c r="C13" s="21"/>
      <c r="D13" s="2"/>
    </row>
    <row r="14" spans="1:4" x14ac:dyDescent="0.3">
      <c r="A14" s="18"/>
      <c r="B14" s="13" t="s">
        <v>52</v>
      </c>
      <c r="C14" s="13" t="s">
        <v>53</v>
      </c>
      <c r="D14" s="43" t="s">
        <v>145</v>
      </c>
    </row>
    <row r="15" spans="1:4" x14ac:dyDescent="0.3">
      <c r="A15" s="18"/>
      <c r="B15" s="6" t="s">
        <v>101</v>
      </c>
      <c r="C15" s="6">
        <v>110</v>
      </c>
      <c r="D15" s="48">
        <f xml:space="preserve"> C15
  * INDEX('21_Scenarios'!$B$4:$D$4, MATCH('01_Dashboard'!$S$25, '21_Scenarios'!$B$1:$D$1, 0))</f>
        <v>110</v>
      </c>
    </row>
    <row r="16" spans="1:4" x14ac:dyDescent="0.3">
      <c r="A16" s="18"/>
      <c r="B16" s="6" t="s">
        <v>102</v>
      </c>
      <c r="C16" s="9">
        <v>-5.0000000000000001E-3</v>
      </c>
    </row>
    <row r="17" spans="1:3" x14ac:dyDescent="0.3">
      <c r="A17" s="18"/>
      <c r="B17" s="6" t="s">
        <v>103</v>
      </c>
      <c r="C17" s="6">
        <v>80</v>
      </c>
    </row>
    <row r="18" spans="1:3" x14ac:dyDescent="0.3">
      <c r="A18" s="19"/>
      <c r="B18" s="6" t="s">
        <v>104</v>
      </c>
      <c r="C18" s="7">
        <v>120000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857C-57D9-41B2-A156-EFD2AA6FE09E}">
  <dimension ref="A1:AK14"/>
  <sheetViews>
    <sheetView workbookViewId="0">
      <selection activeCell="I8" sqref="I8"/>
    </sheetView>
  </sheetViews>
  <sheetFormatPr defaultRowHeight="14.4" x14ac:dyDescent="0.3"/>
  <cols>
    <col min="1" max="1" width="18" bestFit="1" customWidth="1"/>
    <col min="2" max="3" width="10.33203125" bestFit="1" customWidth="1"/>
    <col min="4" max="4" width="9" customWidth="1"/>
    <col min="7" max="7" width="11.77734375" bestFit="1" customWidth="1"/>
    <col min="9" max="9" width="11.44140625" bestFit="1" customWidth="1"/>
  </cols>
  <sheetData>
    <row r="1" spans="1:37" x14ac:dyDescent="0.3">
      <c r="A1" s="4" t="s">
        <v>112</v>
      </c>
      <c r="B1" s="16"/>
      <c r="C1" s="16"/>
      <c r="D1" s="17"/>
    </row>
    <row r="2" spans="1:37" ht="28.8" x14ac:dyDescent="0.3">
      <c r="A2" s="18"/>
      <c r="B2" s="5" t="s">
        <v>105</v>
      </c>
      <c r="C2" s="5" t="s">
        <v>106</v>
      </c>
      <c r="D2" s="5" t="s">
        <v>113</v>
      </c>
      <c r="E2" s="5" t="s">
        <v>173</v>
      </c>
    </row>
    <row r="3" spans="1:37" x14ac:dyDescent="0.3">
      <c r="A3" s="18"/>
      <c r="B3" s="6" t="s">
        <v>107</v>
      </c>
      <c r="C3" s="6">
        <v>12</v>
      </c>
      <c r="D3" s="7">
        <v>26000</v>
      </c>
      <c r="E3" s="2">
        <f>D3*C3</f>
        <v>312000</v>
      </c>
    </row>
    <row r="4" spans="1:37" x14ac:dyDescent="0.3">
      <c r="A4" s="18"/>
      <c r="B4" s="6" t="s">
        <v>108</v>
      </c>
      <c r="C4" s="6">
        <v>3</v>
      </c>
      <c r="D4" s="7">
        <v>22000</v>
      </c>
      <c r="E4" s="2">
        <f>D4*C4</f>
        <v>66000</v>
      </c>
    </row>
    <row r="5" spans="1:37" x14ac:dyDescent="0.3">
      <c r="A5" s="18"/>
      <c r="B5" s="6" t="s">
        <v>109</v>
      </c>
      <c r="C5" s="6">
        <v>5</v>
      </c>
      <c r="D5" s="7">
        <v>18000</v>
      </c>
      <c r="E5" s="2">
        <f>D5*C5</f>
        <v>90000</v>
      </c>
    </row>
    <row r="6" spans="1:37" x14ac:dyDescent="0.3">
      <c r="A6" s="18"/>
      <c r="B6" s="6" t="s">
        <v>110</v>
      </c>
      <c r="C6" s="6">
        <v>4</v>
      </c>
      <c r="D6" s="7">
        <v>12000</v>
      </c>
      <c r="E6" s="2">
        <f>D6*C6</f>
        <v>48000</v>
      </c>
    </row>
    <row r="7" spans="1:37" x14ac:dyDescent="0.3">
      <c r="A7" s="19"/>
      <c r="B7" s="6" t="s">
        <v>111</v>
      </c>
      <c r="C7" s="102">
        <v>4</v>
      </c>
      <c r="D7" s="103">
        <v>20000</v>
      </c>
      <c r="E7" s="2">
        <f>D7*C7</f>
        <v>80000</v>
      </c>
      <c r="G7" s="2" t="s">
        <v>114</v>
      </c>
      <c r="I7" t="s">
        <v>273</v>
      </c>
    </row>
    <row r="8" spans="1:37" x14ac:dyDescent="0.3">
      <c r="C8" s="2">
        <f>SUM(C3:C7)</f>
        <v>28</v>
      </c>
      <c r="D8" s="104">
        <f>E8/C8</f>
        <v>21285.714285714286</v>
      </c>
      <c r="E8" s="2">
        <f>SUM(E3:E7)</f>
        <v>596000</v>
      </c>
      <c r="G8" s="127">
        <v>0.15</v>
      </c>
      <c r="I8" s="119">
        <f>SUM(E3:E4)/E8</f>
        <v>0.63422818791946312</v>
      </c>
    </row>
    <row r="9" spans="1:37" x14ac:dyDescent="0.3">
      <c r="D9" s="2" t="s">
        <v>174</v>
      </c>
    </row>
    <row r="12" spans="1:37" x14ac:dyDescent="0.3">
      <c r="A12" s="4" t="s">
        <v>115</v>
      </c>
    </row>
    <row r="13" spans="1:37" x14ac:dyDescent="0.3">
      <c r="A13" s="2" t="str" cm="1">
        <f t="array" ref="A13:AK13">'23_Time'!A2:AK2</f>
        <v>Month Label</v>
      </c>
      <c r="B13" s="2" t="str">
        <v>M1</v>
      </c>
      <c r="C13" s="2" t="str">
        <v>M2</v>
      </c>
      <c r="D13" s="2" t="str">
        <v>M3</v>
      </c>
      <c r="E13" s="2" t="str">
        <v>M4</v>
      </c>
      <c r="F13" s="2" t="str">
        <v>M5</v>
      </c>
      <c r="G13" s="2" t="str">
        <v>M6</v>
      </c>
      <c r="H13" s="2" t="str">
        <v>M7</v>
      </c>
      <c r="I13" s="2" t="str">
        <v>M8</v>
      </c>
      <c r="J13" s="2" t="str">
        <v>M9</v>
      </c>
      <c r="K13" s="2" t="str">
        <v>M10</v>
      </c>
      <c r="L13" s="2" t="str">
        <v>M11</v>
      </c>
      <c r="M13" s="2" t="str">
        <v>M12</v>
      </c>
      <c r="N13" s="2" t="str">
        <v>M13</v>
      </c>
      <c r="O13" s="2" t="str">
        <v>M14</v>
      </c>
      <c r="P13" s="2" t="str">
        <v>M15</v>
      </c>
      <c r="Q13" s="2" t="str">
        <v>M16</v>
      </c>
      <c r="R13" s="2" t="str">
        <v>M17</v>
      </c>
      <c r="S13" s="2" t="str">
        <v>M18</v>
      </c>
      <c r="T13" s="2" t="str">
        <v>M19</v>
      </c>
      <c r="U13" s="2" t="str">
        <v>M20</v>
      </c>
      <c r="V13" s="2" t="str">
        <v>M21</v>
      </c>
      <c r="W13" s="2" t="str">
        <v>M22</v>
      </c>
      <c r="X13" s="2" t="str">
        <v>M23</v>
      </c>
      <c r="Y13" s="2" t="str">
        <v>M24</v>
      </c>
      <c r="Z13" s="2" t="str">
        <v>M25</v>
      </c>
      <c r="AA13" s="2" t="str">
        <v>M26</v>
      </c>
      <c r="AB13" s="2" t="str">
        <v>M27</v>
      </c>
      <c r="AC13" s="2" t="str">
        <v>M28</v>
      </c>
      <c r="AD13" s="2" t="str">
        <v>M29</v>
      </c>
      <c r="AE13" s="2" t="str">
        <v>M30</v>
      </c>
      <c r="AF13" s="2" t="str">
        <v>M31</v>
      </c>
      <c r="AG13" s="2" t="str">
        <v>M32</v>
      </c>
      <c r="AH13" s="2" t="str">
        <v>M33</v>
      </c>
      <c r="AI13" s="2" t="str">
        <v>M34</v>
      </c>
      <c r="AJ13" s="2" t="str">
        <v>M35</v>
      </c>
      <c r="AK13" s="2" t="str">
        <v>M36</v>
      </c>
    </row>
    <row r="14" spans="1:37" x14ac:dyDescent="0.3">
      <c r="A14" s="2" t="s">
        <v>116</v>
      </c>
      <c r="B14" s="2">
        <v>0</v>
      </c>
      <c r="C14" s="2">
        <f>IF('23_Time'!C3 = 1,2,1)</f>
        <v>2</v>
      </c>
      <c r="D14" s="2">
        <f>IF('23_Time'!D3 = 1,2,1)</f>
        <v>2</v>
      </c>
      <c r="E14" s="2">
        <f>IF('23_Time'!E3 = 1,2,1)</f>
        <v>2</v>
      </c>
      <c r="F14" s="2">
        <f>IF('23_Time'!F3 = 1,2,1)</f>
        <v>2</v>
      </c>
      <c r="G14" s="2">
        <f>IF('23_Time'!G3 = 1,2,1)</f>
        <v>2</v>
      </c>
      <c r="H14" s="2">
        <f>IF('23_Time'!H3 = 1,2,1)</f>
        <v>2</v>
      </c>
      <c r="I14" s="2">
        <f>IF('23_Time'!I3 = 1,2,1)</f>
        <v>2</v>
      </c>
      <c r="J14" s="2">
        <f>IF('23_Time'!J3 = 1,2,1)</f>
        <v>2</v>
      </c>
      <c r="K14" s="2">
        <f>IF('23_Time'!K3 = 1,2,1)</f>
        <v>2</v>
      </c>
      <c r="L14" s="2">
        <f>IF('23_Time'!L3 = 1,2,1)</f>
        <v>2</v>
      </c>
      <c r="M14" s="2">
        <f>IF('23_Time'!M3 = 1,2,1)</f>
        <v>2</v>
      </c>
      <c r="N14" s="2">
        <f>IF('23_Time'!N3 = 1,2,1)</f>
        <v>1</v>
      </c>
      <c r="O14" s="2">
        <f>IF('23_Time'!O3 = 1,2,1)</f>
        <v>1</v>
      </c>
      <c r="P14" s="2">
        <f>IF('23_Time'!P3 = 1,2,1)</f>
        <v>1</v>
      </c>
      <c r="Q14" s="2">
        <f>IF('23_Time'!Q3 = 1,2,1)</f>
        <v>1</v>
      </c>
      <c r="R14" s="2">
        <f>IF('23_Time'!R3 = 1,2,1)</f>
        <v>1</v>
      </c>
      <c r="S14" s="2">
        <f>IF('23_Time'!S3 = 1,2,1)</f>
        <v>1</v>
      </c>
      <c r="T14" s="2">
        <f>IF('23_Time'!T3 = 1,2,1)</f>
        <v>1</v>
      </c>
      <c r="U14" s="2">
        <f>IF('23_Time'!U3 = 1,2,1)</f>
        <v>1</v>
      </c>
      <c r="V14" s="2">
        <f>IF('23_Time'!V3 = 1,2,1)</f>
        <v>1</v>
      </c>
      <c r="W14" s="2">
        <f>IF('23_Time'!W3 = 1,2,1)</f>
        <v>1</v>
      </c>
      <c r="X14" s="2">
        <f>IF('23_Time'!X3 = 1,2,1)</f>
        <v>1</v>
      </c>
      <c r="Y14" s="2">
        <f>IF('23_Time'!Y3 = 1,2,1)</f>
        <v>1</v>
      </c>
      <c r="Z14" s="2">
        <f>IF('23_Time'!Z3 = 1,2,1)</f>
        <v>1</v>
      </c>
      <c r="AA14" s="2">
        <f>IF('23_Time'!AA3 = 1,2,1)</f>
        <v>1</v>
      </c>
      <c r="AB14" s="2">
        <f>IF('23_Time'!AB3 = 1,2,1)</f>
        <v>1</v>
      </c>
      <c r="AC14" s="2">
        <f>IF('23_Time'!AC3 = 1,2,1)</f>
        <v>1</v>
      </c>
      <c r="AD14" s="2">
        <f>IF('23_Time'!AD3 = 1,2,1)</f>
        <v>1</v>
      </c>
      <c r="AE14" s="2">
        <f>IF('23_Time'!AE3 = 1,2,1)</f>
        <v>1</v>
      </c>
      <c r="AF14" s="2">
        <f>IF('23_Time'!AF3 = 1,2,1)</f>
        <v>1</v>
      </c>
      <c r="AG14" s="2">
        <f>IF('23_Time'!AG3 = 1,2,1)</f>
        <v>1</v>
      </c>
      <c r="AH14" s="2">
        <f>IF('23_Time'!AH3 = 1,2,1)</f>
        <v>1</v>
      </c>
      <c r="AI14" s="2">
        <f>IF('23_Time'!AI3 = 1,2,1)</f>
        <v>1</v>
      </c>
      <c r="AJ14" s="2">
        <f>IF('23_Time'!AJ3 = 1,2,1)</f>
        <v>1</v>
      </c>
      <c r="AK14" s="2">
        <f>IF('23_Time'!AK3 = 1,2,1)</f>
        <v>1</v>
      </c>
    </row>
  </sheetData>
  <pageMargins left="0.7" right="0.7" top="0.75" bottom="0.75" header="0.3" footer="0.3"/>
  <ignoredErrors>
    <ignoredError sqref="D8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B9D1-53A7-433D-BE42-9BA81ED5A001}">
  <dimension ref="G1:H7"/>
  <sheetViews>
    <sheetView topLeftCell="G1" workbookViewId="0">
      <selection activeCell="J7" sqref="J7"/>
    </sheetView>
  </sheetViews>
  <sheetFormatPr defaultRowHeight="14.4" x14ac:dyDescent="0.3"/>
  <cols>
    <col min="7" max="7" width="14.5546875" bestFit="1" customWidth="1"/>
    <col min="8" max="8" width="7.5546875" bestFit="1" customWidth="1"/>
  </cols>
  <sheetData>
    <row r="1" spans="7:8" x14ac:dyDescent="0.3">
      <c r="G1" s="5" t="s">
        <v>52</v>
      </c>
      <c r="H1" s="5" t="s">
        <v>53</v>
      </c>
    </row>
    <row r="2" spans="7:8" x14ac:dyDescent="0.3">
      <c r="G2" s="6" t="s">
        <v>117</v>
      </c>
      <c r="H2" s="7">
        <v>150000</v>
      </c>
    </row>
    <row r="3" spans="7:8" x14ac:dyDescent="0.3">
      <c r="G3" s="6" t="s">
        <v>118</v>
      </c>
      <c r="H3" s="7">
        <v>60000</v>
      </c>
    </row>
    <row r="4" spans="7:8" x14ac:dyDescent="0.3">
      <c r="G4" s="6" t="s">
        <v>119</v>
      </c>
      <c r="H4" s="7">
        <v>25000</v>
      </c>
    </row>
    <row r="5" spans="7:8" x14ac:dyDescent="0.3">
      <c r="G5" s="6" t="s">
        <v>120</v>
      </c>
      <c r="H5" s="7">
        <v>35000</v>
      </c>
    </row>
    <row r="6" spans="7:8" x14ac:dyDescent="0.3">
      <c r="G6" s="6" t="s">
        <v>121</v>
      </c>
      <c r="H6" s="7">
        <v>40000</v>
      </c>
    </row>
    <row r="7" spans="7:8" x14ac:dyDescent="0.3">
      <c r="G7" s="51" t="s">
        <v>179</v>
      </c>
      <c r="H7" s="52">
        <f>SUM(H2:H6)</f>
        <v>310000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D813-3596-4F5A-BAF6-5F9F94615A3C}">
  <dimension ref="A1:B8"/>
  <sheetViews>
    <sheetView workbookViewId="0">
      <selection activeCell="B8" sqref="B8"/>
    </sheetView>
  </sheetViews>
  <sheetFormatPr defaultRowHeight="14.4" x14ac:dyDescent="0.3"/>
  <cols>
    <col min="1" max="1" width="35.5546875" bestFit="1" customWidth="1"/>
    <col min="2" max="2" width="11.5546875" bestFit="1" customWidth="1"/>
  </cols>
  <sheetData>
    <row r="1" spans="1:2" x14ac:dyDescent="0.3">
      <c r="A1" s="5" t="s">
        <v>52</v>
      </c>
      <c r="B1" s="5" t="s">
        <v>53</v>
      </c>
    </row>
    <row r="2" spans="1:2" x14ac:dyDescent="0.3">
      <c r="A2" s="6" t="s">
        <v>122</v>
      </c>
      <c r="B2" s="8">
        <v>0.08</v>
      </c>
    </row>
    <row r="3" spans="1:2" x14ac:dyDescent="0.3">
      <c r="A3" s="6" t="s">
        <v>123</v>
      </c>
      <c r="B3" s="7">
        <v>25000</v>
      </c>
    </row>
    <row r="4" spans="1:2" x14ac:dyDescent="0.3">
      <c r="A4" s="6" t="s">
        <v>124</v>
      </c>
      <c r="B4" s="6">
        <v>3</v>
      </c>
    </row>
    <row r="5" spans="1:2" x14ac:dyDescent="0.3">
      <c r="A5" s="6" t="s">
        <v>191</v>
      </c>
      <c r="B5" s="55">
        <f>1/36</f>
        <v>2.7777777777777776E-2</v>
      </c>
    </row>
    <row r="6" spans="1:2" x14ac:dyDescent="0.3">
      <c r="A6" s="6" t="s">
        <v>125</v>
      </c>
      <c r="B6" s="6">
        <v>12</v>
      </c>
    </row>
    <row r="7" spans="1:2" x14ac:dyDescent="0.3">
      <c r="A7" s="6" t="s">
        <v>126</v>
      </c>
      <c r="B7" s="6">
        <v>25</v>
      </c>
    </row>
    <row r="8" spans="1:2" x14ac:dyDescent="0.3">
      <c r="A8" s="6" t="s">
        <v>127</v>
      </c>
      <c r="B8" s="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FE45-D078-4CD1-B067-336B64F3B488}">
  <dimension ref="A1:B10"/>
  <sheetViews>
    <sheetView workbookViewId="0">
      <selection activeCell="B9" sqref="B9"/>
    </sheetView>
  </sheetViews>
  <sheetFormatPr defaultRowHeight="14.4" x14ac:dyDescent="0.3"/>
  <cols>
    <col min="1" max="1" width="17.44140625" bestFit="1" customWidth="1"/>
    <col min="2" max="3" width="10.109375" bestFit="1" customWidth="1"/>
    <col min="8" max="8" width="17.44140625" bestFit="1" customWidth="1"/>
    <col min="9" max="9" width="10.109375" bestFit="1" customWidth="1"/>
  </cols>
  <sheetData>
    <row r="1" spans="1:2" x14ac:dyDescent="0.3">
      <c r="A1" s="5" t="s">
        <v>52</v>
      </c>
      <c r="B1" s="5" t="s">
        <v>53</v>
      </c>
    </row>
    <row r="2" spans="1:2" x14ac:dyDescent="0.3">
      <c r="A2" s="6" t="s">
        <v>128</v>
      </c>
      <c r="B2" s="7">
        <v>5000000</v>
      </c>
    </row>
    <row r="3" spans="1:2" x14ac:dyDescent="0.3">
      <c r="A3" s="6" t="s">
        <v>129</v>
      </c>
      <c r="B3" s="6">
        <f>'21_Scenarios'!G2</f>
        <v>6</v>
      </c>
    </row>
    <row r="4" spans="1:2" x14ac:dyDescent="0.3">
      <c r="A4" s="6" t="s">
        <v>130</v>
      </c>
      <c r="B4" s="7">
        <f>'21_Scenarios'!H2</f>
        <v>25000000</v>
      </c>
    </row>
    <row r="5" spans="1:2" x14ac:dyDescent="0.3">
      <c r="A5" s="6" t="s">
        <v>131</v>
      </c>
      <c r="B5" s="7">
        <v>4000000</v>
      </c>
    </row>
    <row r="6" spans="1:2" x14ac:dyDescent="0.3">
      <c r="A6" s="6" t="s">
        <v>132</v>
      </c>
      <c r="B6" s="6">
        <v>6</v>
      </c>
    </row>
    <row r="7" spans="1:2" x14ac:dyDescent="0.3">
      <c r="A7" s="6" t="s">
        <v>133</v>
      </c>
      <c r="B7" s="7">
        <v>1000000</v>
      </c>
    </row>
    <row r="8" spans="1:2" x14ac:dyDescent="0.3">
      <c r="A8" s="6" t="s">
        <v>134</v>
      </c>
      <c r="B8" s="6">
        <v>9</v>
      </c>
    </row>
    <row r="9" spans="1:2" x14ac:dyDescent="0.3">
      <c r="A9" s="6" t="s">
        <v>135</v>
      </c>
      <c r="B9" s="7">
        <v>1000000</v>
      </c>
    </row>
    <row r="10" spans="1:2" x14ac:dyDescent="0.3">
      <c r="A10" s="6" t="s">
        <v>136</v>
      </c>
      <c r="B10" s="8">
        <v>0.1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7B88-6BB6-460D-8099-05EE3EE3E641}">
  <dimension ref="A1:B2"/>
  <sheetViews>
    <sheetView workbookViewId="0">
      <selection activeCell="B23" sqref="B23"/>
    </sheetView>
  </sheetViews>
  <sheetFormatPr defaultRowHeight="14.4" x14ac:dyDescent="0.3"/>
  <cols>
    <col min="1" max="1" width="16.21875" bestFit="1" customWidth="1"/>
    <col min="2" max="2" width="5" bestFit="1" customWidth="1"/>
  </cols>
  <sheetData>
    <row r="1" spans="1:2" x14ac:dyDescent="0.3">
      <c r="A1" s="5" t="s">
        <v>52</v>
      </c>
      <c r="B1" s="5" t="s">
        <v>53</v>
      </c>
    </row>
    <row r="2" spans="1:2" x14ac:dyDescent="0.3">
      <c r="A2" s="6" t="s">
        <v>137</v>
      </c>
      <c r="B2" s="8">
        <v>0.09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2A8C-5E9A-409D-8010-8B738ECA17D8}">
  <dimension ref="A1:AN21"/>
  <sheetViews>
    <sheetView workbookViewId="0">
      <pane xSplit="1" topLeftCell="AK1" activePane="topRight" state="frozen"/>
      <selection pane="topRight" activeCell="AR19" sqref="AR19"/>
    </sheetView>
  </sheetViews>
  <sheetFormatPr defaultRowHeight="14.4" x14ac:dyDescent="0.3"/>
  <cols>
    <col min="1" max="1" width="19.77734375" bestFit="1" customWidth="1"/>
    <col min="2" max="5" width="9.44140625" bestFit="1" customWidth="1"/>
    <col min="6" max="29" width="10.44140625" bestFit="1" customWidth="1"/>
    <col min="30" max="39" width="11.44140625" bestFit="1" customWidth="1"/>
    <col min="40" max="40" width="13.109375" bestFit="1" customWidth="1"/>
  </cols>
  <sheetData>
    <row r="1" spans="1:40" ht="15" thickBot="1" x14ac:dyDescent="0.35">
      <c r="A1" s="95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97" t="str">
        <v>Month Label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  <c r="AL2" s="86" t="s">
        <v>74</v>
      </c>
      <c r="AM2" s="142" t="s">
        <v>75</v>
      </c>
      <c r="AN2" s="143" t="s">
        <v>76</v>
      </c>
    </row>
    <row r="3" spans="1:40" x14ac:dyDescent="0.3">
      <c r="A3" s="95" t="s">
        <v>147</v>
      </c>
      <c r="B3" s="57">
        <f>'32_Inputs_GrowthRetention'!C3</f>
        <v>0</v>
      </c>
      <c r="C3" s="57">
        <f>B7</f>
        <v>2000</v>
      </c>
      <c r="D3" s="57">
        <f t="shared" ref="D3:AK3" si="0">C7</f>
        <v>4050.21</v>
      </c>
      <c r="E3" s="57">
        <f t="shared" si="0"/>
        <v>6156.0779220499999</v>
      </c>
      <c r="F3" s="57">
        <f t="shared" si="0"/>
        <v>8323.2935829600647</v>
      </c>
      <c r="G3" s="57">
        <f t="shared" si="0"/>
        <v>10557.806173382674</v>
      </c>
      <c r="H3" s="57">
        <f t="shared" si="0"/>
        <v>12865.842682162487</v>
      </c>
      <c r="I3" s="57">
        <f t="shared" si="0"/>
        <v>15253.927326280427</v>
      </c>
      <c r="J3" s="57">
        <f t="shared" si="0"/>
        <v>17728.902050212593</v>
      </c>
      <c r="K3" s="57">
        <f t="shared" si="0"/>
        <v>20297.948162232111</v>
      </c>
      <c r="L3" s="57">
        <f t="shared" si="0"/>
        <v>22968.609179116407</v>
      </c>
      <c r="M3" s="57">
        <f t="shared" si="0"/>
        <v>25748.81495489685</v>
      </c>
      <c r="N3" s="57">
        <f t="shared" si="0"/>
        <v>28646.907173716576</v>
      </c>
      <c r="O3" s="57">
        <f t="shared" si="0"/>
        <v>31671.666291560843</v>
      </c>
      <c r="P3" s="57">
        <f t="shared" si="0"/>
        <v>34832.340016608199</v>
      </c>
      <c r="Q3" s="57">
        <f t="shared" si="0"/>
        <v>38138.673423237517</v>
      </c>
      <c r="R3" s="57">
        <f t="shared" si="0"/>
        <v>41600.940800333032</v>
      </c>
      <c r="S3" s="57">
        <f t="shared" si="0"/>
        <v>45229.979340476755</v>
      </c>
      <c r="T3" s="57">
        <f t="shared" si="0"/>
        <v>49037.224782924444</v>
      </c>
      <c r="U3" s="57">
        <f t="shared" si="0"/>
        <v>53034.749129949938</v>
      </c>
      <c r="V3" s="57">
        <f t="shared" si="0"/>
        <v>57235.30056323552</v>
      </c>
      <c r="W3" s="57">
        <f t="shared" si="0"/>
        <v>61652.345694507116</v>
      </c>
      <c r="X3" s="57">
        <f t="shared" si="0"/>
        <v>66300.114292588536</v>
      </c>
      <c r="Y3" s="57">
        <f t="shared" si="0"/>
        <v>71193.646637505371</v>
      </c>
      <c r="Z3" s="57">
        <f t="shared" si="0"/>
        <v>76348.843661235733</v>
      </c>
      <c r="AA3" s="57">
        <f t="shared" si="0"/>
        <v>81782.520044211793</v>
      </c>
      <c r="AB3" s="57">
        <f t="shared" si="0"/>
        <v>87512.460446755998</v>
      </c>
      <c r="AC3" s="57">
        <f t="shared" si="0"/>
        <v>93557.479065322637</v>
      </c>
      <c r="AD3" s="57">
        <f t="shared" si="0"/>
        <v>99937.482714745754</v>
      </c>
      <c r="AE3" s="57">
        <f t="shared" si="0"/>
        <v>106673.53764970672</v>
      </c>
      <c r="AF3" s="57">
        <f t="shared" si="0"/>
        <v>113787.94035136975</v>
      </c>
      <c r="AG3" s="57">
        <f t="shared" si="0"/>
        <v>121304.29251863521</v>
      </c>
      <c r="AH3" s="57">
        <f t="shared" si="0"/>
        <v>129071.37923119745</v>
      </c>
      <c r="AI3" s="57">
        <f t="shared" si="0"/>
        <v>136567.43345292483</v>
      </c>
      <c r="AJ3" s="57">
        <f t="shared" si="0"/>
        <v>143801.91286258501</v>
      </c>
      <c r="AK3" s="57">
        <f t="shared" si="0"/>
        <v>150783.94511324514</v>
      </c>
      <c r="AL3" s="75">
        <f>B3</f>
        <v>0</v>
      </c>
      <c r="AM3" s="57">
        <f>N3</f>
        <v>28646.907173716576</v>
      </c>
      <c r="AN3" s="72">
        <f>Z3</f>
        <v>76348.843661235733</v>
      </c>
    </row>
    <row r="4" spans="1:40" x14ac:dyDescent="0.3">
      <c r="A4" s="97" t="s">
        <v>148</v>
      </c>
      <c r="B4" s="60">
        <f>'32_Inputs_GrowthRetention'!C4</f>
        <v>2000</v>
      </c>
      <c r="C4" s="60">
        <f>MIN(B4*(1 + '32_Inputs_GrowthRetention'!$D$5),'32_Inputs_GrowthRetention'!$C$6)</f>
        <v>2120</v>
      </c>
      <c r="D4" s="60">
        <f>MIN(C4*(1 + '32_Inputs_GrowthRetention'!$D$5),'32_Inputs_GrowthRetention'!$C$6)</f>
        <v>2247.2000000000003</v>
      </c>
      <c r="E4" s="60">
        <f>MIN(D4*(1 + '32_Inputs_GrowthRetention'!$D$5),'32_Inputs_GrowthRetention'!$C$6)</f>
        <v>2382.0320000000006</v>
      </c>
      <c r="F4" s="60">
        <f>MIN(E4*(1 + '32_Inputs_GrowthRetention'!$D$5),'32_Inputs_GrowthRetention'!$C$6)</f>
        <v>2524.9539200000008</v>
      </c>
      <c r="G4" s="60">
        <f>MIN(F4*(1 + '32_Inputs_GrowthRetention'!$D$5),'32_Inputs_GrowthRetention'!$C$6)</f>
        <v>2676.4511552000008</v>
      </c>
      <c r="H4" s="60">
        <f>MIN(G4*(1 + '32_Inputs_GrowthRetention'!$D$5),'32_Inputs_GrowthRetention'!$C$6)</f>
        <v>2837.0382245120009</v>
      </c>
      <c r="I4" s="60">
        <f>MIN(H4*(1 + '32_Inputs_GrowthRetention'!$D$5),'32_Inputs_GrowthRetention'!$C$6)</f>
        <v>3007.260517982721</v>
      </c>
      <c r="J4" s="60">
        <f>MIN(I4*(1 + '32_Inputs_GrowthRetention'!$D$5),'32_Inputs_GrowthRetention'!$C$6)</f>
        <v>3187.6961490616845</v>
      </c>
      <c r="K4" s="60">
        <f>MIN(J4*(1 + '32_Inputs_GrowthRetention'!$D$5),'32_Inputs_GrowthRetention'!$C$6)</f>
        <v>3378.9579180053856</v>
      </c>
      <c r="L4" s="60">
        <f>MIN(K4*(1 + '32_Inputs_GrowthRetention'!$D$5),'32_Inputs_GrowthRetention'!$C$6)</f>
        <v>3581.6953930857089</v>
      </c>
      <c r="M4" s="60">
        <f>MIN(L4*(1 + '32_Inputs_GrowthRetention'!$D$5),'32_Inputs_GrowthRetention'!$C$6)</f>
        <v>3796.5971166708518</v>
      </c>
      <c r="N4" s="60">
        <f>MIN(M4*(1 + '32_Inputs_GrowthRetention'!$D$5),'32_Inputs_GrowthRetention'!$C$6)</f>
        <v>4024.3929436711032</v>
      </c>
      <c r="O4" s="60">
        <f>MIN(N4*(1 + '32_Inputs_GrowthRetention'!$D$5),'32_Inputs_GrowthRetention'!$C$6)</f>
        <v>4265.8565202913696</v>
      </c>
      <c r="P4" s="60">
        <f>MIN(O4*(1 + '32_Inputs_GrowthRetention'!$D$5),'32_Inputs_GrowthRetention'!$C$6)</f>
        <v>4521.8079115088522</v>
      </c>
      <c r="Q4" s="60">
        <f>MIN(P4*(1 + '32_Inputs_GrowthRetention'!$D$5),'32_Inputs_GrowthRetention'!$C$6)</f>
        <v>4793.1163861993837</v>
      </c>
      <c r="R4" s="60">
        <f>MIN(Q4*(1 + '32_Inputs_GrowthRetention'!$D$5),'32_Inputs_GrowthRetention'!$C$6)</f>
        <v>5080.7033693713465</v>
      </c>
      <c r="S4" s="60">
        <f>MIN(R4*(1 + '32_Inputs_GrowthRetention'!$D$5),'32_Inputs_GrowthRetention'!$C$6)</f>
        <v>5385.5455715336275</v>
      </c>
      <c r="T4" s="60">
        <f>MIN(S4*(1 + '32_Inputs_GrowthRetention'!$D$5),'32_Inputs_GrowthRetention'!$C$6)</f>
        <v>5708.6783058256451</v>
      </c>
      <c r="U4" s="60">
        <f>MIN(T4*(1 + '32_Inputs_GrowthRetention'!$D$5),'32_Inputs_GrowthRetention'!$C$6)</f>
        <v>6051.1990041751842</v>
      </c>
      <c r="V4" s="60">
        <f>MIN(U4*(1 + '32_Inputs_GrowthRetention'!$D$5),'32_Inputs_GrowthRetention'!$C$6)</f>
        <v>6414.2709444256952</v>
      </c>
      <c r="W4" s="60">
        <f>MIN(V4*(1 + '32_Inputs_GrowthRetention'!$D$5),'32_Inputs_GrowthRetention'!$C$6)</f>
        <v>6799.1272010912371</v>
      </c>
      <c r="X4" s="60">
        <f>MIN(W4*(1 + '32_Inputs_GrowthRetention'!$D$5),'32_Inputs_GrowthRetention'!$C$6)</f>
        <v>7207.074833156712</v>
      </c>
      <c r="Y4" s="60">
        <f>MIN(X4*(1 + '32_Inputs_GrowthRetention'!$D$5),'32_Inputs_GrowthRetention'!$C$6)</f>
        <v>7639.4993231461149</v>
      </c>
      <c r="Z4" s="60">
        <f>MIN(Y4*(1 + '32_Inputs_GrowthRetention'!$D$5),'32_Inputs_GrowthRetention'!$C$6)</f>
        <v>8097.8692825348826</v>
      </c>
      <c r="AA4" s="60">
        <f>MIN(Z4*(1 + '32_Inputs_GrowthRetention'!$D$5),'32_Inputs_GrowthRetention'!$C$6)</f>
        <v>8583.7414394869757</v>
      </c>
      <c r="AB4" s="60">
        <f>MIN(AA4*(1 + '32_Inputs_GrowthRetention'!$D$5),'32_Inputs_GrowthRetention'!$C$6)</f>
        <v>9098.7659258561944</v>
      </c>
      <c r="AC4" s="60">
        <f>MIN(AB4*(1 + '32_Inputs_GrowthRetention'!$D$5),'32_Inputs_GrowthRetention'!$C$6)</f>
        <v>9644.6918814075671</v>
      </c>
      <c r="AD4" s="60">
        <f>MIN(AC4*(1 + '32_Inputs_GrowthRetention'!$D$5),'32_Inputs_GrowthRetention'!$C$6)</f>
        <v>10223.373394292021</v>
      </c>
      <c r="AE4" s="60">
        <f>MIN(AD4*(1 + '32_Inputs_GrowthRetention'!$D$5),'32_Inputs_GrowthRetention'!$C$6)</f>
        <v>10836.775797949542</v>
      </c>
      <c r="AF4" s="60">
        <f>MIN(AE4*(1 + '32_Inputs_GrowthRetention'!$D$5),'32_Inputs_GrowthRetention'!$C$6)</f>
        <v>11486.982345826515</v>
      </c>
      <c r="AG4" s="60">
        <f>MIN(AF4*(1 + '32_Inputs_GrowthRetention'!$D$5),'32_Inputs_GrowthRetention'!$C$6)</f>
        <v>12000</v>
      </c>
      <c r="AH4" s="60">
        <f>MIN(AG4*(1 + '32_Inputs_GrowthRetention'!$D$5),'32_Inputs_GrowthRetention'!$C$6)</f>
        <v>12000</v>
      </c>
      <c r="AI4" s="60">
        <f>MIN(AH4*(1 + '32_Inputs_GrowthRetention'!$D$5),'32_Inputs_GrowthRetention'!$C$6)</f>
        <v>12000</v>
      </c>
      <c r="AJ4" s="60">
        <f>MIN(AI4*(1 + '32_Inputs_GrowthRetention'!$D$5),'32_Inputs_GrowthRetention'!$C$6)</f>
        <v>12000</v>
      </c>
      <c r="AK4" s="60">
        <f>MIN(AJ4*(1 + '32_Inputs_GrowthRetention'!$D$5),'32_Inputs_GrowthRetention'!$C$6)</f>
        <v>12000</v>
      </c>
      <c r="AL4" s="76">
        <f>SUMIF('23_Time'!$B$3:$AK$3, 1,B4:AK4)</f>
        <v>33739.882394518361</v>
      </c>
      <c r="AM4" s="60">
        <f>SUMIF('23_Time'!$B$3:$AK$3, 2,B4:AK4)</f>
        <v>67891.272314396279</v>
      </c>
      <c r="AN4" s="73">
        <f>SUMIF('23_Time'!$B$3:$AK$3, 3,B4:AK4)</f>
        <v>127972.2000673537</v>
      </c>
    </row>
    <row r="5" spans="1:40" x14ac:dyDescent="0.3">
      <c r="A5" s="97" t="s">
        <v>149</v>
      </c>
      <c r="B5" s="60">
        <f>B3*'32_Inputs_GrowthRetention'!$D$9</f>
        <v>0</v>
      </c>
      <c r="C5" s="60">
        <f>C3*'32_Inputs_GrowthRetention'!$D$9</f>
        <v>70</v>
      </c>
      <c r="D5" s="60">
        <f>D3*'32_Inputs_GrowthRetention'!$D$9</f>
        <v>141.75735</v>
      </c>
      <c r="E5" s="60">
        <f>E3*'32_Inputs_GrowthRetention'!$D$9</f>
        <v>215.46272727175003</v>
      </c>
      <c r="F5" s="60">
        <f>F3*'32_Inputs_GrowthRetention'!$D$9</f>
        <v>291.3152754036023</v>
      </c>
      <c r="G5" s="60">
        <f>G3*'32_Inputs_GrowthRetention'!$D$9</f>
        <v>369.52321606839365</v>
      </c>
      <c r="H5" s="60">
        <f>H3*'32_Inputs_GrowthRetention'!$D$9</f>
        <v>450.30449387568711</v>
      </c>
      <c r="I5" s="60">
        <f>I3*'32_Inputs_GrowthRetention'!$D$9</f>
        <v>533.88745641981495</v>
      </c>
      <c r="J5" s="60">
        <f>J3*'32_Inputs_GrowthRetention'!$D$9</f>
        <v>620.51157175744083</v>
      </c>
      <c r="K5" s="60">
        <f>K3*'32_Inputs_GrowthRetention'!$D$9</f>
        <v>710.4281856781239</v>
      </c>
      <c r="L5" s="60">
        <f>L3*'32_Inputs_GrowthRetention'!$D$9</f>
        <v>803.90132126907429</v>
      </c>
      <c r="M5" s="60">
        <f>M3*'32_Inputs_GrowthRetention'!$D$9</f>
        <v>901.20852342138983</v>
      </c>
      <c r="N5" s="60">
        <f>N3*'32_Inputs_GrowthRetention'!$D$9</f>
        <v>1002.6417510800802</v>
      </c>
      <c r="O5" s="60">
        <f>O3*'32_Inputs_GrowthRetention'!$D$9</f>
        <v>1108.5083202046296</v>
      </c>
      <c r="P5" s="60">
        <f>P3*'32_Inputs_GrowthRetention'!$D$9</f>
        <v>1219.131900581287</v>
      </c>
      <c r="Q5" s="60">
        <f>Q3*'32_Inputs_GrowthRetention'!$D$9</f>
        <v>1334.8535698133132</v>
      </c>
      <c r="R5" s="60">
        <f>R3*'32_Inputs_GrowthRetention'!$D$9</f>
        <v>1456.0329280116562</v>
      </c>
      <c r="S5" s="60">
        <f>S3*'32_Inputs_GrowthRetention'!$D$9</f>
        <v>1583.0492769166865</v>
      </c>
      <c r="T5" s="60">
        <f>T3*'32_Inputs_GrowthRetention'!$D$9</f>
        <v>1716.3028674023558</v>
      </c>
      <c r="U5" s="60">
        <f>U3*'32_Inputs_GrowthRetention'!$D$9</f>
        <v>1856.2162195482481</v>
      </c>
      <c r="V5" s="60">
        <f>V3*'32_Inputs_GrowthRetention'!$D$9</f>
        <v>2003.2355197132433</v>
      </c>
      <c r="W5" s="60">
        <f>W3*'32_Inputs_GrowthRetention'!$D$9</f>
        <v>2157.8320993077491</v>
      </c>
      <c r="X5" s="60">
        <f>X3*'32_Inputs_GrowthRetention'!$D$9</f>
        <v>2320.504000240599</v>
      </c>
      <c r="Y5" s="60">
        <f>Y3*'32_Inputs_GrowthRetention'!$D$9</f>
        <v>2491.7776323126882</v>
      </c>
      <c r="Z5" s="60">
        <f>Z3*'32_Inputs_GrowthRetention'!$D$9</f>
        <v>2672.2095281432507</v>
      </c>
      <c r="AA5" s="60">
        <f>AA3*'32_Inputs_GrowthRetention'!$D$9</f>
        <v>2862.3882015474132</v>
      </c>
      <c r="AB5" s="60">
        <f>AB3*'32_Inputs_GrowthRetention'!$D$9</f>
        <v>3062.9361156364603</v>
      </c>
      <c r="AC5" s="60">
        <f>AC3*'32_Inputs_GrowthRetention'!$D$9</f>
        <v>3274.5117672862925</v>
      </c>
      <c r="AD5" s="60">
        <f>AD3*'32_Inputs_GrowthRetention'!$D$9</f>
        <v>3497.8118950161015</v>
      </c>
      <c r="AE5" s="60">
        <f>AE3*'32_Inputs_GrowthRetention'!$D$9</f>
        <v>3733.5738177397357</v>
      </c>
      <c r="AF5" s="60">
        <f>AF3*'32_Inputs_GrowthRetention'!$D$9</f>
        <v>3982.5779122979416</v>
      </c>
      <c r="AG5" s="60">
        <f>AG3*'32_Inputs_GrowthRetention'!$D$9</f>
        <v>4245.6502381522323</v>
      </c>
      <c r="AH5" s="60">
        <f>AH3*'32_Inputs_GrowthRetention'!$D$9</f>
        <v>4517.498273091911</v>
      </c>
      <c r="AI5" s="60">
        <f>AI3*'32_Inputs_GrowthRetention'!$D$9</f>
        <v>4779.8601708523693</v>
      </c>
      <c r="AJ5" s="60">
        <f>AJ3*'32_Inputs_GrowthRetention'!$D$9</f>
        <v>5033.0669501904758</v>
      </c>
      <c r="AK5" s="60">
        <f>AK3*'32_Inputs_GrowthRetention'!$D$9</f>
        <v>5277.4380789635807</v>
      </c>
      <c r="AL5" s="76">
        <f>SUMIF('23_Time'!$B$3:$AK$3, 1,B5:AK5)</f>
        <v>5108.3001211652772</v>
      </c>
      <c r="AM5" s="60">
        <f>SUMIF('23_Time'!$B$3:$AK$3, 2,B5:AK5)</f>
        <v>20250.086085132538</v>
      </c>
      <c r="AN5" s="73">
        <f>SUMIF('23_Time'!$B$3:$AK$3, 3,B5:AK5)</f>
        <v>46939.522948917773</v>
      </c>
    </row>
    <row r="6" spans="1:40" x14ac:dyDescent="0.3">
      <c r="A6" s="97" t="s">
        <v>150</v>
      </c>
      <c r="B6" s="60">
        <f>B5*'32_Inputs_GrowthRetention'!$C$11</f>
        <v>0</v>
      </c>
      <c r="C6" s="60">
        <f>C5*'32_Inputs_GrowthRetention'!$C$11</f>
        <v>0.21</v>
      </c>
      <c r="D6" s="60">
        <f>D5*'32_Inputs_GrowthRetention'!$C$11</f>
        <v>0.42527205000000001</v>
      </c>
      <c r="E6" s="60">
        <f>E5*'32_Inputs_GrowthRetention'!$C$11</f>
        <v>0.64638818181525004</v>
      </c>
      <c r="F6" s="60">
        <f>F5*'32_Inputs_GrowthRetention'!$C$11</f>
        <v>0.87394582621080696</v>
      </c>
      <c r="G6" s="60">
        <f>G5*'32_Inputs_GrowthRetention'!$C$11</f>
        <v>1.108569648205181</v>
      </c>
      <c r="H6" s="60">
        <f>H5*'32_Inputs_GrowthRetention'!$C$11</f>
        <v>1.3509134816270614</v>
      </c>
      <c r="I6" s="60">
        <f>I5*'32_Inputs_GrowthRetention'!$C$11</f>
        <v>1.6016623692594449</v>
      </c>
      <c r="J6" s="60">
        <f>J5*'32_Inputs_GrowthRetention'!$C$11</f>
        <v>1.8615347152723225</v>
      </c>
      <c r="K6" s="60">
        <f>K5*'32_Inputs_GrowthRetention'!$C$11</f>
        <v>2.1312845570343719</v>
      </c>
      <c r="L6" s="60">
        <f>L5*'32_Inputs_GrowthRetention'!$C$11</f>
        <v>2.4117039638072231</v>
      </c>
      <c r="M6" s="60">
        <f>M5*'32_Inputs_GrowthRetention'!$C$11</f>
        <v>2.7036255702641694</v>
      </c>
      <c r="N6" s="60">
        <f>N5*'32_Inputs_GrowthRetention'!$C$11</f>
        <v>3.0079252532402405</v>
      </c>
      <c r="O6" s="60">
        <f>O5*'32_Inputs_GrowthRetention'!$C$11</f>
        <v>3.325524960613889</v>
      </c>
      <c r="P6" s="60">
        <f>P5*'32_Inputs_GrowthRetention'!$C$11</f>
        <v>3.657395701743861</v>
      </c>
      <c r="Q6" s="60">
        <f>Q5*'32_Inputs_GrowthRetention'!$C$11</f>
        <v>4.0045607094399402</v>
      </c>
      <c r="R6" s="60">
        <f>R5*'32_Inputs_GrowthRetention'!$C$11</f>
        <v>4.3680987840349683</v>
      </c>
      <c r="S6" s="60">
        <f>S5*'32_Inputs_GrowthRetention'!$C$11</f>
        <v>4.7491478307500596</v>
      </c>
      <c r="T6" s="60">
        <f>T5*'32_Inputs_GrowthRetention'!$C$11</f>
        <v>5.1489086022070678</v>
      </c>
      <c r="U6" s="60">
        <f>U5*'32_Inputs_GrowthRetention'!$C$11</f>
        <v>5.5686486586447446</v>
      </c>
      <c r="V6" s="60">
        <f>V5*'32_Inputs_GrowthRetention'!$C$11</f>
        <v>6.0097065591397305</v>
      </c>
      <c r="W6" s="60">
        <f>W5*'32_Inputs_GrowthRetention'!$C$11</f>
        <v>6.4734962979232478</v>
      </c>
      <c r="X6" s="60">
        <f>X5*'32_Inputs_GrowthRetention'!$C$11</f>
        <v>6.9615120007217968</v>
      </c>
      <c r="Y6" s="60">
        <f>Y5*'32_Inputs_GrowthRetention'!$C$11</f>
        <v>7.475332896938065</v>
      </c>
      <c r="Z6" s="60">
        <f>Z5*'32_Inputs_GrowthRetention'!$C$11</f>
        <v>8.0166285844297516</v>
      </c>
      <c r="AA6" s="60">
        <f>AA5*'32_Inputs_GrowthRetention'!$C$11</f>
        <v>8.5871646046422399</v>
      </c>
      <c r="AB6" s="60">
        <f>AB5*'32_Inputs_GrowthRetention'!$C$11</f>
        <v>9.1888083469093811</v>
      </c>
      <c r="AC6" s="60">
        <f>AC5*'32_Inputs_GrowthRetention'!$C$11</f>
        <v>9.8235353018588771</v>
      </c>
      <c r="AD6" s="60">
        <f>AD5*'32_Inputs_GrowthRetention'!$C$11</f>
        <v>10.493435685048304</v>
      </c>
      <c r="AE6" s="60">
        <f>AE5*'32_Inputs_GrowthRetention'!$C$11</f>
        <v>11.200721453219208</v>
      </c>
      <c r="AF6" s="60">
        <f>AF5*'32_Inputs_GrowthRetention'!$C$11</f>
        <v>11.947733736893825</v>
      </c>
      <c r="AG6" s="60">
        <f>AG5*'32_Inputs_GrowthRetention'!$C$11</f>
        <v>12.736950714456697</v>
      </c>
      <c r="AH6" s="60">
        <f>AH5*'32_Inputs_GrowthRetention'!$C$11</f>
        <v>13.552494819275733</v>
      </c>
      <c r="AI6" s="60">
        <f>AI5*'32_Inputs_GrowthRetention'!$C$11</f>
        <v>14.339580512557108</v>
      </c>
      <c r="AJ6" s="60">
        <f>AJ5*'32_Inputs_GrowthRetention'!$C$11</f>
        <v>15.099200850571428</v>
      </c>
      <c r="AK6" s="60">
        <f>AK5*'32_Inputs_GrowthRetention'!$C$11</f>
        <v>15.832314236890742</v>
      </c>
      <c r="AL6" s="76">
        <f>SUMIF('23_Time'!$B$3:$AK$3, 1,B6:AK6)</f>
        <v>15.32490036349583</v>
      </c>
      <c r="AM6" s="60">
        <f>SUMIF('23_Time'!$B$3:$AK$3, 2,B6:AK6)</f>
        <v>60.750258255397611</v>
      </c>
      <c r="AN6" s="73">
        <f>SUMIF('23_Time'!$B$3:$AK$3, 3,B6:AK6)</f>
        <v>140.81856884675329</v>
      </c>
    </row>
    <row r="7" spans="1:40" ht="15" thickBot="1" x14ac:dyDescent="0.35">
      <c r="A7" s="97" t="s">
        <v>151</v>
      </c>
      <c r="B7" s="60">
        <f>B3+B4-B5+B6</f>
        <v>2000</v>
      </c>
      <c r="C7" s="60">
        <f t="shared" ref="C7:AK7" si="1">C3+C4-C5+C6</f>
        <v>4050.21</v>
      </c>
      <c r="D7" s="60">
        <f t="shared" si="1"/>
        <v>6156.0779220499999</v>
      </c>
      <c r="E7" s="60">
        <f t="shared" si="1"/>
        <v>8323.2935829600647</v>
      </c>
      <c r="F7" s="60">
        <f t="shared" si="1"/>
        <v>10557.806173382674</v>
      </c>
      <c r="G7" s="60">
        <f t="shared" si="1"/>
        <v>12865.842682162487</v>
      </c>
      <c r="H7" s="60">
        <f t="shared" si="1"/>
        <v>15253.927326280427</v>
      </c>
      <c r="I7" s="60">
        <f t="shared" si="1"/>
        <v>17728.902050212593</v>
      </c>
      <c r="J7" s="60">
        <f t="shared" si="1"/>
        <v>20297.948162232111</v>
      </c>
      <c r="K7" s="60">
        <f t="shared" si="1"/>
        <v>22968.609179116407</v>
      </c>
      <c r="L7" s="60">
        <f t="shared" si="1"/>
        <v>25748.81495489685</v>
      </c>
      <c r="M7" s="60">
        <f t="shared" si="1"/>
        <v>28646.907173716576</v>
      </c>
      <c r="N7" s="60">
        <f t="shared" si="1"/>
        <v>31671.666291560843</v>
      </c>
      <c r="O7" s="60">
        <f t="shared" si="1"/>
        <v>34832.340016608199</v>
      </c>
      <c r="P7" s="60">
        <f t="shared" si="1"/>
        <v>38138.673423237517</v>
      </c>
      <c r="Q7" s="60">
        <f t="shared" si="1"/>
        <v>41600.940800333032</v>
      </c>
      <c r="R7" s="60">
        <f t="shared" si="1"/>
        <v>45229.979340476755</v>
      </c>
      <c r="S7" s="60">
        <f t="shared" si="1"/>
        <v>49037.224782924444</v>
      </c>
      <c r="T7" s="60">
        <f t="shared" si="1"/>
        <v>53034.749129949938</v>
      </c>
      <c r="U7" s="60">
        <f t="shared" si="1"/>
        <v>57235.30056323552</v>
      </c>
      <c r="V7" s="60">
        <f t="shared" si="1"/>
        <v>61652.345694507116</v>
      </c>
      <c r="W7" s="60">
        <f t="shared" si="1"/>
        <v>66300.114292588536</v>
      </c>
      <c r="X7" s="60">
        <f t="shared" si="1"/>
        <v>71193.646637505371</v>
      </c>
      <c r="Y7" s="60">
        <f t="shared" si="1"/>
        <v>76348.843661235733</v>
      </c>
      <c r="Z7" s="60">
        <f t="shared" si="1"/>
        <v>81782.520044211793</v>
      </c>
      <c r="AA7" s="60">
        <f t="shared" si="1"/>
        <v>87512.460446755998</v>
      </c>
      <c r="AB7" s="60">
        <f t="shared" si="1"/>
        <v>93557.479065322637</v>
      </c>
      <c r="AC7" s="60">
        <f t="shared" si="1"/>
        <v>99937.482714745754</v>
      </c>
      <c r="AD7" s="60">
        <f t="shared" si="1"/>
        <v>106673.53764970672</v>
      </c>
      <c r="AE7" s="60">
        <f t="shared" si="1"/>
        <v>113787.94035136975</v>
      </c>
      <c r="AF7" s="60">
        <f t="shared" si="1"/>
        <v>121304.29251863521</v>
      </c>
      <c r="AG7" s="60">
        <f t="shared" si="1"/>
        <v>129071.37923119745</v>
      </c>
      <c r="AH7" s="60">
        <f t="shared" si="1"/>
        <v>136567.43345292483</v>
      </c>
      <c r="AI7" s="60">
        <f t="shared" si="1"/>
        <v>143801.91286258501</v>
      </c>
      <c r="AJ7" s="60">
        <f t="shared" si="1"/>
        <v>150783.94511324514</v>
      </c>
      <c r="AK7" s="60">
        <f t="shared" si="1"/>
        <v>157522.33934851846</v>
      </c>
      <c r="AL7" s="76">
        <f>M7</f>
        <v>28646.907173716576</v>
      </c>
      <c r="AM7" s="60">
        <f>Y7</f>
        <v>76348.843661235733</v>
      </c>
      <c r="AN7" s="73">
        <f>AK7</f>
        <v>157522.33934851846</v>
      </c>
    </row>
    <row r="8" spans="1:40" x14ac:dyDescent="0.3">
      <c r="A8" s="98" t="s">
        <v>152</v>
      </c>
      <c r="B8" s="137">
        <f>B7*'32_Inputs_GrowthRetention'!$C$12</f>
        <v>1700</v>
      </c>
      <c r="C8" s="137">
        <f>C7*'32_Inputs_GrowthRetention'!$C$12</f>
        <v>3442.6785</v>
      </c>
      <c r="D8" s="137">
        <f>D7*'32_Inputs_GrowthRetention'!$C$12</f>
        <v>5232.6662337424996</v>
      </c>
      <c r="E8" s="137">
        <f>E7*'32_Inputs_GrowthRetention'!$C$12</f>
        <v>7074.7995455160544</v>
      </c>
      <c r="F8" s="137">
        <f>F7*'32_Inputs_GrowthRetention'!$C$12</f>
        <v>8974.1352473752722</v>
      </c>
      <c r="G8" s="137">
        <f>G7*'32_Inputs_GrowthRetention'!$C$12</f>
        <v>10935.966279838114</v>
      </c>
      <c r="H8" s="137">
        <f>H7*'32_Inputs_GrowthRetention'!$C$12</f>
        <v>12965.838227338363</v>
      </c>
      <c r="I8" s="137">
        <f>I7*'32_Inputs_GrowthRetention'!$C$12</f>
        <v>15069.566742680703</v>
      </c>
      <c r="J8" s="137">
        <f>J7*'32_Inputs_GrowthRetention'!$C$12</f>
        <v>17253.255937897295</v>
      </c>
      <c r="K8" s="137">
        <f>K7*'32_Inputs_GrowthRetention'!$C$12</f>
        <v>19523.317802248945</v>
      </c>
      <c r="L8" s="137">
        <f>L7*'32_Inputs_GrowthRetention'!$C$12</f>
        <v>21886.492711662322</v>
      </c>
      <c r="M8" s="137">
        <f>M7*'32_Inputs_GrowthRetention'!$C$12</f>
        <v>24349.871097659088</v>
      </c>
      <c r="N8" s="137">
        <f>N7*'32_Inputs_GrowthRetention'!$C$12</f>
        <v>26920.916347826715</v>
      </c>
      <c r="O8" s="137">
        <f>O7*'32_Inputs_GrowthRetention'!$C$12</f>
        <v>29607.489014116967</v>
      </c>
      <c r="P8" s="137">
        <f>P7*'32_Inputs_GrowthRetention'!$C$12</f>
        <v>32417.87240975189</v>
      </c>
      <c r="Q8" s="137">
        <f>Q7*'32_Inputs_GrowthRetention'!$C$12</f>
        <v>35360.799680283075</v>
      </c>
      <c r="R8" s="137">
        <f>R7*'32_Inputs_GrowthRetention'!$C$12</f>
        <v>38445.482439405241</v>
      </c>
      <c r="S8" s="137">
        <f>S7*'32_Inputs_GrowthRetention'!$C$12</f>
        <v>41681.641065485775</v>
      </c>
      <c r="T8" s="137">
        <f>T7*'32_Inputs_GrowthRetention'!$C$12</f>
        <v>45079.536760457449</v>
      </c>
      <c r="U8" s="137">
        <f>U7*'32_Inputs_GrowthRetention'!$C$12</f>
        <v>48650.005478750194</v>
      </c>
      <c r="V8" s="137">
        <f>V7*'32_Inputs_GrowthRetention'!$C$12</f>
        <v>52404.493840331044</v>
      </c>
      <c r="W8" s="137">
        <f>W7*'32_Inputs_GrowthRetention'!$C$12</f>
        <v>56355.097148700253</v>
      </c>
      <c r="X8" s="137">
        <f>X7*'32_Inputs_GrowthRetention'!$C$12</f>
        <v>60514.599641879562</v>
      </c>
      <c r="Y8" s="137">
        <f>Y7*'32_Inputs_GrowthRetention'!$C$12</f>
        <v>64896.517112050373</v>
      </c>
      <c r="Z8" s="137">
        <f>Z7*'32_Inputs_GrowthRetention'!$C$12</f>
        <v>69515.142037580023</v>
      </c>
      <c r="AA8" s="137">
        <f>AA7*'32_Inputs_GrowthRetention'!$C$12</f>
        <v>74385.591379742604</v>
      </c>
      <c r="AB8" s="137">
        <f>AB7*'32_Inputs_GrowthRetention'!$C$12</f>
        <v>79523.85720552424</v>
      </c>
      <c r="AC8" s="137">
        <f>AC7*'32_Inputs_GrowthRetention'!$C$12</f>
        <v>84946.860307533891</v>
      </c>
      <c r="AD8" s="137">
        <f>AD7*'32_Inputs_GrowthRetention'!$C$12</f>
        <v>90672.507002250713</v>
      </c>
      <c r="AE8" s="137">
        <f>AE7*'32_Inputs_GrowthRetention'!$C$12</f>
        <v>96719.749298664276</v>
      </c>
      <c r="AF8" s="137">
        <f>AF7*'32_Inputs_GrowthRetention'!$C$12</f>
        <v>103108.64864083992</v>
      </c>
      <c r="AG8" s="137">
        <f>AG7*'32_Inputs_GrowthRetention'!$C$12</f>
        <v>109710.67234651784</v>
      </c>
      <c r="AH8" s="137">
        <f>AH7*'32_Inputs_GrowthRetention'!$C$12</f>
        <v>116082.3184349861</v>
      </c>
      <c r="AI8" s="137">
        <f>AI7*'32_Inputs_GrowthRetention'!$C$12</f>
        <v>122231.62593319725</v>
      </c>
      <c r="AJ8" s="137">
        <f>AJ7*'32_Inputs_GrowthRetention'!$C$12</f>
        <v>128166.35334625836</v>
      </c>
      <c r="AK8" s="137">
        <f>AK7*'32_Inputs_GrowthRetention'!$C$12</f>
        <v>133893.98844624069</v>
      </c>
      <c r="AL8" s="138">
        <f>AL7*'32_Inputs_GrowthRetention'!$C$12</f>
        <v>24349.871097659088</v>
      </c>
      <c r="AM8" s="137">
        <f>AM7*'32_Inputs_GrowthRetention'!$C$12</f>
        <v>64896.517112050373</v>
      </c>
      <c r="AN8" s="139">
        <f>AN7*'32_Inputs_GrowthRetention'!$C$12</f>
        <v>133893.98844624069</v>
      </c>
    </row>
    <row r="9" spans="1:40" ht="15" thickBot="1" x14ac:dyDescent="0.35">
      <c r="A9" s="100" t="s">
        <v>153</v>
      </c>
      <c r="B9" s="133">
        <f>B7-B3</f>
        <v>2000</v>
      </c>
      <c r="C9" s="133">
        <f t="shared" ref="C9:AK9" si="2">C7-C3</f>
        <v>2050.21</v>
      </c>
      <c r="D9" s="133">
        <f t="shared" si="2"/>
        <v>2105.8679220499998</v>
      </c>
      <c r="E9" s="133">
        <f t="shared" si="2"/>
        <v>2167.2156609100648</v>
      </c>
      <c r="F9" s="133">
        <f t="shared" si="2"/>
        <v>2234.5125904226097</v>
      </c>
      <c r="G9" s="133">
        <f t="shared" si="2"/>
        <v>2308.0365087798127</v>
      </c>
      <c r="H9" s="133">
        <f t="shared" si="2"/>
        <v>2388.0846441179401</v>
      </c>
      <c r="I9" s="133">
        <f t="shared" si="2"/>
        <v>2474.9747239321659</v>
      </c>
      <c r="J9" s="133">
        <f t="shared" si="2"/>
        <v>2569.0461120195178</v>
      </c>
      <c r="K9" s="133">
        <f t="shared" si="2"/>
        <v>2670.6610168842963</v>
      </c>
      <c r="L9" s="133">
        <f t="shared" si="2"/>
        <v>2780.2057757804432</v>
      </c>
      <c r="M9" s="133">
        <f t="shared" si="2"/>
        <v>2898.0922188197255</v>
      </c>
      <c r="N9" s="133">
        <f t="shared" si="2"/>
        <v>3024.7591178442672</v>
      </c>
      <c r="O9" s="133">
        <f t="shared" si="2"/>
        <v>3160.6737250473561</v>
      </c>
      <c r="P9" s="133">
        <f t="shared" si="2"/>
        <v>3306.3334066293173</v>
      </c>
      <c r="Q9" s="133">
        <f t="shared" si="2"/>
        <v>3462.2673770955153</v>
      </c>
      <c r="R9" s="133">
        <f t="shared" si="2"/>
        <v>3629.0385401437234</v>
      </c>
      <c r="S9" s="133">
        <f t="shared" si="2"/>
        <v>3807.2454424476891</v>
      </c>
      <c r="T9" s="133">
        <f t="shared" si="2"/>
        <v>3997.5243470254936</v>
      </c>
      <c r="U9" s="133">
        <f t="shared" si="2"/>
        <v>4200.5514332855819</v>
      </c>
      <c r="V9" s="133">
        <f t="shared" si="2"/>
        <v>4417.0451312715959</v>
      </c>
      <c r="W9" s="133">
        <f t="shared" si="2"/>
        <v>4647.7685980814204</v>
      </c>
      <c r="X9" s="133">
        <f t="shared" si="2"/>
        <v>4893.5323449168354</v>
      </c>
      <c r="Y9" s="133">
        <f t="shared" si="2"/>
        <v>5155.1970237303613</v>
      </c>
      <c r="Z9" s="133">
        <f t="shared" si="2"/>
        <v>5433.6763829760603</v>
      </c>
      <c r="AA9" s="133">
        <f t="shared" si="2"/>
        <v>5729.9404025442054</v>
      </c>
      <c r="AB9" s="133">
        <f t="shared" si="2"/>
        <v>6045.0186185666389</v>
      </c>
      <c r="AC9" s="133">
        <f t="shared" si="2"/>
        <v>6380.0036494231172</v>
      </c>
      <c r="AD9" s="133">
        <f t="shared" si="2"/>
        <v>6736.0549349609646</v>
      </c>
      <c r="AE9" s="133">
        <f t="shared" si="2"/>
        <v>7114.402701663028</v>
      </c>
      <c r="AF9" s="133">
        <f t="shared" si="2"/>
        <v>7516.3521672654606</v>
      </c>
      <c r="AG9" s="133">
        <f t="shared" si="2"/>
        <v>7767.0867125622462</v>
      </c>
      <c r="AH9" s="133">
        <f t="shared" si="2"/>
        <v>7496.054221727376</v>
      </c>
      <c r="AI9" s="133">
        <f t="shared" si="2"/>
        <v>7234.4794096601836</v>
      </c>
      <c r="AJ9" s="133">
        <f t="shared" si="2"/>
        <v>6982.0322506601224</v>
      </c>
      <c r="AK9" s="133">
        <f t="shared" si="2"/>
        <v>6738.3942352733284</v>
      </c>
      <c r="AL9" s="134">
        <f>SUMIF('23_Time'!$B$3:$AK$3, 1,B9:AK9)</f>
        <v>28646.907173716576</v>
      </c>
      <c r="AM9" s="133">
        <f>SUMIF('23_Time'!$B$3:$AK$3, 2,B9:AK9)</f>
        <v>47701.93648751916</v>
      </c>
      <c r="AN9" s="135">
        <f>SUMIF('23_Time'!$B$3:$AK$3, 3,B9:AK9)</f>
        <v>81173.495687282732</v>
      </c>
    </row>
    <row r="15" spans="1:40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spans="1:40" x14ac:dyDescent="0.3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spans="1:10" x14ac:dyDescent="0.3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spans="1:10" x14ac:dyDescent="0.3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spans="1:10" x14ac:dyDescent="0.3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spans="1:10" x14ac:dyDescent="0.3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spans="1:10" x14ac:dyDescent="0.3">
      <c r="A21" s="47"/>
      <c r="B21" s="47"/>
      <c r="C21" s="47"/>
      <c r="D21" s="47"/>
      <c r="E21" s="47"/>
      <c r="F21" s="47"/>
      <c r="G21" s="47"/>
      <c r="H21" s="47"/>
      <c r="I21" s="47"/>
      <c r="J21" s="4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CDBA-67DF-4ADD-A476-0825CA87F098}">
  <dimension ref="A1:AN18"/>
  <sheetViews>
    <sheetView workbookViewId="0">
      <pane xSplit="1" topLeftCell="AK1" activePane="topRight" state="frozen"/>
      <selection pane="topRight" activeCell="AN18" sqref="AN18"/>
    </sheetView>
  </sheetViews>
  <sheetFormatPr defaultRowHeight="14.4" x14ac:dyDescent="0.3"/>
  <cols>
    <col min="1" max="1" width="22.33203125" bestFit="1" customWidth="1"/>
    <col min="2" max="7" width="13.109375" bestFit="1" customWidth="1"/>
    <col min="8" max="33" width="14.109375" bestFit="1" customWidth="1"/>
    <col min="34" max="37" width="15.109375" bestFit="1" customWidth="1"/>
    <col min="38" max="39" width="12.44140625" bestFit="1" customWidth="1"/>
    <col min="40" max="40" width="14.109375" bestFit="1" customWidth="1"/>
  </cols>
  <sheetData>
    <row r="1" spans="1:40" ht="15" thickBot="1" x14ac:dyDescent="0.35">
      <c r="A1" s="95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97" t="str">
        <v>Month Label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  <c r="AL2" s="86" t="s">
        <v>74</v>
      </c>
      <c r="AM2" s="142" t="s">
        <v>75</v>
      </c>
      <c r="AN2" s="143" t="s">
        <v>76</v>
      </c>
    </row>
    <row r="3" spans="1:40" x14ac:dyDescent="0.3">
      <c r="A3" s="95" t="s">
        <v>154</v>
      </c>
      <c r="B3" s="57">
        <f>'40_Customers_Orders'!B8*'31_Inputs_UnitEconomics'!$C$3</f>
        <v>1530000</v>
      </c>
      <c r="C3" s="57">
        <f>'40_Customers_Orders'!C8*'31_Inputs_UnitEconomics'!$C$3</f>
        <v>3098410.65</v>
      </c>
      <c r="D3" s="57">
        <f>'40_Customers_Orders'!D8*'31_Inputs_UnitEconomics'!$C$3</f>
        <v>4709399.6103682499</v>
      </c>
      <c r="E3" s="57">
        <f>'40_Customers_Orders'!E8*'31_Inputs_UnitEconomics'!$C$3</f>
        <v>6367319.5909644486</v>
      </c>
      <c r="F3" s="57">
        <f>'40_Customers_Orders'!F8*'31_Inputs_UnitEconomics'!$C$3</f>
        <v>8076721.7226377446</v>
      </c>
      <c r="G3" s="57">
        <f>'40_Customers_Orders'!G8*'31_Inputs_UnitEconomics'!$C$3</f>
        <v>9842369.6518543027</v>
      </c>
      <c r="H3" s="57">
        <f>'40_Customers_Orders'!H8*'31_Inputs_UnitEconomics'!$C$3</f>
        <v>11669254.404604526</v>
      </c>
      <c r="I3" s="57">
        <f>'40_Customers_Orders'!I8*'31_Inputs_UnitEconomics'!$C$3</f>
        <v>13562610.068412634</v>
      </c>
      <c r="J3" s="57">
        <f>'40_Customers_Orders'!J8*'31_Inputs_UnitEconomics'!$C$3</f>
        <v>15527930.344107565</v>
      </c>
      <c r="K3" s="57">
        <f>'40_Customers_Orders'!K8*'31_Inputs_UnitEconomics'!$C$3</f>
        <v>17570986.02202405</v>
      </c>
      <c r="L3" s="57">
        <f>'40_Customers_Orders'!L8*'31_Inputs_UnitEconomics'!$C$3</f>
        <v>19697843.440496091</v>
      </c>
      <c r="M3" s="57">
        <f>'40_Customers_Orders'!M8*'31_Inputs_UnitEconomics'!$C$3</f>
        <v>21914883.987893179</v>
      </c>
      <c r="N3" s="57">
        <f>'40_Customers_Orders'!N8*'31_Inputs_UnitEconomics'!$C$3</f>
        <v>24228824.713044044</v>
      </c>
      <c r="O3" s="57">
        <f>'40_Customers_Orders'!O8*'31_Inputs_UnitEconomics'!$C$3</f>
        <v>26646740.112705272</v>
      </c>
      <c r="P3" s="57">
        <f>'40_Customers_Orders'!P8*'31_Inputs_UnitEconomics'!$C$3</f>
        <v>29176085.168776702</v>
      </c>
      <c r="Q3" s="57">
        <f>'40_Customers_Orders'!Q8*'31_Inputs_UnitEconomics'!$C$3</f>
        <v>31824719.712254766</v>
      </c>
      <c r="R3" s="57">
        <f>'40_Customers_Orders'!R8*'31_Inputs_UnitEconomics'!$C$3</f>
        <v>34600934.195464715</v>
      </c>
      <c r="S3" s="57">
        <f>'40_Customers_Orders'!S8*'31_Inputs_UnitEconomics'!$C$3</f>
        <v>37513476.958937198</v>
      </c>
      <c r="T3" s="57">
        <f>'40_Customers_Orders'!T8*'31_Inputs_UnitEconomics'!$C$3</f>
        <v>40571583.084411703</v>
      </c>
      <c r="U3" s="57">
        <f>'40_Customers_Orders'!U8*'31_Inputs_UnitEconomics'!$C$3</f>
        <v>43785004.930875175</v>
      </c>
      <c r="V3" s="57">
        <f>'40_Customers_Orders'!V8*'31_Inputs_UnitEconomics'!$C$3</f>
        <v>47164044.456297942</v>
      </c>
      <c r="W3" s="57">
        <f>'40_Customers_Orders'!W8*'31_Inputs_UnitEconomics'!$C$3</f>
        <v>50719587.433830231</v>
      </c>
      <c r="X3" s="57">
        <f>'40_Customers_Orders'!X8*'31_Inputs_UnitEconomics'!$C$3</f>
        <v>54463139.677691609</v>
      </c>
      <c r="Y3" s="57">
        <f>'40_Customers_Orders'!Y8*'31_Inputs_UnitEconomics'!$C$3</f>
        <v>58406865.400845334</v>
      </c>
      <c r="Z3" s="57">
        <f>'40_Customers_Orders'!Z8*'31_Inputs_UnitEconomics'!$C$3</f>
        <v>62563627.833822019</v>
      </c>
      <c r="AA3" s="57">
        <f>'40_Customers_Orders'!AA8*'31_Inputs_UnitEconomics'!$C$3</f>
        <v>66947032.241768345</v>
      </c>
      <c r="AB3" s="57">
        <f>'40_Customers_Orders'!AB8*'31_Inputs_UnitEconomics'!$C$3</f>
        <v>71571471.484971821</v>
      </c>
      <c r="AC3" s="57">
        <f>'40_Customers_Orders'!AC8*'31_Inputs_UnitEconomics'!$C$3</f>
        <v>76452174.276780501</v>
      </c>
      <c r="AD3" s="57">
        <f>'40_Customers_Orders'!AD8*'31_Inputs_UnitEconomics'!$C$3</f>
        <v>81605256.302025646</v>
      </c>
      <c r="AE3" s="57">
        <f>'40_Customers_Orders'!AE8*'31_Inputs_UnitEconomics'!$C$3</f>
        <v>87047774.368797854</v>
      </c>
      <c r="AF3" s="57">
        <f>'40_Customers_Orders'!AF8*'31_Inputs_UnitEconomics'!$C$3</f>
        <v>92797783.776755929</v>
      </c>
      <c r="AG3" s="57">
        <f>'40_Customers_Orders'!AG8*'31_Inputs_UnitEconomics'!$C$3</f>
        <v>98739605.111866057</v>
      </c>
      <c r="AH3" s="57">
        <f>'40_Customers_Orders'!AH8*'31_Inputs_UnitEconomics'!$C$3</f>
        <v>104474086.59148748</v>
      </c>
      <c r="AI3" s="57">
        <f>'40_Customers_Orders'!AI8*'31_Inputs_UnitEconomics'!$C$3</f>
        <v>110008463.33987753</v>
      </c>
      <c r="AJ3" s="57">
        <f>'40_Customers_Orders'!AJ8*'31_Inputs_UnitEconomics'!$C$3</f>
        <v>115349718.01163252</v>
      </c>
      <c r="AK3" s="57">
        <f>'40_Customers_Orders'!AK8*'31_Inputs_UnitEconomics'!$C$3</f>
        <v>120504589.60161662</v>
      </c>
      <c r="AL3" s="75">
        <f>SUMIF('23_Time'!$B$3:$AK$3, 1,$B$3:$AK$3)</f>
        <v>133567729.49336278</v>
      </c>
      <c r="AM3" s="57">
        <f>SUMIF('23_Time'!$B$3:$AK$3, 2,$B$3:$AK$3)</f>
        <v>479101005.84513468</v>
      </c>
      <c r="AN3" s="72">
        <f>SUMIF('23_Time'!$B$3:$AK$3, 3,$B$3:$AK$3)</f>
        <v>1088061582.9414024</v>
      </c>
    </row>
    <row r="4" spans="1:40" x14ac:dyDescent="0.3">
      <c r="A4" s="97" t="s">
        <v>155</v>
      </c>
      <c r="B4" s="87">
        <f>B3*'31_Inputs_UnitEconomics'!$D$4</f>
        <v>18360</v>
      </c>
      <c r="C4" s="87">
        <f>C3*'31_Inputs_UnitEconomics'!$D$4</f>
        <v>37180.927799999998</v>
      </c>
      <c r="D4" s="87">
        <f>D3*'31_Inputs_UnitEconomics'!$D$4</f>
        <v>56512.795324418999</v>
      </c>
      <c r="E4" s="87">
        <f>E3*'31_Inputs_UnitEconomics'!$D$4</f>
        <v>76407.83509157339</v>
      </c>
      <c r="F4" s="87">
        <f>F3*'31_Inputs_UnitEconomics'!$D$4</f>
        <v>96920.660671652935</v>
      </c>
      <c r="G4" s="87">
        <f>G3*'31_Inputs_UnitEconomics'!$D$4</f>
        <v>118108.43582225163</v>
      </c>
      <c r="H4" s="87">
        <f>H3*'31_Inputs_UnitEconomics'!$D$4</f>
        <v>140031.05285525433</v>
      </c>
      <c r="I4" s="87">
        <f>I3*'31_Inputs_UnitEconomics'!$D$4</f>
        <v>162751.3208209516</v>
      </c>
      <c r="J4" s="87">
        <f>J3*'31_Inputs_UnitEconomics'!$D$4</f>
        <v>186335.16412929079</v>
      </c>
      <c r="K4" s="87">
        <f>K3*'31_Inputs_UnitEconomics'!$D$4</f>
        <v>210851.83226428862</v>
      </c>
      <c r="L4" s="87">
        <f>L3*'31_Inputs_UnitEconomics'!$D$4</f>
        <v>236374.12128595309</v>
      </c>
      <c r="M4" s="87">
        <f>M3*'31_Inputs_UnitEconomics'!$D$4</f>
        <v>262978.60785471817</v>
      </c>
      <c r="N4" s="87">
        <f>N3*'31_Inputs_UnitEconomics'!$D$4</f>
        <v>290745.89655652852</v>
      </c>
      <c r="O4" s="87">
        <f>O3*'31_Inputs_UnitEconomics'!$D$4</f>
        <v>319760.88135246327</v>
      </c>
      <c r="P4" s="87">
        <f>P3*'31_Inputs_UnitEconomics'!$D$4</f>
        <v>350113.02202532045</v>
      </c>
      <c r="Q4" s="87">
        <f>Q3*'31_Inputs_UnitEconomics'!$D$4</f>
        <v>381896.63654705719</v>
      </c>
      <c r="R4" s="87">
        <f>R3*'31_Inputs_UnitEconomics'!$D$4</f>
        <v>415211.21034557658</v>
      </c>
      <c r="S4" s="87">
        <f>S3*'31_Inputs_UnitEconomics'!$D$4</f>
        <v>450161.72350724641</v>
      </c>
      <c r="T4" s="87">
        <f>T3*'31_Inputs_UnitEconomics'!$D$4</f>
        <v>486858.99701294047</v>
      </c>
      <c r="U4" s="87">
        <f>U3*'31_Inputs_UnitEconomics'!$D$4</f>
        <v>525420.05917050212</v>
      </c>
      <c r="V4" s="87">
        <f>V3*'31_Inputs_UnitEconomics'!$D$4</f>
        <v>565968.53347557527</v>
      </c>
      <c r="W4" s="87">
        <f>W3*'31_Inputs_UnitEconomics'!$D$4</f>
        <v>608635.0492059628</v>
      </c>
      <c r="X4" s="87">
        <f>X3*'31_Inputs_UnitEconomics'!$D$4</f>
        <v>653557.67613229936</v>
      </c>
      <c r="Y4" s="87">
        <f>Y3*'31_Inputs_UnitEconomics'!$D$4</f>
        <v>700882.38481014397</v>
      </c>
      <c r="Z4" s="87">
        <f>Z3*'31_Inputs_UnitEconomics'!$D$4</f>
        <v>750763.53400586429</v>
      </c>
      <c r="AA4" s="87">
        <f>AA3*'31_Inputs_UnitEconomics'!$D$4</f>
        <v>803364.38690122019</v>
      </c>
      <c r="AB4" s="87">
        <f>AB3*'31_Inputs_UnitEconomics'!$D$4</f>
        <v>858857.65781966189</v>
      </c>
      <c r="AC4" s="87">
        <f>AC3*'31_Inputs_UnitEconomics'!$D$4</f>
        <v>917426.09132136602</v>
      </c>
      <c r="AD4" s="87">
        <f>AD3*'31_Inputs_UnitEconomics'!$D$4</f>
        <v>979263.07562430773</v>
      </c>
      <c r="AE4" s="87">
        <f>AE3*'31_Inputs_UnitEconomics'!$D$4</f>
        <v>1044573.2924255743</v>
      </c>
      <c r="AF4" s="87">
        <f>AF3*'31_Inputs_UnitEconomics'!$D$4</f>
        <v>1113573.4053210712</v>
      </c>
      <c r="AG4" s="87">
        <f>AG3*'31_Inputs_UnitEconomics'!$D$4</f>
        <v>1184875.2613423928</v>
      </c>
      <c r="AH4" s="87">
        <f>AH3*'31_Inputs_UnitEconomics'!$D$4</f>
        <v>1253689.0390978497</v>
      </c>
      <c r="AI4" s="87">
        <f>AI3*'31_Inputs_UnitEconomics'!$D$4</f>
        <v>1320101.5600785303</v>
      </c>
      <c r="AJ4" s="87">
        <f>AJ3*'31_Inputs_UnitEconomics'!$D$4</f>
        <v>1384196.6161395903</v>
      </c>
      <c r="AK4" s="87">
        <f>AK3*'31_Inputs_UnitEconomics'!$D$4</f>
        <v>1446055.0752193995</v>
      </c>
      <c r="AL4" s="76">
        <f>SUMIF('23_Time'!$B$3:$AK$3, 1,$B$4:$AK$4)</f>
        <v>1602812.7539203533</v>
      </c>
      <c r="AM4" s="60">
        <f>SUMIF('23_Time'!$B$3:$AK$3, 2,$B$4:$AK$4)</f>
        <v>5749212.0701416153</v>
      </c>
      <c r="AN4" s="73">
        <f>SUMIF('23_Time'!$B$3:$AK$3, 3,$B$4:$AK$4)</f>
        <v>13056738.995296828</v>
      </c>
    </row>
    <row r="5" spans="1:40" x14ac:dyDescent="0.3">
      <c r="A5" s="97" t="s">
        <v>89</v>
      </c>
      <c r="B5" s="107">
        <f>B3*'31_Inputs_UnitEconomics'!$C$5</f>
        <v>5355</v>
      </c>
      <c r="C5" s="107">
        <f>C3*'31_Inputs_UnitEconomics'!$C$5</f>
        <v>10844.437275</v>
      </c>
      <c r="D5" s="107">
        <f>D3*'31_Inputs_UnitEconomics'!$C$5</f>
        <v>16482.898636288875</v>
      </c>
      <c r="E5" s="107">
        <f>E3*'31_Inputs_UnitEconomics'!$C$5</f>
        <v>22285.618568375572</v>
      </c>
      <c r="F5" s="107">
        <f>F3*'31_Inputs_UnitEconomics'!$C$5</f>
        <v>28268.526029232107</v>
      </c>
      <c r="G5" s="107">
        <f>G3*'31_Inputs_UnitEconomics'!$C$5</f>
        <v>34448.293781490058</v>
      </c>
      <c r="H5" s="107">
        <f>H3*'31_Inputs_UnitEconomics'!$C$5</f>
        <v>40842.390416115843</v>
      </c>
      <c r="I5" s="107">
        <f>I3*'31_Inputs_UnitEconomics'!$C$5</f>
        <v>47469.135239444222</v>
      </c>
      <c r="J5" s="107">
        <f>J3*'31_Inputs_UnitEconomics'!$C$5</f>
        <v>54347.756204376477</v>
      </c>
      <c r="K5" s="107">
        <f>K3*'31_Inputs_UnitEconomics'!$C$5</f>
        <v>61498.451077084181</v>
      </c>
      <c r="L5" s="107">
        <f>L3*'31_Inputs_UnitEconomics'!$C$5</f>
        <v>68942.452041736324</v>
      </c>
      <c r="M5" s="107">
        <f>M3*'31_Inputs_UnitEconomics'!$C$5</f>
        <v>76702.09395762613</v>
      </c>
      <c r="N5" s="107">
        <f>N3*'31_Inputs_UnitEconomics'!$C$5</f>
        <v>84800.886495654151</v>
      </c>
      <c r="O5" s="107">
        <f>O3*'31_Inputs_UnitEconomics'!$C$5</f>
        <v>93263.590394468454</v>
      </c>
      <c r="P5" s="107">
        <f>P3*'31_Inputs_UnitEconomics'!$C$5</f>
        <v>102116.29809071845</v>
      </c>
      <c r="Q5" s="107">
        <f>Q3*'31_Inputs_UnitEconomics'!$C$5</f>
        <v>111386.51899289168</v>
      </c>
      <c r="R5" s="107">
        <f>R3*'31_Inputs_UnitEconomics'!$C$5</f>
        <v>121103.26968412651</v>
      </c>
      <c r="S5" s="107">
        <f>S3*'31_Inputs_UnitEconomics'!$C$5</f>
        <v>131297.16935628018</v>
      </c>
      <c r="T5" s="107">
        <f>T3*'31_Inputs_UnitEconomics'!$C$5</f>
        <v>142000.54079544096</v>
      </c>
      <c r="U5" s="107">
        <f>U3*'31_Inputs_UnitEconomics'!$C$5</f>
        <v>153247.5172580631</v>
      </c>
      <c r="V5" s="107">
        <f>V3*'31_Inputs_UnitEconomics'!$C$5</f>
        <v>165074.15559704279</v>
      </c>
      <c r="W5" s="107">
        <f>W3*'31_Inputs_UnitEconomics'!$C$5</f>
        <v>177518.55601840583</v>
      </c>
      <c r="X5" s="107">
        <f>X3*'31_Inputs_UnitEconomics'!$C$5</f>
        <v>190620.98887192062</v>
      </c>
      <c r="Y5" s="107">
        <f>Y3*'31_Inputs_UnitEconomics'!$C$5</f>
        <v>204424.02890295867</v>
      </c>
      <c r="Z5" s="107">
        <f>Z3*'31_Inputs_UnitEconomics'!$C$5</f>
        <v>218972.69741837707</v>
      </c>
      <c r="AA5" s="107">
        <f>AA3*'31_Inputs_UnitEconomics'!$C$5</f>
        <v>234314.61284618921</v>
      </c>
      <c r="AB5" s="107">
        <f>AB3*'31_Inputs_UnitEconomics'!$C$5</f>
        <v>250500.15019740138</v>
      </c>
      <c r="AC5" s="107">
        <f>AC3*'31_Inputs_UnitEconomics'!$C$5</f>
        <v>267582.60996873176</v>
      </c>
      <c r="AD5" s="107">
        <f>AD3*'31_Inputs_UnitEconomics'!$C$5</f>
        <v>285618.39705708978</v>
      </c>
      <c r="AE5" s="107">
        <f>AE3*'31_Inputs_UnitEconomics'!$C$5</f>
        <v>304667.21029079251</v>
      </c>
      <c r="AF5" s="107">
        <f>AF3*'31_Inputs_UnitEconomics'!$C$5</f>
        <v>324792.24321864574</v>
      </c>
      <c r="AG5" s="107">
        <f>AG3*'31_Inputs_UnitEconomics'!$C$5</f>
        <v>345588.6178915312</v>
      </c>
      <c r="AH5" s="107">
        <f>AH3*'31_Inputs_UnitEconomics'!$C$5</f>
        <v>365659.3030702062</v>
      </c>
      <c r="AI5" s="107">
        <f>AI3*'31_Inputs_UnitEconomics'!$C$5</f>
        <v>385029.62168957136</v>
      </c>
      <c r="AJ5" s="107">
        <f>AJ3*'31_Inputs_UnitEconomics'!$C$5</f>
        <v>403724.01304071379</v>
      </c>
      <c r="AK5" s="107">
        <f>AK3*'31_Inputs_UnitEconomics'!$C$5</f>
        <v>421766.06360565819</v>
      </c>
      <c r="AL5" s="76">
        <f>SUMIF('23_Time'!$B$3:$AK$3, 1,$B$5:$AK$5)</f>
        <v>467487.05322676979</v>
      </c>
      <c r="AM5" s="60">
        <f>SUMIF('23_Time'!$B$3:$AK$3, 2,$B$5:$AK$5)</f>
        <v>1676853.5204579714</v>
      </c>
      <c r="AN5" s="73">
        <f>SUMIF('23_Time'!$B$3:$AK$3, 3,$B$5:$AK$5)</f>
        <v>3808215.5402949085</v>
      </c>
    </row>
    <row r="6" spans="1:40" x14ac:dyDescent="0.3">
      <c r="A6" s="97" t="s">
        <v>90</v>
      </c>
      <c r="B6" s="107">
        <f>B3*'31_Inputs_UnitEconomics'!$C$6</f>
        <v>2295</v>
      </c>
      <c r="C6" s="107">
        <f>C3*'31_Inputs_UnitEconomics'!$C$6</f>
        <v>4647.6159749999997</v>
      </c>
      <c r="D6" s="107">
        <f>D3*'31_Inputs_UnitEconomics'!$C$6</f>
        <v>7064.0994155523749</v>
      </c>
      <c r="E6" s="107">
        <f>E3*'31_Inputs_UnitEconomics'!$C$6</f>
        <v>9550.9793864466737</v>
      </c>
      <c r="F6" s="107">
        <f>F3*'31_Inputs_UnitEconomics'!$C$6</f>
        <v>12115.082583956617</v>
      </c>
      <c r="G6" s="107">
        <f>G3*'31_Inputs_UnitEconomics'!$C$6</f>
        <v>14763.554477781454</v>
      </c>
      <c r="H6" s="107">
        <f>H3*'31_Inputs_UnitEconomics'!$C$6</f>
        <v>17503.881606906791</v>
      </c>
      <c r="I6" s="107">
        <f>I3*'31_Inputs_UnitEconomics'!$C$6</f>
        <v>20343.91510261895</v>
      </c>
      <c r="J6" s="107">
        <f>J3*'31_Inputs_UnitEconomics'!$C$6</f>
        <v>23291.895516161348</v>
      </c>
      <c r="K6" s="107">
        <f>K3*'31_Inputs_UnitEconomics'!$C$6</f>
        <v>26356.479033036077</v>
      </c>
      <c r="L6" s="107">
        <f>L3*'31_Inputs_UnitEconomics'!$C$6</f>
        <v>29546.765160744137</v>
      </c>
      <c r="M6" s="107">
        <f>M3*'31_Inputs_UnitEconomics'!$C$6</f>
        <v>32872.325981839771</v>
      </c>
      <c r="N6" s="107">
        <f>N3*'31_Inputs_UnitEconomics'!$C$6</f>
        <v>36343.237069566065</v>
      </c>
      <c r="O6" s="107">
        <f>O3*'31_Inputs_UnitEconomics'!$C$6</f>
        <v>39970.110169057909</v>
      </c>
      <c r="P6" s="107">
        <f>P3*'31_Inputs_UnitEconomics'!$C$6</f>
        <v>43764.127753165056</v>
      </c>
      <c r="Q6" s="107">
        <f>Q3*'31_Inputs_UnitEconomics'!$C$6</f>
        <v>47737.079568382149</v>
      </c>
      <c r="R6" s="107">
        <f>R3*'31_Inputs_UnitEconomics'!$C$6</f>
        <v>51901.401293197072</v>
      </c>
      <c r="S6" s="107">
        <f>S3*'31_Inputs_UnitEconomics'!$C$6</f>
        <v>56270.215438405801</v>
      </c>
      <c r="T6" s="107">
        <f>T3*'31_Inputs_UnitEconomics'!$C$6</f>
        <v>60857.374626617559</v>
      </c>
      <c r="U6" s="107">
        <f>U3*'31_Inputs_UnitEconomics'!$C$6</f>
        <v>65677.507396312765</v>
      </c>
      <c r="V6" s="107">
        <f>V3*'31_Inputs_UnitEconomics'!$C$6</f>
        <v>70746.066684446909</v>
      </c>
      <c r="W6" s="107">
        <f>W3*'31_Inputs_UnitEconomics'!$C$6</f>
        <v>76079.38115074535</v>
      </c>
      <c r="X6" s="107">
        <f>X3*'31_Inputs_UnitEconomics'!$C$6</f>
        <v>81694.709516537419</v>
      </c>
      <c r="Y6" s="107">
        <f>Y3*'31_Inputs_UnitEconomics'!$C$6</f>
        <v>87610.298101267996</v>
      </c>
      <c r="Z6" s="107">
        <f>Z3*'31_Inputs_UnitEconomics'!$C$6</f>
        <v>93845.441750733036</v>
      </c>
      <c r="AA6" s="107">
        <f>AA3*'31_Inputs_UnitEconomics'!$C$6</f>
        <v>100420.54836265252</v>
      </c>
      <c r="AB6" s="107">
        <f>AB3*'31_Inputs_UnitEconomics'!$C$6</f>
        <v>107357.20722745774</v>
      </c>
      <c r="AC6" s="107">
        <f>AC3*'31_Inputs_UnitEconomics'!$C$6</f>
        <v>114678.26141517075</v>
      </c>
      <c r="AD6" s="107">
        <f>AD3*'31_Inputs_UnitEconomics'!$C$6</f>
        <v>122407.88445303847</v>
      </c>
      <c r="AE6" s="107">
        <f>AE3*'31_Inputs_UnitEconomics'!$C$6</f>
        <v>130571.66155319678</v>
      </c>
      <c r="AF6" s="107">
        <f>AF3*'31_Inputs_UnitEconomics'!$C$6</f>
        <v>139196.67566513389</v>
      </c>
      <c r="AG6" s="107">
        <f>AG3*'31_Inputs_UnitEconomics'!$C$6</f>
        <v>148109.4076677991</v>
      </c>
      <c r="AH6" s="107">
        <f>AH3*'31_Inputs_UnitEconomics'!$C$6</f>
        <v>156711.12988723122</v>
      </c>
      <c r="AI6" s="107">
        <f>AI3*'31_Inputs_UnitEconomics'!$C$6</f>
        <v>165012.69500981629</v>
      </c>
      <c r="AJ6" s="107">
        <f>AJ3*'31_Inputs_UnitEconomics'!$C$6</f>
        <v>173024.57701744878</v>
      </c>
      <c r="AK6" s="107">
        <f>AK3*'31_Inputs_UnitEconomics'!$C$6</f>
        <v>180756.88440242494</v>
      </c>
      <c r="AL6" s="76">
        <f>SUMIF('23_Time'!$B$3:$AK$3, 1,$B$6:$AK$6)</f>
        <v>200351.59424004416</v>
      </c>
      <c r="AM6" s="60">
        <f>SUMIF('23_Time'!$B$3:$AK$3, 2,$B$6:$AK$6)</f>
        <v>718651.50876770192</v>
      </c>
      <c r="AN6" s="73">
        <f>SUMIF('23_Time'!$B$3:$AK$3, 3,$B$6:$AK$6)</f>
        <v>1632092.3744121036</v>
      </c>
    </row>
    <row r="7" spans="1:40" ht="15" thickBot="1" x14ac:dyDescent="0.35">
      <c r="A7" s="100" t="s">
        <v>156</v>
      </c>
      <c r="B7" s="136">
        <f>B4-B5-B6</f>
        <v>10710</v>
      </c>
      <c r="C7" s="136">
        <f t="shared" ref="C7:AK7" si="0">C4-C5-C6</f>
        <v>21688.874549999997</v>
      </c>
      <c r="D7" s="136">
        <f t="shared" si="0"/>
        <v>32965.797272577751</v>
      </c>
      <c r="E7" s="136">
        <f t="shared" si="0"/>
        <v>44571.237136751137</v>
      </c>
      <c r="F7" s="136">
        <f t="shared" si="0"/>
        <v>56537.052058464214</v>
      </c>
      <c r="G7" s="136">
        <f t="shared" si="0"/>
        <v>68896.587562980116</v>
      </c>
      <c r="H7" s="136">
        <f t="shared" si="0"/>
        <v>81684.780832231685</v>
      </c>
      <c r="I7" s="136">
        <f t="shared" si="0"/>
        <v>94938.270478888429</v>
      </c>
      <c r="J7" s="136">
        <f t="shared" si="0"/>
        <v>108695.51240875298</v>
      </c>
      <c r="K7" s="136">
        <f t="shared" si="0"/>
        <v>122996.90215416838</v>
      </c>
      <c r="L7" s="136">
        <f t="shared" si="0"/>
        <v>137884.90408347262</v>
      </c>
      <c r="M7" s="136">
        <f t="shared" si="0"/>
        <v>153404.18791525226</v>
      </c>
      <c r="N7" s="136">
        <f t="shared" si="0"/>
        <v>169601.7729913083</v>
      </c>
      <c r="O7" s="136">
        <f t="shared" si="0"/>
        <v>186527.18078893691</v>
      </c>
      <c r="P7" s="136">
        <f t="shared" si="0"/>
        <v>204232.59618143694</v>
      </c>
      <c r="Q7" s="136">
        <f t="shared" si="0"/>
        <v>222773.03798578339</v>
      </c>
      <c r="R7" s="136">
        <f t="shared" si="0"/>
        <v>242206.53936825297</v>
      </c>
      <c r="S7" s="136">
        <f t="shared" si="0"/>
        <v>262594.33871256042</v>
      </c>
      <c r="T7" s="136">
        <f t="shared" si="0"/>
        <v>284001.08159088192</v>
      </c>
      <c r="U7" s="136">
        <f t="shared" si="0"/>
        <v>306495.03451612627</v>
      </c>
      <c r="V7" s="136">
        <f t="shared" si="0"/>
        <v>330148.31119408563</v>
      </c>
      <c r="W7" s="136">
        <f t="shared" si="0"/>
        <v>355037.11203681165</v>
      </c>
      <c r="X7" s="136">
        <f t="shared" si="0"/>
        <v>381241.9777438413</v>
      </c>
      <c r="Y7" s="136">
        <f t="shared" si="0"/>
        <v>408848.05780591728</v>
      </c>
      <c r="Z7" s="136">
        <f t="shared" si="0"/>
        <v>437945.39483675419</v>
      </c>
      <c r="AA7" s="136">
        <f t="shared" si="0"/>
        <v>468629.22569237847</v>
      </c>
      <c r="AB7" s="136">
        <f t="shared" si="0"/>
        <v>501000.30039480276</v>
      </c>
      <c r="AC7" s="136">
        <f t="shared" si="0"/>
        <v>535165.21993746352</v>
      </c>
      <c r="AD7" s="136">
        <f t="shared" si="0"/>
        <v>571236.79411417944</v>
      </c>
      <c r="AE7" s="136">
        <f t="shared" si="0"/>
        <v>609334.42058158503</v>
      </c>
      <c r="AF7" s="136">
        <f t="shared" si="0"/>
        <v>649584.48643729161</v>
      </c>
      <c r="AG7" s="136">
        <f t="shared" si="0"/>
        <v>691177.23578306241</v>
      </c>
      <c r="AH7" s="136">
        <f t="shared" si="0"/>
        <v>731318.60614041239</v>
      </c>
      <c r="AI7" s="136">
        <f t="shared" si="0"/>
        <v>770059.24337914272</v>
      </c>
      <c r="AJ7" s="136">
        <f t="shared" si="0"/>
        <v>807448.0260814277</v>
      </c>
      <c r="AK7" s="136">
        <f t="shared" si="0"/>
        <v>843532.12721131637</v>
      </c>
      <c r="AL7" s="134">
        <f>SUMIF('23_Time'!$B$3:$AK$3, 1,B7:AK7)</f>
        <v>934974.10645353957</v>
      </c>
      <c r="AM7" s="133">
        <f>SUMIF('23_Time'!$B$3:$AK$3, 2,B7:AK7)</f>
        <v>3353707.0409159428</v>
      </c>
      <c r="AN7" s="135">
        <f>SUMIF('23_Time'!$B$3:$AK$3, 3,B7:AK7)</f>
        <v>7616431.0805898178</v>
      </c>
    </row>
    <row r="8" spans="1:40" x14ac:dyDescent="0.3">
      <c r="A8" s="95" t="s">
        <v>157</v>
      </c>
      <c r="B8" s="57">
        <f>'40_Customers_Orders'!B8*'31_Inputs_UnitEconomics'!$C$9</f>
        <v>13600</v>
      </c>
      <c r="C8" s="57">
        <f>'40_Customers_Orders'!C8*'31_Inputs_UnitEconomics'!$C$9</f>
        <v>27541.428</v>
      </c>
      <c r="D8" s="57">
        <f>'40_Customers_Orders'!D8*'31_Inputs_UnitEconomics'!$C$9</f>
        <v>41861.329869939997</v>
      </c>
      <c r="E8" s="57">
        <f>'40_Customers_Orders'!E8*'31_Inputs_UnitEconomics'!$C$9</f>
        <v>56598.396364128435</v>
      </c>
      <c r="F8" s="57">
        <f>'40_Customers_Orders'!F8*'31_Inputs_UnitEconomics'!$C$9</f>
        <v>71793.081979002178</v>
      </c>
      <c r="G8" s="57">
        <f>'40_Customers_Orders'!G8*'31_Inputs_UnitEconomics'!$C$9</f>
        <v>87487.730238704913</v>
      </c>
      <c r="H8" s="57">
        <f>'40_Customers_Orders'!H8*'31_Inputs_UnitEconomics'!$C$9</f>
        <v>103726.70581870691</v>
      </c>
      <c r="I8" s="57">
        <f>'40_Customers_Orders'!I8*'31_Inputs_UnitEconomics'!$C$9</f>
        <v>120556.53394144562</v>
      </c>
      <c r="J8" s="57">
        <f>'40_Customers_Orders'!J8*'31_Inputs_UnitEconomics'!$C$9</f>
        <v>138026.04750317836</v>
      </c>
      <c r="K8" s="57">
        <f>'40_Customers_Orders'!K8*'31_Inputs_UnitEconomics'!$C$9</f>
        <v>156186.54241799156</v>
      </c>
      <c r="L8" s="57">
        <f>'40_Customers_Orders'!L8*'31_Inputs_UnitEconomics'!$C$9</f>
        <v>175091.94169329858</v>
      </c>
      <c r="M8" s="57">
        <f>'40_Customers_Orders'!M8*'31_Inputs_UnitEconomics'!$C$9</f>
        <v>194798.96878127271</v>
      </c>
      <c r="N8" s="57">
        <f>'40_Customers_Orders'!N8*'31_Inputs_UnitEconomics'!$C$9</f>
        <v>215367.33078261372</v>
      </c>
      <c r="O8" s="57">
        <f>'40_Customers_Orders'!O8*'31_Inputs_UnitEconomics'!$C$9</f>
        <v>236859.91211293574</v>
      </c>
      <c r="P8" s="57">
        <f>'40_Customers_Orders'!P8*'31_Inputs_UnitEconomics'!$C$9</f>
        <v>259342.97927801512</v>
      </c>
      <c r="Q8" s="57">
        <f>'40_Customers_Orders'!Q8*'31_Inputs_UnitEconomics'!$C$9</f>
        <v>282886.3974422646</v>
      </c>
      <c r="R8" s="57">
        <f>'40_Customers_Orders'!R8*'31_Inputs_UnitEconomics'!$C$9</f>
        <v>307563.85951524193</v>
      </c>
      <c r="S8" s="57">
        <f>'40_Customers_Orders'!S8*'31_Inputs_UnitEconomics'!$C$9</f>
        <v>333453.1285238862</v>
      </c>
      <c r="T8" s="57">
        <f>'40_Customers_Orders'!T8*'31_Inputs_UnitEconomics'!$C$9</f>
        <v>360636.2940836596</v>
      </c>
      <c r="U8" s="57">
        <f>'40_Customers_Orders'!U8*'31_Inputs_UnitEconomics'!$C$9</f>
        <v>389200.04383000155</v>
      </c>
      <c r="V8" s="57">
        <f>'40_Customers_Orders'!V8*'31_Inputs_UnitEconomics'!$C$9</f>
        <v>419235.95072264835</v>
      </c>
      <c r="W8" s="57">
        <f>'40_Customers_Orders'!W8*'31_Inputs_UnitEconomics'!$C$9</f>
        <v>450840.77718960203</v>
      </c>
      <c r="X8" s="57">
        <f>'40_Customers_Orders'!X8*'31_Inputs_UnitEconomics'!$C$9</f>
        <v>484116.7971350365</v>
      </c>
      <c r="Y8" s="57">
        <f>'40_Customers_Orders'!Y8*'31_Inputs_UnitEconomics'!$C$9</f>
        <v>519172.13689640298</v>
      </c>
      <c r="Z8" s="57">
        <f>'40_Customers_Orders'!Z8*'31_Inputs_UnitEconomics'!$C$9</f>
        <v>556121.13630064018</v>
      </c>
      <c r="AA8" s="57">
        <f>'40_Customers_Orders'!AA8*'31_Inputs_UnitEconomics'!$C$9</f>
        <v>595084.73103794083</v>
      </c>
      <c r="AB8" s="57">
        <f>'40_Customers_Orders'!AB8*'31_Inputs_UnitEconomics'!$C$9</f>
        <v>636190.85764419392</v>
      </c>
      <c r="AC8" s="57">
        <f>'40_Customers_Orders'!AC8*'31_Inputs_UnitEconomics'!$C$9</f>
        <v>679574.88246027112</v>
      </c>
      <c r="AD8" s="57">
        <f>'40_Customers_Orders'!AD8*'31_Inputs_UnitEconomics'!$C$9</f>
        <v>725380.05601800571</v>
      </c>
      <c r="AE8" s="57">
        <f>'40_Customers_Orders'!AE8*'31_Inputs_UnitEconomics'!$C$9</f>
        <v>773757.9943893142</v>
      </c>
      <c r="AF8" s="57">
        <f>'40_Customers_Orders'!AF8*'31_Inputs_UnitEconomics'!$C$9</f>
        <v>824869.18912671937</v>
      </c>
      <c r="AG8" s="57">
        <f>'40_Customers_Orders'!AG8*'31_Inputs_UnitEconomics'!$C$9</f>
        <v>877685.37877214269</v>
      </c>
      <c r="AH8" s="57">
        <f>'40_Customers_Orders'!AH8*'31_Inputs_UnitEconomics'!$C$9</f>
        <v>928658.54747988877</v>
      </c>
      <c r="AI8" s="57">
        <f>'40_Customers_Orders'!AI8*'31_Inputs_UnitEconomics'!$C$9</f>
        <v>977853.00746557803</v>
      </c>
      <c r="AJ8" s="57">
        <f>'40_Customers_Orders'!AJ8*'31_Inputs_UnitEconomics'!$C$9</f>
        <v>1025330.8267700669</v>
      </c>
      <c r="AK8" s="57">
        <f>'40_Customers_Orders'!AK8*'31_Inputs_UnitEconomics'!$C$9</f>
        <v>1071151.9075699255</v>
      </c>
      <c r="AL8" s="75">
        <f>SUMIF('23_Time'!$B$3:$AK$3, 1,B8:AK8)</f>
        <v>1187268.7066076691</v>
      </c>
      <c r="AM8" s="57">
        <f>SUMIF('23_Time'!$B$3:$AK$3, 2,B8:AK8)</f>
        <v>4258675.6075123083</v>
      </c>
      <c r="AN8" s="72">
        <f>SUMIF('23_Time'!$B$3:$AK$3, 3,B8:AK8)</f>
        <v>9671658.5150346868</v>
      </c>
    </row>
    <row r="9" spans="1:40" x14ac:dyDescent="0.3">
      <c r="A9" s="97" t="s">
        <v>158</v>
      </c>
      <c r="B9" s="60">
        <f>'40_Customers_Orders'!B8*'31_Inputs_UnitEconomics'!$C$10</f>
        <v>306</v>
      </c>
      <c r="C9" s="60">
        <f>'40_Customers_Orders'!C8*'31_Inputs_UnitEconomics'!$C$10</f>
        <v>619.68213000000003</v>
      </c>
      <c r="D9" s="60">
        <f>'40_Customers_Orders'!D8*'31_Inputs_UnitEconomics'!$C$10</f>
        <v>941.87992207364994</v>
      </c>
      <c r="E9" s="60">
        <f>'40_Customers_Orders'!E8*'31_Inputs_UnitEconomics'!$C$10</f>
        <v>1273.4639181928897</v>
      </c>
      <c r="F9" s="60">
        <f>'40_Customers_Orders'!F8*'31_Inputs_UnitEconomics'!$C$10</f>
        <v>1615.3443445275489</v>
      </c>
      <c r="G9" s="60">
        <f>'40_Customers_Orders'!G8*'31_Inputs_UnitEconomics'!$C$10</f>
        <v>1968.4739303708604</v>
      </c>
      <c r="H9" s="60">
        <f>'40_Customers_Orders'!H8*'31_Inputs_UnitEconomics'!$C$10</f>
        <v>2333.8508809209052</v>
      </c>
      <c r="I9" s="60">
        <f>'40_Customers_Orders'!I8*'31_Inputs_UnitEconomics'!$C$10</f>
        <v>2712.5220136825264</v>
      </c>
      <c r="J9" s="60">
        <f>'40_Customers_Orders'!J8*'31_Inputs_UnitEconomics'!$C$10</f>
        <v>3105.586068821513</v>
      </c>
      <c r="K9" s="60">
        <f>'40_Customers_Orders'!K8*'31_Inputs_UnitEconomics'!$C$10</f>
        <v>3514.1972044048098</v>
      </c>
      <c r="L9" s="60">
        <f>'40_Customers_Orders'!L8*'31_Inputs_UnitEconomics'!$C$10</f>
        <v>3939.568688099218</v>
      </c>
      <c r="M9" s="60">
        <f>'40_Customers_Orders'!M8*'31_Inputs_UnitEconomics'!$C$10</f>
        <v>4382.9767975786353</v>
      </c>
      <c r="N9" s="60">
        <f>'40_Customers_Orders'!N8*'31_Inputs_UnitEconomics'!$C$10</f>
        <v>4845.7649426088083</v>
      </c>
      <c r="O9" s="60">
        <f>'40_Customers_Orders'!O8*'31_Inputs_UnitEconomics'!$C$10</f>
        <v>5329.348022541054</v>
      </c>
      <c r="P9" s="60">
        <f>'40_Customers_Orders'!P8*'31_Inputs_UnitEconomics'!$C$10</f>
        <v>5835.2170337553398</v>
      </c>
      <c r="Q9" s="60">
        <f>'40_Customers_Orders'!Q8*'31_Inputs_UnitEconomics'!$C$10</f>
        <v>6364.9439424509528</v>
      </c>
      <c r="R9" s="60">
        <f>'40_Customers_Orders'!R8*'31_Inputs_UnitEconomics'!$C$10</f>
        <v>6920.186839092943</v>
      </c>
      <c r="S9" s="60">
        <f>'40_Customers_Orders'!S8*'31_Inputs_UnitEconomics'!$C$10</f>
        <v>7502.6953917874389</v>
      </c>
      <c r="T9" s="60">
        <f>'40_Customers_Orders'!T8*'31_Inputs_UnitEconomics'!$C$10</f>
        <v>8114.3166168823409</v>
      </c>
      <c r="U9" s="60">
        <f>'40_Customers_Orders'!U8*'31_Inputs_UnitEconomics'!$C$10</f>
        <v>8757.000986175035</v>
      </c>
      <c r="V9" s="60">
        <f>'40_Customers_Orders'!V8*'31_Inputs_UnitEconomics'!$C$10</f>
        <v>9432.8088912595867</v>
      </c>
      <c r="W9" s="60">
        <f>'40_Customers_Orders'!W8*'31_Inputs_UnitEconomics'!$C$10</f>
        <v>10143.917486766046</v>
      </c>
      <c r="X9" s="60">
        <f>'40_Customers_Orders'!X8*'31_Inputs_UnitEconomics'!$C$10</f>
        <v>10892.627935538321</v>
      </c>
      <c r="Y9" s="60">
        <f>'40_Customers_Orders'!Y8*'31_Inputs_UnitEconomics'!$C$10</f>
        <v>11681.373080169067</v>
      </c>
      <c r="Z9" s="60">
        <f>'40_Customers_Orders'!Z8*'31_Inputs_UnitEconomics'!$C$10</f>
        <v>12512.725566764404</v>
      </c>
      <c r="AA9" s="60">
        <f>'40_Customers_Orders'!AA8*'31_Inputs_UnitEconomics'!$C$10</f>
        <v>13389.406448353668</v>
      </c>
      <c r="AB9" s="60">
        <f>'40_Customers_Orders'!AB8*'31_Inputs_UnitEconomics'!$C$10</f>
        <v>14314.294296994363</v>
      </c>
      <c r="AC9" s="60">
        <f>'40_Customers_Orders'!AC8*'31_Inputs_UnitEconomics'!$C$10</f>
        <v>15290.434855356099</v>
      </c>
      <c r="AD9" s="60">
        <f>'40_Customers_Orders'!AD8*'31_Inputs_UnitEconomics'!$C$10</f>
        <v>16321.051260405127</v>
      </c>
      <c r="AE9" s="60">
        <f>'40_Customers_Orders'!AE8*'31_Inputs_UnitEconomics'!$C$10</f>
        <v>17409.554873759567</v>
      </c>
      <c r="AF9" s="60">
        <f>'40_Customers_Orders'!AF8*'31_Inputs_UnitEconomics'!$C$10</f>
        <v>18559.556755351186</v>
      </c>
      <c r="AG9" s="60">
        <f>'40_Customers_Orders'!AG8*'31_Inputs_UnitEconomics'!$C$10</f>
        <v>19747.921022373212</v>
      </c>
      <c r="AH9" s="60">
        <f>'40_Customers_Orders'!AH8*'31_Inputs_UnitEconomics'!$C$10</f>
        <v>20894.817318297497</v>
      </c>
      <c r="AI9" s="60">
        <f>'40_Customers_Orders'!AI8*'31_Inputs_UnitEconomics'!$C$10</f>
        <v>22001.692667975505</v>
      </c>
      <c r="AJ9" s="60">
        <f>'40_Customers_Orders'!AJ8*'31_Inputs_UnitEconomics'!$C$10</f>
        <v>23069.943602326504</v>
      </c>
      <c r="AK9" s="60">
        <f>'40_Customers_Orders'!AK8*'31_Inputs_UnitEconomics'!$C$10</f>
        <v>24100.917920323325</v>
      </c>
      <c r="AL9" s="76">
        <f>SUMIF('23_Time'!$B$3:$AK$3, 1,B9:AK9)</f>
        <v>26713.545898672557</v>
      </c>
      <c r="AM9" s="60">
        <f>SUMIF('23_Time'!$B$3:$AK$3, 2,B9:AK9)</f>
        <v>95820.201169026928</v>
      </c>
      <c r="AN9" s="73">
        <f>SUMIF('23_Time'!$B$3:$AK$3, 3,B9:AK9)</f>
        <v>217612.31658828043</v>
      </c>
    </row>
    <row r="10" spans="1:40" x14ac:dyDescent="0.3">
      <c r="A10" s="97" t="s">
        <v>159</v>
      </c>
      <c r="B10" s="60">
        <f>B9*'31_Inputs_UnitEconomics'!$C$11</f>
        <v>7650</v>
      </c>
      <c r="C10" s="60">
        <f>C9*'31_Inputs_UnitEconomics'!$C$11</f>
        <v>15492.053250000001</v>
      </c>
      <c r="D10" s="60">
        <f>D9*'31_Inputs_UnitEconomics'!$C$11</f>
        <v>23546.998051841249</v>
      </c>
      <c r="E10" s="60">
        <f>E9*'31_Inputs_UnitEconomics'!$C$11</f>
        <v>31836.597954822242</v>
      </c>
      <c r="F10" s="60">
        <f>F9*'31_Inputs_UnitEconomics'!$C$11</f>
        <v>40383.60861318872</v>
      </c>
      <c r="G10" s="60">
        <f>G9*'31_Inputs_UnitEconomics'!$C$11</f>
        <v>49211.848259271508</v>
      </c>
      <c r="H10" s="60">
        <f>H9*'31_Inputs_UnitEconomics'!$C$11</f>
        <v>58346.272023022626</v>
      </c>
      <c r="I10" s="60">
        <f>I9*'31_Inputs_UnitEconomics'!$C$11</f>
        <v>67813.050342063158</v>
      </c>
      <c r="J10" s="60">
        <f>J9*'31_Inputs_UnitEconomics'!$C$11</f>
        <v>77639.651720537819</v>
      </c>
      <c r="K10" s="60">
        <f>K9*'31_Inputs_UnitEconomics'!$C$11</f>
        <v>87854.930110120244</v>
      </c>
      <c r="L10" s="60">
        <f>L9*'31_Inputs_UnitEconomics'!$C$11</f>
        <v>98489.217202480446</v>
      </c>
      <c r="M10" s="60">
        <f>M9*'31_Inputs_UnitEconomics'!$C$11</f>
        <v>109574.41993946588</v>
      </c>
      <c r="N10" s="60">
        <f>N9*'31_Inputs_UnitEconomics'!$C$11</f>
        <v>121144.1235652202</v>
      </c>
      <c r="O10" s="60">
        <f>O9*'31_Inputs_UnitEconomics'!$C$11</f>
        <v>133233.70056352636</v>
      </c>
      <c r="P10" s="60">
        <f>P9*'31_Inputs_UnitEconomics'!$C$11</f>
        <v>145880.42584388348</v>
      </c>
      <c r="Q10" s="60">
        <f>Q9*'31_Inputs_UnitEconomics'!$C$11</f>
        <v>159123.59856127383</v>
      </c>
      <c r="R10" s="60">
        <f>R9*'31_Inputs_UnitEconomics'!$C$11</f>
        <v>173004.67097732358</v>
      </c>
      <c r="S10" s="60">
        <f>S9*'31_Inputs_UnitEconomics'!$C$11</f>
        <v>187567.38479468596</v>
      </c>
      <c r="T10" s="60">
        <f>T9*'31_Inputs_UnitEconomics'!$C$11</f>
        <v>202857.91542205852</v>
      </c>
      <c r="U10" s="60">
        <f>U9*'31_Inputs_UnitEconomics'!$C$11</f>
        <v>218925.02465437588</v>
      </c>
      <c r="V10" s="60">
        <f>V9*'31_Inputs_UnitEconomics'!$C$11</f>
        <v>235820.22228148967</v>
      </c>
      <c r="W10" s="60">
        <f>W9*'31_Inputs_UnitEconomics'!$C$11</f>
        <v>253597.93716915115</v>
      </c>
      <c r="X10" s="60">
        <f>X9*'31_Inputs_UnitEconomics'!$C$11</f>
        <v>272315.69838845805</v>
      </c>
      <c r="Y10" s="60">
        <f>Y9*'31_Inputs_UnitEconomics'!$C$11</f>
        <v>292034.32700422668</v>
      </c>
      <c r="Z10" s="60">
        <f>Z9*'31_Inputs_UnitEconomics'!$C$11</f>
        <v>312818.1391691101</v>
      </c>
      <c r="AA10" s="60">
        <f>AA9*'31_Inputs_UnitEconomics'!$C$11</f>
        <v>334735.16120884172</v>
      </c>
      <c r="AB10" s="60">
        <f>AB9*'31_Inputs_UnitEconomics'!$C$11</f>
        <v>357857.35742485907</v>
      </c>
      <c r="AC10" s="60">
        <f>AC9*'31_Inputs_UnitEconomics'!$C$11</f>
        <v>382260.8713839025</v>
      </c>
      <c r="AD10" s="60">
        <f>AD9*'31_Inputs_UnitEconomics'!$C$11</f>
        <v>408026.28151012817</v>
      </c>
      <c r="AE10" s="60">
        <f>AE9*'31_Inputs_UnitEconomics'!$C$11</f>
        <v>435238.87184398918</v>
      </c>
      <c r="AF10" s="60">
        <f>AF9*'31_Inputs_UnitEconomics'!$C$11</f>
        <v>463988.91888377967</v>
      </c>
      <c r="AG10" s="60">
        <f>AG9*'31_Inputs_UnitEconomics'!$C$11</f>
        <v>493698.0255593303</v>
      </c>
      <c r="AH10" s="60">
        <f>AH9*'31_Inputs_UnitEconomics'!$C$11</f>
        <v>522370.43295743741</v>
      </c>
      <c r="AI10" s="60">
        <f>AI9*'31_Inputs_UnitEconomics'!$C$11</f>
        <v>550042.31669938762</v>
      </c>
      <c r="AJ10" s="60">
        <f>AJ9*'31_Inputs_UnitEconomics'!$C$11</f>
        <v>576748.59005816258</v>
      </c>
      <c r="AK10" s="60">
        <f>AK9*'31_Inputs_UnitEconomics'!$C$11</f>
        <v>602522.94800808316</v>
      </c>
      <c r="AL10" s="76">
        <f>SUMIF('23_Time'!$B$3:$AK$3, 1,B10:AK10)</f>
        <v>667838.64746681391</v>
      </c>
      <c r="AM10" s="60">
        <f>SUMIF('23_Time'!$B$3:$AK$3, 2,B10:AK10)</f>
        <v>2395505.0292256735</v>
      </c>
      <c r="AN10" s="73">
        <f>SUMIF('23_Time'!$B$3:$AK$3, 3,B10:AK10)</f>
        <v>5440307.9147070115</v>
      </c>
    </row>
    <row r="11" spans="1:40" ht="15" thickBot="1" x14ac:dyDescent="0.35">
      <c r="A11" s="100" t="s">
        <v>160</v>
      </c>
      <c r="B11" s="133">
        <f>B8+B10</f>
        <v>21250</v>
      </c>
      <c r="C11" s="133">
        <f t="shared" ref="C11:AK11" si="1">C8+C10</f>
        <v>43033.481249999997</v>
      </c>
      <c r="D11" s="133">
        <f t="shared" si="1"/>
        <v>65408.327921781245</v>
      </c>
      <c r="E11" s="133">
        <f t="shared" si="1"/>
        <v>88434.994318950674</v>
      </c>
      <c r="F11" s="133">
        <f t="shared" si="1"/>
        <v>112176.69059219089</v>
      </c>
      <c r="G11" s="133">
        <f t="shared" si="1"/>
        <v>136699.57849797641</v>
      </c>
      <c r="H11" s="133">
        <f t="shared" si="1"/>
        <v>162072.97784172953</v>
      </c>
      <c r="I11" s="133">
        <f t="shared" si="1"/>
        <v>188369.58428350877</v>
      </c>
      <c r="J11" s="133">
        <f t="shared" si="1"/>
        <v>215665.69922371616</v>
      </c>
      <c r="K11" s="133">
        <f t="shared" si="1"/>
        <v>244041.4725281118</v>
      </c>
      <c r="L11" s="133">
        <f t="shared" si="1"/>
        <v>273581.15889577905</v>
      </c>
      <c r="M11" s="133">
        <f t="shared" si="1"/>
        <v>304373.38872073859</v>
      </c>
      <c r="N11" s="133">
        <f t="shared" si="1"/>
        <v>336511.45434783393</v>
      </c>
      <c r="O11" s="133">
        <f t="shared" si="1"/>
        <v>370093.6126764621</v>
      </c>
      <c r="P11" s="133">
        <f t="shared" si="1"/>
        <v>405223.40512189863</v>
      </c>
      <c r="Q11" s="133">
        <f t="shared" si="1"/>
        <v>442009.99600353843</v>
      </c>
      <c r="R11" s="133">
        <f t="shared" si="1"/>
        <v>480568.53049256548</v>
      </c>
      <c r="S11" s="133">
        <f t="shared" si="1"/>
        <v>521020.51331857219</v>
      </c>
      <c r="T11" s="133">
        <f t="shared" si="1"/>
        <v>563494.20950571808</v>
      </c>
      <c r="U11" s="133">
        <f t="shared" si="1"/>
        <v>608125.06848437747</v>
      </c>
      <c r="V11" s="133">
        <f t="shared" si="1"/>
        <v>655056.17300413805</v>
      </c>
      <c r="W11" s="133">
        <f t="shared" si="1"/>
        <v>704438.71435875318</v>
      </c>
      <c r="X11" s="133">
        <f t="shared" si="1"/>
        <v>756432.49552349455</v>
      </c>
      <c r="Y11" s="133">
        <f t="shared" si="1"/>
        <v>811206.46390062966</v>
      </c>
      <c r="Z11" s="133">
        <f t="shared" si="1"/>
        <v>868939.27546975028</v>
      </c>
      <c r="AA11" s="133">
        <f t="shared" si="1"/>
        <v>929819.89224678255</v>
      </c>
      <c r="AB11" s="133">
        <f t="shared" si="1"/>
        <v>994048.215069053</v>
      </c>
      <c r="AC11" s="133">
        <f t="shared" si="1"/>
        <v>1061835.7538441736</v>
      </c>
      <c r="AD11" s="133">
        <f t="shared" si="1"/>
        <v>1133406.3375281338</v>
      </c>
      <c r="AE11" s="133">
        <f t="shared" si="1"/>
        <v>1208996.8662333034</v>
      </c>
      <c r="AF11" s="133">
        <f t="shared" si="1"/>
        <v>1288858.108010499</v>
      </c>
      <c r="AG11" s="133">
        <f t="shared" si="1"/>
        <v>1371383.4043314729</v>
      </c>
      <c r="AH11" s="133">
        <f t="shared" si="1"/>
        <v>1451028.9804373262</v>
      </c>
      <c r="AI11" s="133">
        <f t="shared" si="1"/>
        <v>1527895.3241649657</v>
      </c>
      <c r="AJ11" s="133">
        <f t="shared" si="1"/>
        <v>1602079.4168282296</v>
      </c>
      <c r="AK11" s="133">
        <f t="shared" si="1"/>
        <v>1673674.8555780086</v>
      </c>
      <c r="AL11" s="134">
        <f>SUMIF('23_Time'!$B$3:$AK$3, 1,B11:AK11)</f>
        <v>1855107.3540744833</v>
      </c>
      <c r="AM11" s="133">
        <f>SUMIF('23_Time'!$B$3:$AK$3, 2,B11:AK11)</f>
        <v>6654180.6367379818</v>
      </c>
      <c r="AN11" s="135">
        <f>SUMIF('23_Time'!$B$3:$AK$3, 3,B11:AK11)</f>
        <v>15111966.429741701</v>
      </c>
    </row>
    <row r="12" spans="1:40" x14ac:dyDescent="0.3">
      <c r="A12" s="95" t="s">
        <v>161</v>
      </c>
      <c r="B12" s="58">
        <f>IF(
   '23_Time'!B1&gt;= '31_Inputs_UnitEconomics'!$D$18,
   1,
   0
)</f>
        <v>0</v>
      </c>
      <c r="C12" s="58">
        <f>IF(
   '23_Time'!C1&gt;= '31_Inputs_UnitEconomics'!$D$18,
   1,
   0
)</f>
        <v>0</v>
      </c>
      <c r="D12" s="58">
        <f>IF(
   '23_Time'!D1&gt;= '31_Inputs_UnitEconomics'!$D$18,
   1,
   0
)</f>
        <v>0</v>
      </c>
      <c r="E12" s="58">
        <f>IF(
   '23_Time'!E1&gt;= '31_Inputs_UnitEconomics'!$D$18,
   1,
   0
)</f>
        <v>0</v>
      </c>
      <c r="F12" s="58">
        <f>IF(
   '23_Time'!F1&gt;= '31_Inputs_UnitEconomics'!$D$18,
   1,
   0
)</f>
        <v>0</v>
      </c>
      <c r="G12" s="58">
        <f>IF(
   '23_Time'!G1&gt;= '31_Inputs_UnitEconomics'!$D$18,
   1,
   0
)</f>
        <v>0</v>
      </c>
      <c r="H12" s="58">
        <f>IF(
   '23_Time'!H1&gt;= '31_Inputs_UnitEconomics'!$D$18,
   1,
   0
)</f>
        <v>0</v>
      </c>
      <c r="I12" s="58">
        <f>IF(
   '23_Time'!I1&gt;= '31_Inputs_UnitEconomics'!$D$18,
   1,
   0
)</f>
        <v>0</v>
      </c>
      <c r="J12" s="58">
        <f>IF(
   '23_Time'!J1&gt;= '31_Inputs_UnitEconomics'!$D$18,
   1,
   0
)</f>
        <v>1</v>
      </c>
      <c r="K12" s="58">
        <f>IF(
   '23_Time'!K1&gt;= '31_Inputs_UnitEconomics'!$D$18,
   1,
   0
)</f>
        <v>1</v>
      </c>
      <c r="L12" s="58">
        <f>IF(
   '23_Time'!L1&gt;= '31_Inputs_UnitEconomics'!$D$18,
   1,
   0
)</f>
        <v>1</v>
      </c>
      <c r="M12" s="58">
        <f>IF(
   '23_Time'!M1&gt;= '31_Inputs_UnitEconomics'!$D$18,
   1,
   0
)</f>
        <v>1</v>
      </c>
      <c r="N12" s="58">
        <f>IF(
   '23_Time'!N1&gt;= '31_Inputs_UnitEconomics'!$D$18,
   1,
   0
)</f>
        <v>1</v>
      </c>
      <c r="O12" s="58">
        <f>IF(
   '23_Time'!O1&gt;= '31_Inputs_UnitEconomics'!$D$18,
   1,
   0
)</f>
        <v>1</v>
      </c>
      <c r="P12" s="58">
        <f>IF(
   '23_Time'!P1&gt;= '31_Inputs_UnitEconomics'!$D$18,
   1,
   0
)</f>
        <v>1</v>
      </c>
      <c r="Q12" s="58">
        <f>IF(
   '23_Time'!Q1&gt;= '31_Inputs_UnitEconomics'!$D$18,
   1,
   0
)</f>
        <v>1</v>
      </c>
      <c r="R12" s="58">
        <f>IF(
   '23_Time'!R1&gt;= '31_Inputs_UnitEconomics'!$D$18,
   1,
   0
)</f>
        <v>1</v>
      </c>
      <c r="S12" s="58">
        <f>IF(
   '23_Time'!S1&gt;= '31_Inputs_UnitEconomics'!$D$18,
   1,
   0
)</f>
        <v>1</v>
      </c>
      <c r="T12" s="58">
        <f>IF(
   '23_Time'!T1&gt;= '31_Inputs_UnitEconomics'!$D$18,
   1,
   0
)</f>
        <v>1</v>
      </c>
      <c r="U12" s="58">
        <f>IF(
   '23_Time'!U1&gt;= '31_Inputs_UnitEconomics'!$D$18,
   1,
   0
)</f>
        <v>1</v>
      </c>
      <c r="V12" s="58">
        <f>IF(
   '23_Time'!V1&gt;= '31_Inputs_UnitEconomics'!$D$18,
   1,
   0
)</f>
        <v>1</v>
      </c>
      <c r="W12" s="58">
        <f>IF(
   '23_Time'!W1&gt;= '31_Inputs_UnitEconomics'!$D$18,
   1,
   0
)</f>
        <v>1</v>
      </c>
      <c r="X12" s="58">
        <f>IF(
   '23_Time'!X1&gt;= '31_Inputs_UnitEconomics'!$D$18,
   1,
   0
)</f>
        <v>1</v>
      </c>
      <c r="Y12" s="58">
        <f>IF(
   '23_Time'!Y1&gt;= '31_Inputs_UnitEconomics'!$D$18,
   1,
   0
)</f>
        <v>1</v>
      </c>
      <c r="Z12" s="58">
        <f>IF(
   '23_Time'!Z1&gt;= '31_Inputs_UnitEconomics'!$D$18,
   1,
   0
)</f>
        <v>1</v>
      </c>
      <c r="AA12" s="58">
        <f>IF(
   '23_Time'!AA1&gt;= '31_Inputs_UnitEconomics'!$D$18,
   1,
   0
)</f>
        <v>1</v>
      </c>
      <c r="AB12" s="58">
        <f>IF(
   '23_Time'!AB1&gt;= '31_Inputs_UnitEconomics'!$D$18,
   1,
   0
)</f>
        <v>1</v>
      </c>
      <c r="AC12" s="58">
        <f>IF(
   '23_Time'!AC1&gt;= '31_Inputs_UnitEconomics'!$D$18,
   1,
   0
)</f>
        <v>1</v>
      </c>
      <c r="AD12" s="58">
        <f>IF(
   '23_Time'!AD1&gt;= '31_Inputs_UnitEconomics'!$D$18,
   1,
   0
)</f>
        <v>1</v>
      </c>
      <c r="AE12" s="58">
        <f>IF(
   '23_Time'!AE1&gt;= '31_Inputs_UnitEconomics'!$D$18,
   1,
   0
)</f>
        <v>1</v>
      </c>
      <c r="AF12" s="58">
        <f>IF(
   '23_Time'!AF1&gt;= '31_Inputs_UnitEconomics'!$D$18,
   1,
   0
)</f>
        <v>1</v>
      </c>
      <c r="AG12" s="58">
        <f>IF(
   '23_Time'!AG1&gt;= '31_Inputs_UnitEconomics'!$D$18,
   1,
   0
)</f>
        <v>1</v>
      </c>
      <c r="AH12" s="58">
        <f>IF(
   '23_Time'!AH1&gt;= '31_Inputs_UnitEconomics'!$D$18,
   1,
   0
)</f>
        <v>1</v>
      </c>
      <c r="AI12" s="58">
        <f>IF(
   '23_Time'!AI1&gt;= '31_Inputs_UnitEconomics'!$D$18,
   1,
   0
)</f>
        <v>1</v>
      </c>
      <c r="AJ12" s="58">
        <f>IF(
   '23_Time'!AJ1&gt;= '31_Inputs_UnitEconomics'!$D$18,
   1,
   0
)</f>
        <v>1</v>
      </c>
      <c r="AK12" s="58">
        <f>IF(
   '23_Time'!AK1&gt;= '31_Inputs_UnitEconomics'!$D$18,
   1,
   0
)</f>
        <v>1</v>
      </c>
      <c r="AL12" s="56"/>
      <c r="AM12" s="58"/>
      <c r="AN12" s="69"/>
    </row>
    <row r="13" spans="1:40" x14ac:dyDescent="0.3">
      <c r="A13" s="97" t="s">
        <v>163</v>
      </c>
      <c r="B13" s="64">
        <f>'31_Inputs_UnitEconomics'!$C$14/12</f>
        <v>5.0000000000000001E-3</v>
      </c>
      <c r="C13" s="64">
        <f>'31_Inputs_UnitEconomics'!$C$14/12</f>
        <v>5.0000000000000001E-3</v>
      </c>
      <c r="D13" s="64">
        <f>'31_Inputs_UnitEconomics'!$C$14/12</f>
        <v>5.0000000000000001E-3</v>
      </c>
      <c r="E13" s="64">
        <f>'31_Inputs_UnitEconomics'!$C$14/12</f>
        <v>5.0000000000000001E-3</v>
      </c>
      <c r="F13" s="64">
        <f>'31_Inputs_UnitEconomics'!$C$14/12</f>
        <v>5.0000000000000001E-3</v>
      </c>
      <c r="G13" s="64">
        <f>'31_Inputs_UnitEconomics'!$C$14/12</f>
        <v>5.0000000000000001E-3</v>
      </c>
      <c r="H13" s="64">
        <f>'31_Inputs_UnitEconomics'!$C$14/12</f>
        <v>5.0000000000000001E-3</v>
      </c>
      <c r="I13" s="64">
        <f>'31_Inputs_UnitEconomics'!$C$14/12</f>
        <v>5.0000000000000001E-3</v>
      </c>
      <c r="J13" s="64">
        <f>'31_Inputs_UnitEconomics'!$C$14/12</f>
        <v>5.0000000000000001E-3</v>
      </c>
      <c r="K13" s="64">
        <f>'31_Inputs_UnitEconomics'!$C$14/12</f>
        <v>5.0000000000000001E-3</v>
      </c>
      <c r="L13" s="64">
        <f>'31_Inputs_UnitEconomics'!$C$14/12</f>
        <v>5.0000000000000001E-3</v>
      </c>
      <c r="M13" s="64">
        <f>'31_Inputs_UnitEconomics'!$C$14/12</f>
        <v>5.0000000000000001E-3</v>
      </c>
      <c r="N13" s="64">
        <f>'31_Inputs_UnitEconomics'!$C$14/12</f>
        <v>5.0000000000000001E-3</v>
      </c>
      <c r="O13" s="64">
        <f>'31_Inputs_UnitEconomics'!$C$14/12</f>
        <v>5.0000000000000001E-3</v>
      </c>
      <c r="P13" s="64">
        <f>'31_Inputs_UnitEconomics'!$C$14/12</f>
        <v>5.0000000000000001E-3</v>
      </c>
      <c r="Q13" s="64">
        <f>'31_Inputs_UnitEconomics'!$C$14/12</f>
        <v>5.0000000000000001E-3</v>
      </c>
      <c r="R13" s="64">
        <f>'31_Inputs_UnitEconomics'!$C$14/12</f>
        <v>5.0000000000000001E-3</v>
      </c>
      <c r="S13" s="64">
        <f>'31_Inputs_UnitEconomics'!$C$14/12</f>
        <v>5.0000000000000001E-3</v>
      </c>
      <c r="T13" s="64">
        <f>'31_Inputs_UnitEconomics'!$C$14/12</f>
        <v>5.0000000000000001E-3</v>
      </c>
      <c r="U13" s="64">
        <f>'31_Inputs_UnitEconomics'!$C$14/12</f>
        <v>5.0000000000000001E-3</v>
      </c>
      <c r="V13" s="64">
        <f>'31_Inputs_UnitEconomics'!$C$14/12</f>
        <v>5.0000000000000001E-3</v>
      </c>
      <c r="W13" s="64">
        <f>'31_Inputs_UnitEconomics'!$C$14/12</f>
        <v>5.0000000000000001E-3</v>
      </c>
      <c r="X13" s="64">
        <f>'31_Inputs_UnitEconomics'!$C$14/12</f>
        <v>5.0000000000000001E-3</v>
      </c>
      <c r="Y13" s="64">
        <f>'31_Inputs_UnitEconomics'!$C$14/12</f>
        <v>5.0000000000000001E-3</v>
      </c>
      <c r="Z13" s="64">
        <f>'31_Inputs_UnitEconomics'!$C$14/12</f>
        <v>5.0000000000000001E-3</v>
      </c>
      <c r="AA13" s="64">
        <f>'31_Inputs_UnitEconomics'!$C$14/12</f>
        <v>5.0000000000000001E-3</v>
      </c>
      <c r="AB13" s="64">
        <f>'31_Inputs_UnitEconomics'!$C$14/12</f>
        <v>5.0000000000000001E-3</v>
      </c>
      <c r="AC13" s="64">
        <f>'31_Inputs_UnitEconomics'!$C$14/12</f>
        <v>5.0000000000000001E-3</v>
      </c>
      <c r="AD13" s="64">
        <f>'31_Inputs_UnitEconomics'!$C$14/12</f>
        <v>5.0000000000000001E-3</v>
      </c>
      <c r="AE13" s="64">
        <f>'31_Inputs_UnitEconomics'!$C$14/12</f>
        <v>5.0000000000000001E-3</v>
      </c>
      <c r="AF13" s="64">
        <f>'31_Inputs_UnitEconomics'!$C$14/12</f>
        <v>5.0000000000000001E-3</v>
      </c>
      <c r="AG13" s="64">
        <f>'31_Inputs_UnitEconomics'!$C$14/12</f>
        <v>5.0000000000000001E-3</v>
      </c>
      <c r="AH13" s="64">
        <f>'31_Inputs_UnitEconomics'!$C$14/12</f>
        <v>5.0000000000000001E-3</v>
      </c>
      <c r="AI13" s="64">
        <f>'31_Inputs_UnitEconomics'!$C$14/12</f>
        <v>5.0000000000000001E-3</v>
      </c>
      <c r="AJ13" s="64">
        <f>'31_Inputs_UnitEconomics'!$C$14/12</f>
        <v>5.0000000000000001E-3</v>
      </c>
      <c r="AK13" s="64">
        <f>'31_Inputs_UnitEconomics'!$C$14/12</f>
        <v>5.0000000000000001E-3</v>
      </c>
      <c r="AL13" s="59"/>
      <c r="AN13" s="71"/>
    </row>
    <row r="14" spans="1:40" x14ac:dyDescent="0.3">
      <c r="A14" s="97" t="s">
        <v>164</v>
      </c>
      <c r="B14" s="60">
        <f>B13*B12*'40_Customers_Orders'!B8</f>
        <v>0</v>
      </c>
      <c r="C14" s="60">
        <f>C13*C12*'40_Customers_Orders'!C8</f>
        <v>0</v>
      </c>
      <c r="D14" s="60">
        <f>D13*D12*'40_Customers_Orders'!D8</f>
        <v>0</v>
      </c>
      <c r="E14" s="60">
        <f>E13*E12*'40_Customers_Orders'!E8</f>
        <v>0</v>
      </c>
      <c r="F14" s="60">
        <f>F13*F12*'40_Customers_Orders'!F8</f>
        <v>0</v>
      </c>
      <c r="G14" s="60">
        <f>G13*G12*'40_Customers_Orders'!G8</f>
        <v>0</v>
      </c>
      <c r="H14" s="60">
        <f>H13*H12*'40_Customers_Orders'!H8</f>
        <v>0</v>
      </c>
      <c r="I14" s="60">
        <f>I13*I12*'40_Customers_Orders'!I8</f>
        <v>0</v>
      </c>
      <c r="J14" s="60">
        <f>J13*J12*'40_Customers_Orders'!J8</f>
        <v>86.266279689486481</v>
      </c>
      <c r="K14" s="60">
        <f>K13*K12*'40_Customers_Orders'!K8</f>
        <v>97.616589011244727</v>
      </c>
      <c r="L14" s="60">
        <f>L13*L12*'40_Customers_Orders'!L8</f>
        <v>109.43246355831161</v>
      </c>
      <c r="M14" s="60">
        <f>M13*M12*'40_Customers_Orders'!M8</f>
        <v>121.74935548829545</v>
      </c>
      <c r="N14" s="60">
        <f>N13*N12*'40_Customers_Orders'!N8</f>
        <v>134.60458173913358</v>
      </c>
      <c r="O14" s="60">
        <f>O13*O12*'40_Customers_Orders'!O8</f>
        <v>148.03744507058485</v>
      </c>
      <c r="P14" s="60">
        <f>P13*P12*'40_Customers_Orders'!P8</f>
        <v>162.08936204875945</v>
      </c>
      <c r="Q14" s="60">
        <f>Q13*Q12*'40_Customers_Orders'!Q8</f>
        <v>176.80399840141538</v>
      </c>
      <c r="R14" s="60">
        <f>R13*R12*'40_Customers_Orders'!R8</f>
        <v>192.22741219702621</v>
      </c>
      <c r="S14" s="60">
        <f>S13*S12*'40_Customers_Orders'!S8</f>
        <v>208.40820532742887</v>
      </c>
      <c r="T14" s="60">
        <f>T13*T12*'40_Customers_Orders'!T8</f>
        <v>225.39768380228725</v>
      </c>
      <c r="U14" s="60">
        <f>U13*U12*'40_Customers_Orders'!U8</f>
        <v>243.25002739375097</v>
      </c>
      <c r="V14" s="60">
        <f>V13*V12*'40_Customers_Orders'!V8</f>
        <v>262.02246920165521</v>
      </c>
      <c r="W14" s="60">
        <f>W13*W12*'40_Customers_Orders'!W8</f>
        <v>281.77548574350129</v>
      </c>
      <c r="X14" s="60">
        <f>X13*X12*'40_Customers_Orders'!X8</f>
        <v>302.57299820939784</v>
      </c>
      <c r="Y14" s="60">
        <f>Y13*Y12*'40_Customers_Orders'!Y8</f>
        <v>324.48258556025189</v>
      </c>
      <c r="Z14" s="60">
        <f>Z13*Z12*'40_Customers_Orders'!Z8</f>
        <v>347.57571018790014</v>
      </c>
      <c r="AA14" s="60">
        <f>AA13*AA12*'40_Customers_Orders'!AA8</f>
        <v>371.92795689871303</v>
      </c>
      <c r="AB14" s="60">
        <f>AB13*AB12*'40_Customers_Orders'!AB8</f>
        <v>397.61928602762123</v>
      </c>
      <c r="AC14" s="60">
        <f>AC13*AC12*'40_Customers_Orders'!AC8</f>
        <v>424.73430153766947</v>
      </c>
      <c r="AD14" s="60">
        <f>AD13*AD12*'40_Customers_Orders'!AD8</f>
        <v>453.36253501125356</v>
      </c>
      <c r="AE14" s="60">
        <f>AE13*AE12*'40_Customers_Orders'!AE8</f>
        <v>483.59874649332141</v>
      </c>
      <c r="AF14" s="60">
        <f>AF13*AF12*'40_Customers_Orders'!AF8</f>
        <v>515.5432432041996</v>
      </c>
      <c r="AG14" s="60">
        <f>AG13*AG12*'40_Customers_Orders'!AG8</f>
        <v>548.55336173258922</v>
      </c>
      <c r="AH14" s="60">
        <f>AH13*AH12*'40_Customers_Orders'!AH8</f>
        <v>580.41159217493055</v>
      </c>
      <c r="AI14" s="60">
        <f>AI13*AI12*'40_Customers_Orders'!AI8</f>
        <v>611.15812966598628</v>
      </c>
      <c r="AJ14" s="60">
        <f>AJ13*AJ12*'40_Customers_Orders'!AJ8</f>
        <v>640.83176673129185</v>
      </c>
      <c r="AK14" s="60">
        <f>AK13*AK12*'40_Customers_Orders'!AK8</f>
        <v>669.4699422312035</v>
      </c>
      <c r="AL14" s="76">
        <f>SUMIF('23_Time'!$B$3:$AK$3, 1,B14:AK14)</f>
        <v>415.06468774733827</v>
      </c>
      <c r="AM14" s="60">
        <f>SUMIF('23_Time'!$B$3:$AK$3, 2,B14:AK14)</f>
        <v>2661.6722546951933</v>
      </c>
      <c r="AN14" s="73">
        <f>SUMIF('23_Time'!$B$3:$AK$3, 3,B14:AK14)</f>
        <v>6044.7865718966805</v>
      </c>
    </row>
    <row r="15" spans="1:40" x14ac:dyDescent="0.3">
      <c r="A15" s="97" t="s">
        <v>165</v>
      </c>
      <c r="B15" s="87">
        <f>B14*'31_Inputs_UnitEconomics'!$C$15</f>
        <v>0</v>
      </c>
      <c r="C15" s="87">
        <f>C14*'31_Inputs_UnitEconomics'!$C$15</f>
        <v>0</v>
      </c>
      <c r="D15" s="87">
        <f>D14*'31_Inputs_UnitEconomics'!$C$15</f>
        <v>0</v>
      </c>
      <c r="E15" s="87">
        <f>E14*'31_Inputs_UnitEconomics'!$C$15</f>
        <v>0</v>
      </c>
      <c r="F15" s="87">
        <f>F14*'31_Inputs_UnitEconomics'!$C$15</f>
        <v>0</v>
      </c>
      <c r="G15" s="87">
        <f>G14*'31_Inputs_UnitEconomics'!$C$15</f>
        <v>0</v>
      </c>
      <c r="H15" s="87">
        <f>H14*'31_Inputs_UnitEconomics'!$C$15</f>
        <v>0</v>
      </c>
      <c r="I15" s="87">
        <f>I14*'31_Inputs_UnitEconomics'!$C$15</f>
        <v>0</v>
      </c>
      <c r="J15" s="87">
        <f>J14*'31_Inputs_UnitEconomics'!$C$15</f>
        <v>155279.30344107567</v>
      </c>
      <c r="K15" s="87">
        <f>K14*'31_Inputs_UnitEconomics'!$C$15</f>
        <v>175709.86022024052</v>
      </c>
      <c r="L15" s="87">
        <f>L14*'31_Inputs_UnitEconomics'!$C$15</f>
        <v>196978.43440496089</v>
      </c>
      <c r="M15" s="87">
        <f>M14*'31_Inputs_UnitEconomics'!$C$15</f>
        <v>219148.83987893182</v>
      </c>
      <c r="N15" s="87">
        <f>N14*'31_Inputs_UnitEconomics'!$C$15</f>
        <v>242288.24713044043</v>
      </c>
      <c r="O15" s="87">
        <f>O14*'31_Inputs_UnitEconomics'!$C$15</f>
        <v>266467.40112705273</v>
      </c>
      <c r="P15" s="87">
        <f>P14*'31_Inputs_UnitEconomics'!$C$15</f>
        <v>291760.85168776702</v>
      </c>
      <c r="Q15" s="87">
        <f>Q14*'31_Inputs_UnitEconomics'!$C$15</f>
        <v>318247.19712254772</v>
      </c>
      <c r="R15" s="87">
        <f>R14*'31_Inputs_UnitEconomics'!$C$15</f>
        <v>346009.34195464716</v>
      </c>
      <c r="S15" s="87">
        <f>S14*'31_Inputs_UnitEconomics'!$C$15</f>
        <v>375134.76958937198</v>
      </c>
      <c r="T15" s="87">
        <f>T14*'31_Inputs_UnitEconomics'!$C$15</f>
        <v>405715.83084411704</v>
      </c>
      <c r="U15" s="87">
        <f>U14*'31_Inputs_UnitEconomics'!$C$15</f>
        <v>437850.04930875177</v>
      </c>
      <c r="V15" s="87">
        <f>V14*'31_Inputs_UnitEconomics'!$C$15</f>
        <v>471640.44456297939</v>
      </c>
      <c r="W15" s="87">
        <f>W14*'31_Inputs_UnitEconomics'!$C$15</f>
        <v>507195.87433830235</v>
      </c>
      <c r="X15" s="87">
        <f>X14*'31_Inputs_UnitEconomics'!$C$15</f>
        <v>544631.39677691611</v>
      </c>
      <c r="Y15" s="87">
        <f>Y14*'31_Inputs_UnitEconomics'!$C$15</f>
        <v>584068.65400845336</v>
      </c>
      <c r="Z15" s="87">
        <f>Z14*'31_Inputs_UnitEconomics'!$C$15</f>
        <v>625636.2783382202</v>
      </c>
      <c r="AA15" s="87">
        <f>AA14*'31_Inputs_UnitEconomics'!$C$15</f>
        <v>669470.32241768343</v>
      </c>
      <c r="AB15" s="87">
        <f>AB14*'31_Inputs_UnitEconomics'!$C$15</f>
        <v>715714.71484971826</v>
      </c>
      <c r="AC15" s="87">
        <f>AC14*'31_Inputs_UnitEconomics'!$C$15</f>
        <v>764521.742767805</v>
      </c>
      <c r="AD15" s="87">
        <f>AD14*'31_Inputs_UnitEconomics'!$C$15</f>
        <v>816052.56302025635</v>
      </c>
      <c r="AE15" s="87">
        <f>AE14*'31_Inputs_UnitEconomics'!$C$15</f>
        <v>870477.7436879786</v>
      </c>
      <c r="AF15" s="87">
        <f>AF14*'31_Inputs_UnitEconomics'!$C$15</f>
        <v>927977.83776755922</v>
      </c>
      <c r="AG15" s="87">
        <f>AG14*'31_Inputs_UnitEconomics'!$C$15</f>
        <v>987396.0511186606</v>
      </c>
      <c r="AH15" s="87">
        <f>AH14*'31_Inputs_UnitEconomics'!$C$15</f>
        <v>1044740.8659148749</v>
      </c>
      <c r="AI15" s="87">
        <f>AI14*'31_Inputs_UnitEconomics'!$C$15</f>
        <v>1100084.6333987752</v>
      </c>
      <c r="AJ15" s="87">
        <f>AJ14*'31_Inputs_UnitEconomics'!$C$15</f>
        <v>1153497.1801163254</v>
      </c>
      <c r="AK15" s="87">
        <f>AK14*'31_Inputs_UnitEconomics'!$C$15</f>
        <v>1205045.8960161663</v>
      </c>
      <c r="AL15" s="76">
        <f>SUMIF('23_Time'!$B$3:$AK$3, 1,B15:AK15)</f>
        <v>747116.43794520898</v>
      </c>
      <c r="AM15" s="60">
        <f>SUMIF('23_Time'!$B$3:$AK$3, 2,B15:AK15)</f>
        <v>4791010.0584513471</v>
      </c>
      <c r="AN15" s="73">
        <f>SUMIF('23_Time'!$B$3:$AK$3, 3,B15:AK15)</f>
        <v>10880615.829414023</v>
      </c>
    </row>
    <row r="16" spans="1:40" x14ac:dyDescent="0.3">
      <c r="A16" s="99" t="s">
        <v>166</v>
      </c>
      <c r="B16" s="154">
        <f>B15*'31_Inputs_UnitEconomics'!$C$16</f>
        <v>0</v>
      </c>
      <c r="C16" s="154">
        <f>C15*'31_Inputs_UnitEconomics'!$C$16</f>
        <v>0</v>
      </c>
      <c r="D16" s="154">
        <f>D15*'31_Inputs_UnitEconomics'!$C$16</f>
        <v>0</v>
      </c>
      <c r="E16" s="154">
        <f>E15*'31_Inputs_UnitEconomics'!$C$16</f>
        <v>0</v>
      </c>
      <c r="F16" s="154">
        <f>F15*'31_Inputs_UnitEconomics'!$C$16</f>
        <v>0</v>
      </c>
      <c r="G16" s="154">
        <f>G15*'31_Inputs_UnitEconomics'!$C$16</f>
        <v>0</v>
      </c>
      <c r="H16" s="154">
        <f>H15*'31_Inputs_UnitEconomics'!$C$16</f>
        <v>0</v>
      </c>
      <c r="I16" s="154">
        <f>I15*'31_Inputs_UnitEconomics'!$C$16</f>
        <v>0</v>
      </c>
      <c r="J16" s="154">
        <f>J15*'31_Inputs_UnitEconomics'!$C$16</f>
        <v>4658.3791032322697</v>
      </c>
      <c r="K16" s="154">
        <f>K15*'31_Inputs_UnitEconomics'!$C$16</f>
        <v>5271.2958066072151</v>
      </c>
      <c r="L16" s="154">
        <f>L15*'31_Inputs_UnitEconomics'!$C$16</f>
        <v>5909.353032148827</v>
      </c>
      <c r="M16" s="154">
        <f>M15*'31_Inputs_UnitEconomics'!$C$16</f>
        <v>6574.4651963679544</v>
      </c>
      <c r="N16" s="154">
        <f>N15*'31_Inputs_UnitEconomics'!$C$16</f>
        <v>7268.6474139132124</v>
      </c>
      <c r="O16" s="154">
        <f>O15*'31_Inputs_UnitEconomics'!$C$16</f>
        <v>7994.0220338115814</v>
      </c>
      <c r="P16" s="154">
        <f>P15*'31_Inputs_UnitEconomics'!$C$16</f>
        <v>8752.8255506330097</v>
      </c>
      <c r="Q16" s="154">
        <f>Q15*'31_Inputs_UnitEconomics'!$C$16</f>
        <v>9547.415913676432</v>
      </c>
      <c r="R16" s="154">
        <f>R15*'31_Inputs_UnitEconomics'!$C$16</f>
        <v>10380.280258639414</v>
      </c>
      <c r="S16" s="154">
        <f>S15*'31_Inputs_UnitEconomics'!$C$16</f>
        <v>11254.043087681159</v>
      </c>
      <c r="T16" s="154">
        <f>T15*'31_Inputs_UnitEconomics'!$C$16</f>
        <v>12171.474925323511</v>
      </c>
      <c r="U16" s="154">
        <f>U15*'31_Inputs_UnitEconomics'!$C$16</f>
        <v>13135.501479262553</v>
      </c>
      <c r="V16" s="154">
        <f>V15*'31_Inputs_UnitEconomics'!$C$16</f>
        <v>14149.213336889381</v>
      </c>
      <c r="W16" s="154">
        <f>W15*'31_Inputs_UnitEconomics'!$C$16</f>
        <v>15215.87623014907</v>
      </c>
      <c r="X16" s="154">
        <f>X15*'31_Inputs_UnitEconomics'!$C$16</f>
        <v>16338.941903307483</v>
      </c>
      <c r="Y16" s="154">
        <f>Y15*'31_Inputs_UnitEconomics'!$C$16</f>
        <v>17522.0596202536</v>
      </c>
      <c r="Z16" s="154">
        <f>Z15*'31_Inputs_UnitEconomics'!$C$16</f>
        <v>18769.088350146605</v>
      </c>
      <c r="AA16" s="154">
        <f>AA15*'31_Inputs_UnitEconomics'!$C$16</f>
        <v>20084.109672530503</v>
      </c>
      <c r="AB16" s="154">
        <f>AB15*'31_Inputs_UnitEconomics'!$C$16</f>
        <v>21471.441445491546</v>
      </c>
      <c r="AC16" s="154">
        <f>AC15*'31_Inputs_UnitEconomics'!$C$16</f>
        <v>22935.652283034149</v>
      </c>
      <c r="AD16" s="154">
        <f>AD15*'31_Inputs_UnitEconomics'!$C$16</f>
        <v>24481.576890607688</v>
      </c>
      <c r="AE16" s="154">
        <f>AE15*'31_Inputs_UnitEconomics'!$C$16</f>
        <v>26114.332310639358</v>
      </c>
      <c r="AF16" s="154">
        <f>AF15*'31_Inputs_UnitEconomics'!$C$16</f>
        <v>27839.335133026776</v>
      </c>
      <c r="AG16" s="154">
        <f>AG15*'31_Inputs_UnitEconomics'!$C$16</f>
        <v>29621.881533559816</v>
      </c>
      <c r="AH16" s="154">
        <f>AH15*'31_Inputs_UnitEconomics'!$C$16</f>
        <v>31342.225977446247</v>
      </c>
      <c r="AI16" s="154">
        <f>AI15*'31_Inputs_UnitEconomics'!$C$16</f>
        <v>33002.539001963254</v>
      </c>
      <c r="AJ16" s="154">
        <f>AJ15*'31_Inputs_UnitEconomics'!$C$16</f>
        <v>34604.915403489758</v>
      </c>
      <c r="AK16" s="154">
        <f>AK15*'31_Inputs_UnitEconomics'!$C$16</f>
        <v>36151.37688048499</v>
      </c>
      <c r="AL16" s="146">
        <f>SUMIF('23_Time'!$B$3:$AK$3, 1,B16:AK16)</f>
        <v>22413.493138356265</v>
      </c>
      <c r="AM16" s="140">
        <f>SUMIF('23_Time'!$B$3:$AK$3, 2,B16:AK16)</f>
        <v>143730.30175354041</v>
      </c>
      <c r="AN16" s="144">
        <f>SUMIF('23_Time'!$B$3:$AK$3, 3,B16:AK16)</f>
        <v>326418.47488242068</v>
      </c>
    </row>
    <row r="17" spans="1:40" ht="15" thickBot="1" x14ac:dyDescent="0.35">
      <c r="A17" s="100" t="s">
        <v>167</v>
      </c>
      <c r="B17" s="133">
        <f>('44_Working_Capital'!B3+'44_Working_Capital'!B6)/2 *'31_Inputs_UnitEconomics'!$C$17</f>
        <v>0</v>
      </c>
      <c r="C17" s="133">
        <f>('44_Working_Capital'!C3+'44_Working_Capital'!C6)/2 *'31_Inputs_UnitEconomics'!$C$17</f>
        <v>0</v>
      </c>
      <c r="D17" s="133">
        <f>('44_Working_Capital'!D3+'44_Working_Capital'!D6)/2 *'31_Inputs_UnitEconomics'!$C$17</f>
        <v>0</v>
      </c>
      <c r="E17" s="133">
        <f>('44_Working_Capital'!E3+'44_Working_Capital'!E6)/2 *'31_Inputs_UnitEconomics'!$C$17</f>
        <v>0</v>
      </c>
      <c r="F17" s="133">
        <f>('44_Working_Capital'!F3+'44_Working_Capital'!F6)/2 *'31_Inputs_UnitEconomics'!$C$17</f>
        <v>0</v>
      </c>
      <c r="G17" s="133">
        <f>('44_Working_Capital'!G3+'44_Working_Capital'!G6)/2 *'31_Inputs_UnitEconomics'!$C$17</f>
        <v>0</v>
      </c>
      <c r="H17" s="133">
        <f>('44_Working_Capital'!H3+'44_Working_Capital'!H6)/2 *'31_Inputs_UnitEconomics'!$C$17</f>
        <v>0</v>
      </c>
      <c r="I17" s="133">
        <f>('44_Working_Capital'!I3+'44_Working_Capital'!I6)/2 *'31_Inputs_UnitEconomics'!$C$17</f>
        <v>0</v>
      </c>
      <c r="J17" s="133">
        <f>('44_Working_Capital'!J3+'44_Working_Capital'!J6)/2 *'31_Inputs_UnitEconomics'!$C$17</f>
        <v>854.03616892591617</v>
      </c>
      <c r="K17" s="133">
        <f>('44_Working_Capital'!K3+'44_Working_Capital'!K6)/2 *'31_Inputs_UnitEconomics'!$C$17</f>
        <v>2603.3068883193287</v>
      </c>
      <c r="L17" s="133">
        <f>('44_Working_Capital'!L3+'44_Working_Capital'!L6)/2 *'31_Inputs_UnitEconomics'!$C$17</f>
        <v>4436.150268064659</v>
      </c>
      <c r="M17" s="133">
        <f>('44_Working_Capital'!M3+'44_Working_Capital'!M6)/2 *'31_Inputs_UnitEconomics'!$C$17</f>
        <v>6355.1710876206798</v>
      </c>
      <c r="N17" s="133">
        <f>('44_Working_Capital'!N3+'44_Working_Capital'!N6)/2 *'31_Inputs_UnitEconomics'!$C$17</f>
        <v>8363.4774755371691</v>
      </c>
      <c r="O17" s="133">
        <f>('44_Working_Capital'!O3+'44_Working_Capital'!O6)/2 *'31_Inputs_UnitEconomics'!$C$17</f>
        <v>10464.677084658619</v>
      </c>
      <c r="P17" s="133">
        <f>('44_Working_Capital'!P3+'44_Working_Capital'!P6)/2 *'31_Inputs_UnitEconomics'!$C$17</f>
        <v>12662.876051418576</v>
      </c>
      <c r="Q17" s="133">
        <f>('44_Working_Capital'!Q3+'44_Working_Capital'!Q6)/2 *'31_Inputs_UnitEconomics'!$C$17</f>
        <v>14962.680648923757</v>
      </c>
      <c r="R17" s="133">
        <f>('44_Working_Capital'!R3+'44_Working_Capital'!R6)/2 *'31_Inputs_UnitEconomics'!$C$17</f>
        <v>17369.201559771351</v>
      </c>
      <c r="S17" s="133">
        <f>('44_Working_Capital'!S3+'44_Working_Capital'!S6)/2 *'31_Inputs_UnitEconomics'!$C$17</f>
        <v>19888.060709949175</v>
      </c>
      <c r="T17" s="133">
        <f>('44_Working_Capital'!T3+'44_Working_Capital'!T6)/2 *'31_Inputs_UnitEconomics'!$C$17</f>
        <v>22525.400619837597</v>
      </c>
      <c r="U17" s="133">
        <f>('44_Working_Capital'!U3+'44_Working_Capital'!U6)/2 *'31_Inputs_UnitEconomics'!$C$17</f>
        <v>25287.896242358576</v>
      </c>
      <c r="V17" s="133">
        <f>('44_Working_Capital'!V3+'44_Working_Capital'!V6)/2 *'31_Inputs_UnitEconomics'!$C$17</f>
        <v>28182.769271789883</v>
      </c>
      <c r="W17" s="133">
        <f>('44_Working_Capital'!W3+'44_Working_Capital'!W6)/2 *'31_Inputs_UnitEconomics'!$C$17</f>
        <v>31217.804919764436</v>
      </c>
      <c r="X17" s="133">
        <f>('44_Working_Capital'!X3+'44_Working_Capital'!X6)/2 *'31_Inputs_UnitEconomics'!$C$17</f>
        <v>34401.371167584432</v>
      </c>
      <c r="Y17" s="133">
        <f>('44_Working_Capital'!Y3+'44_Working_Capital'!Y6)/2 *'31_Inputs_UnitEconomics'!$C$17</f>
        <v>37742.440516271934</v>
      </c>
      <c r="Z17" s="133">
        <f>('44_Working_Capital'!Z3+'44_Working_Capital'!Z6)/2 *'31_Inputs_UnitEconomics'!$C$17</f>
        <v>41250.614267822639</v>
      </c>
      <c r="AA17" s="133">
        <f>('44_Working_Capital'!AA3+'44_Working_Capital'!AA6)/2 *'31_Inputs_UnitEconomics'!$C$17</f>
        <v>44936.149382994889</v>
      </c>
      <c r="AB17" s="133">
        <f>('44_Working_Capital'!AB3+'44_Working_Capital'!AB6)/2 *'31_Inputs_UnitEconomics'!$C$17</f>
        <v>48809.987972716022</v>
      </c>
      <c r="AC17" s="133">
        <f>('44_Working_Capital'!AC3+'44_Working_Capital'!AC6)/2 *'31_Inputs_UnitEconomics'!$C$17</f>
        <v>52883.789491886062</v>
      </c>
      <c r="AD17" s="133">
        <f>('44_Working_Capital'!AD3+'44_Working_Capital'!AD6)/2 *'31_Inputs_UnitEconomics'!$C$17</f>
        <v>57169.965716063227</v>
      </c>
      <c r="AE17" s="133">
        <f>('44_Working_Capital'!AE3+'44_Working_Capital'!AE6)/2 *'31_Inputs_UnitEconomics'!$C$17</f>
        <v>61681.71859328659</v>
      </c>
      <c r="AF17" s="133">
        <f>('44_Working_Capital'!AF3+'44_Working_Capital'!AF6)/2 *'31_Inputs_UnitEconomics'!$C$17</f>
        <v>66433.081075184833</v>
      </c>
      <c r="AG17" s="133">
        <f>('44_Working_Capital'!AG3+'44_Working_Capital'!AG6)/2 *'31_Inputs_UnitEconomics'!$C$17</f>
        <v>71431.547374460308</v>
      </c>
      <c r="AH17" s="133">
        <f>('44_Working_Capital'!AH3+'44_Working_Capital'!AH6)/2 *'31_Inputs_UnitEconomics'!$C$17</f>
        <v>76655.671470273053</v>
      </c>
      <c r="AI17" s="133">
        <f>('44_Working_Capital'!AI3+'44_Working_Capital'!AI6)/2 *'31_Inputs_UnitEconomics'!$C$17</f>
        <v>82064.239093975368</v>
      </c>
      <c r="AJ17" s="133">
        <f>('44_Working_Capital'!AJ3+'44_Working_Capital'!AJ6)/2 *'31_Inputs_UnitEconomics'!$C$17</f>
        <v>87620.252477143818</v>
      </c>
      <c r="AK17" s="133">
        <f>('44_Working_Capital'!AK3+'44_Working_Capital'!AK6)/2 *'31_Inputs_UnitEconomics'!$C$17</f>
        <v>93290.551689443848</v>
      </c>
      <c r="AL17" s="134">
        <f>SUMIF('23_Time'!$B$3:$AK$3, 1,B17:AK17)</f>
        <v>14248.664412930584</v>
      </c>
      <c r="AM17" s="133">
        <f>SUMIF('23_Time'!$B$3:$AK$3, 2,B17:AK17)</f>
        <v>263068.6562678655</v>
      </c>
      <c r="AN17" s="135">
        <f>SUMIF('23_Time'!$B$3:$AK$3, 3,B17:AK17)</f>
        <v>784227.56860525068</v>
      </c>
    </row>
    <row r="18" spans="1:40" ht="15" thickBot="1" x14ac:dyDescent="0.35">
      <c r="A18" s="145" t="s">
        <v>168</v>
      </c>
      <c r="B18" s="129">
        <f>B4+B11+B16+B17</f>
        <v>39610</v>
      </c>
      <c r="C18" s="129">
        <f t="shared" ref="C18:AK18" si="2">C4+C11+C16+C17</f>
        <v>80214.409049999987</v>
      </c>
      <c r="D18" s="129">
        <f t="shared" si="2"/>
        <v>121921.12324620024</v>
      </c>
      <c r="E18" s="129">
        <f t="shared" si="2"/>
        <v>164842.82941052405</v>
      </c>
      <c r="F18" s="129">
        <f t="shared" si="2"/>
        <v>209097.35126384383</v>
      </c>
      <c r="G18" s="129">
        <f t="shared" si="2"/>
        <v>254808.01432022805</v>
      </c>
      <c r="H18" s="129">
        <f t="shared" si="2"/>
        <v>302104.03069698386</v>
      </c>
      <c r="I18" s="129">
        <f t="shared" si="2"/>
        <v>351120.90510446037</v>
      </c>
      <c r="J18" s="129">
        <f t="shared" si="2"/>
        <v>407513.27862516517</v>
      </c>
      <c r="K18" s="129">
        <f t="shared" si="2"/>
        <v>462767.907487327</v>
      </c>
      <c r="L18" s="129">
        <f t="shared" si="2"/>
        <v>520300.78348194563</v>
      </c>
      <c r="M18" s="129">
        <f t="shared" si="2"/>
        <v>580281.63285944541</v>
      </c>
      <c r="N18" s="129">
        <f t="shared" si="2"/>
        <v>642889.47579381289</v>
      </c>
      <c r="O18" s="129">
        <f t="shared" si="2"/>
        <v>708313.19314739562</v>
      </c>
      <c r="P18" s="129">
        <f t="shared" si="2"/>
        <v>776752.12874927069</v>
      </c>
      <c r="Q18" s="129">
        <f t="shared" si="2"/>
        <v>848416.72911319567</v>
      </c>
      <c r="R18" s="129">
        <f t="shared" si="2"/>
        <v>923529.2226565528</v>
      </c>
      <c r="S18" s="129">
        <f t="shared" si="2"/>
        <v>1002324.3406234491</v>
      </c>
      <c r="T18" s="129">
        <f t="shared" si="2"/>
        <v>1085050.0820638197</v>
      </c>
      <c r="U18" s="129">
        <f t="shared" si="2"/>
        <v>1171968.5253765006</v>
      </c>
      <c r="V18" s="129">
        <f t="shared" si="2"/>
        <v>1263356.6890883925</v>
      </c>
      <c r="W18" s="129">
        <f t="shared" si="2"/>
        <v>1359507.4447146296</v>
      </c>
      <c r="X18" s="129">
        <f t="shared" si="2"/>
        <v>1460730.4847266858</v>
      </c>
      <c r="Y18" s="129">
        <f t="shared" si="2"/>
        <v>1567353.3488472989</v>
      </c>
      <c r="Z18" s="129">
        <f t="shared" si="2"/>
        <v>1679722.5120935838</v>
      </c>
      <c r="AA18" s="129">
        <f t="shared" si="2"/>
        <v>1798204.5382035282</v>
      </c>
      <c r="AB18" s="129">
        <f t="shared" si="2"/>
        <v>1923187.3023069226</v>
      </c>
      <c r="AC18" s="129">
        <f t="shared" si="2"/>
        <v>2055081.2869404596</v>
      </c>
      <c r="AD18" s="129">
        <f t="shared" si="2"/>
        <v>2194320.9557591123</v>
      </c>
      <c r="AE18" s="129">
        <f t="shared" si="2"/>
        <v>2341366.2095628041</v>
      </c>
      <c r="AF18" s="129">
        <f t="shared" si="2"/>
        <v>2496703.929539782</v>
      </c>
      <c r="AG18" s="129">
        <f t="shared" si="2"/>
        <v>2657312.0945818862</v>
      </c>
      <c r="AH18" s="129">
        <f t="shared" si="2"/>
        <v>2812715.9169828957</v>
      </c>
      <c r="AI18" s="129">
        <f t="shared" si="2"/>
        <v>2963063.662339434</v>
      </c>
      <c r="AJ18" s="129">
        <f t="shared" si="2"/>
        <v>3108501.2008484537</v>
      </c>
      <c r="AK18" s="129">
        <f t="shared" si="2"/>
        <v>3249171.8593673371</v>
      </c>
      <c r="AL18" s="130">
        <f>SUMIF('23_Time'!$B$3:$AK$3, 1,B18:AK18)</f>
        <v>3494582.2655461235</v>
      </c>
      <c r="AM18" s="131">
        <f>SUMIF('23_Time'!$B$3:$AK$3, 2,B18:AK18)</f>
        <v>12810191.664901003</v>
      </c>
      <c r="AN18" s="132">
        <f>SUMIF('23_Time'!$B$3:$AK$3, 3,B18:AK18)</f>
        <v>29279351.468526199</v>
      </c>
    </row>
  </sheetData>
  <pageMargins left="0.7" right="0.7" top="0.75" bottom="0.75" header="0.3" footer="0.3"/>
  <ignoredErrors>
    <ignoredError sqref="AL4:AN4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E244-D198-4992-ABCB-EE31459CDDD7}">
  <dimension ref="A1:AN13"/>
  <sheetViews>
    <sheetView workbookViewId="0">
      <pane xSplit="1" topLeftCell="AL1" activePane="topRight" state="frozen"/>
      <selection pane="topRight" activeCell="B13" sqref="B13"/>
    </sheetView>
  </sheetViews>
  <sheetFormatPr defaultRowHeight="14.4" x14ac:dyDescent="0.3"/>
  <cols>
    <col min="1" max="1" width="25.5546875" bestFit="1" customWidth="1"/>
    <col min="2" max="37" width="10.44140625" bestFit="1" customWidth="1"/>
    <col min="38" max="40" width="11.44140625" bestFit="1" customWidth="1"/>
  </cols>
  <sheetData>
    <row r="1" spans="1:40" ht="15" thickBot="1" x14ac:dyDescent="0.35">
      <c r="A1" s="95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97" t="str">
        <v>Month Label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  <c r="AL2" s="86" t="s">
        <v>74</v>
      </c>
      <c r="AM2" s="142" t="s">
        <v>75</v>
      </c>
      <c r="AN2" s="143" t="s">
        <v>76</v>
      </c>
    </row>
    <row r="3" spans="1:40" x14ac:dyDescent="0.3">
      <c r="A3" s="95" t="s">
        <v>170</v>
      </c>
      <c r="B3" s="58">
        <f>SUM('33_Inputs_Opex_Headcount'!C8)</f>
        <v>28</v>
      </c>
      <c r="C3" s="58">
        <f>B5</f>
        <v>28</v>
      </c>
      <c r="D3" s="58">
        <f t="shared" ref="D3:AK3" si="0">C5</f>
        <v>30</v>
      </c>
      <c r="E3" s="58">
        <f t="shared" si="0"/>
        <v>32</v>
      </c>
      <c r="F3" s="58">
        <f t="shared" si="0"/>
        <v>34</v>
      </c>
      <c r="G3" s="58">
        <f t="shared" si="0"/>
        <v>36</v>
      </c>
      <c r="H3" s="58">
        <f t="shared" si="0"/>
        <v>38</v>
      </c>
      <c r="I3" s="58">
        <f t="shared" si="0"/>
        <v>40</v>
      </c>
      <c r="J3" s="58">
        <f t="shared" si="0"/>
        <v>42</v>
      </c>
      <c r="K3" s="58">
        <f t="shared" si="0"/>
        <v>44</v>
      </c>
      <c r="L3" s="58">
        <f t="shared" si="0"/>
        <v>46</v>
      </c>
      <c r="M3" s="58">
        <f t="shared" si="0"/>
        <v>48</v>
      </c>
      <c r="N3" s="58">
        <f t="shared" si="0"/>
        <v>50</v>
      </c>
      <c r="O3" s="58">
        <f t="shared" si="0"/>
        <v>51</v>
      </c>
      <c r="P3" s="58">
        <f t="shared" si="0"/>
        <v>52</v>
      </c>
      <c r="Q3" s="58">
        <f t="shared" si="0"/>
        <v>53</v>
      </c>
      <c r="R3" s="58">
        <f t="shared" si="0"/>
        <v>54</v>
      </c>
      <c r="S3" s="58">
        <f t="shared" si="0"/>
        <v>55</v>
      </c>
      <c r="T3" s="58">
        <f t="shared" si="0"/>
        <v>56</v>
      </c>
      <c r="U3" s="58">
        <f t="shared" si="0"/>
        <v>57</v>
      </c>
      <c r="V3" s="58">
        <f t="shared" si="0"/>
        <v>58</v>
      </c>
      <c r="W3" s="58">
        <f t="shared" si="0"/>
        <v>59</v>
      </c>
      <c r="X3" s="58">
        <f t="shared" si="0"/>
        <v>60</v>
      </c>
      <c r="Y3" s="58">
        <f t="shared" si="0"/>
        <v>61</v>
      </c>
      <c r="Z3" s="58">
        <f t="shared" si="0"/>
        <v>62</v>
      </c>
      <c r="AA3" s="58">
        <f t="shared" si="0"/>
        <v>63</v>
      </c>
      <c r="AB3" s="58">
        <f t="shared" si="0"/>
        <v>64</v>
      </c>
      <c r="AC3" s="58">
        <f t="shared" si="0"/>
        <v>65</v>
      </c>
      <c r="AD3" s="58">
        <f t="shared" si="0"/>
        <v>66</v>
      </c>
      <c r="AE3" s="58">
        <f t="shared" si="0"/>
        <v>67</v>
      </c>
      <c r="AF3" s="58">
        <f t="shared" si="0"/>
        <v>68</v>
      </c>
      <c r="AG3" s="58">
        <f t="shared" si="0"/>
        <v>69</v>
      </c>
      <c r="AH3" s="58">
        <f t="shared" si="0"/>
        <v>70</v>
      </c>
      <c r="AI3" s="58">
        <f t="shared" si="0"/>
        <v>71</v>
      </c>
      <c r="AJ3" s="58">
        <f t="shared" si="0"/>
        <v>72</v>
      </c>
      <c r="AK3" s="58">
        <f t="shared" si="0"/>
        <v>73</v>
      </c>
      <c r="AL3" s="56">
        <f>B3</f>
        <v>28</v>
      </c>
      <c r="AM3" s="58">
        <f>N3</f>
        <v>50</v>
      </c>
      <c r="AN3" s="69">
        <f>Z3</f>
        <v>62</v>
      </c>
    </row>
    <row r="4" spans="1:40" x14ac:dyDescent="0.3">
      <c r="A4" s="97" t="s">
        <v>171</v>
      </c>
      <c r="B4">
        <f>'33_Inputs_Opex_Headcount'!B14</f>
        <v>0</v>
      </c>
      <c r="C4">
        <f>'33_Inputs_Opex_Headcount'!C14</f>
        <v>2</v>
      </c>
      <c r="D4">
        <f>'33_Inputs_Opex_Headcount'!D14</f>
        <v>2</v>
      </c>
      <c r="E4">
        <f>'33_Inputs_Opex_Headcount'!E14</f>
        <v>2</v>
      </c>
      <c r="F4">
        <f>'33_Inputs_Opex_Headcount'!F14</f>
        <v>2</v>
      </c>
      <c r="G4">
        <f>'33_Inputs_Opex_Headcount'!G14</f>
        <v>2</v>
      </c>
      <c r="H4">
        <f>'33_Inputs_Opex_Headcount'!H14</f>
        <v>2</v>
      </c>
      <c r="I4">
        <f>'33_Inputs_Opex_Headcount'!I14</f>
        <v>2</v>
      </c>
      <c r="J4">
        <f>'33_Inputs_Opex_Headcount'!J14</f>
        <v>2</v>
      </c>
      <c r="K4">
        <f>'33_Inputs_Opex_Headcount'!K14</f>
        <v>2</v>
      </c>
      <c r="L4">
        <f>'33_Inputs_Opex_Headcount'!L14</f>
        <v>2</v>
      </c>
      <c r="M4">
        <f>'33_Inputs_Opex_Headcount'!M14</f>
        <v>2</v>
      </c>
      <c r="N4">
        <f>'33_Inputs_Opex_Headcount'!N14</f>
        <v>1</v>
      </c>
      <c r="O4">
        <f>'33_Inputs_Opex_Headcount'!O14</f>
        <v>1</v>
      </c>
      <c r="P4">
        <f>'33_Inputs_Opex_Headcount'!P14</f>
        <v>1</v>
      </c>
      <c r="Q4">
        <f>'33_Inputs_Opex_Headcount'!Q14</f>
        <v>1</v>
      </c>
      <c r="R4">
        <f>'33_Inputs_Opex_Headcount'!R14</f>
        <v>1</v>
      </c>
      <c r="S4">
        <f>'33_Inputs_Opex_Headcount'!S14</f>
        <v>1</v>
      </c>
      <c r="T4">
        <f>'33_Inputs_Opex_Headcount'!T14</f>
        <v>1</v>
      </c>
      <c r="U4">
        <f>'33_Inputs_Opex_Headcount'!U14</f>
        <v>1</v>
      </c>
      <c r="V4">
        <f>'33_Inputs_Opex_Headcount'!V14</f>
        <v>1</v>
      </c>
      <c r="W4">
        <f>'33_Inputs_Opex_Headcount'!W14</f>
        <v>1</v>
      </c>
      <c r="X4">
        <f>'33_Inputs_Opex_Headcount'!X14</f>
        <v>1</v>
      </c>
      <c r="Y4">
        <f>'33_Inputs_Opex_Headcount'!Y14</f>
        <v>1</v>
      </c>
      <c r="Z4">
        <f>'33_Inputs_Opex_Headcount'!Z14</f>
        <v>1</v>
      </c>
      <c r="AA4">
        <f>'33_Inputs_Opex_Headcount'!AA14</f>
        <v>1</v>
      </c>
      <c r="AB4">
        <f>'33_Inputs_Opex_Headcount'!AB14</f>
        <v>1</v>
      </c>
      <c r="AC4">
        <f>'33_Inputs_Opex_Headcount'!AC14</f>
        <v>1</v>
      </c>
      <c r="AD4">
        <f>'33_Inputs_Opex_Headcount'!AD14</f>
        <v>1</v>
      </c>
      <c r="AE4">
        <f>'33_Inputs_Opex_Headcount'!AE14</f>
        <v>1</v>
      </c>
      <c r="AF4">
        <f>'33_Inputs_Opex_Headcount'!AF14</f>
        <v>1</v>
      </c>
      <c r="AG4">
        <f>'33_Inputs_Opex_Headcount'!AG14</f>
        <v>1</v>
      </c>
      <c r="AH4">
        <f>'33_Inputs_Opex_Headcount'!AH14</f>
        <v>1</v>
      </c>
      <c r="AI4">
        <f>'33_Inputs_Opex_Headcount'!AI14</f>
        <v>1</v>
      </c>
      <c r="AJ4">
        <f>'33_Inputs_Opex_Headcount'!AJ14</f>
        <v>1</v>
      </c>
      <c r="AK4">
        <f>'33_Inputs_Opex_Headcount'!AK14</f>
        <v>1</v>
      </c>
      <c r="AL4" s="59">
        <f>SUMIF('23_Time'!$B$3:$AK$3, 1,B4:AK4)</f>
        <v>22</v>
      </c>
      <c r="AM4">
        <f>SUMIF('23_Time'!$B$3:$AK$3, 2,B4:AK4)</f>
        <v>12</v>
      </c>
      <c r="AN4" s="71">
        <f>SUMIF('23_Time'!$B$3:$AK$3, 3,B4:AK4)</f>
        <v>12</v>
      </c>
    </row>
    <row r="5" spans="1:40" ht="15" thickBot="1" x14ac:dyDescent="0.35">
      <c r="A5" s="96" t="s">
        <v>172</v>
      </c>
      <c r="B5" s="63">
        <f>SUM(B3:B4)</f>
        <v>28</v>
      </c>
      <c r="C5" s="63">
        <f>SUM(C3:C4)</f>
        <v>30</v>
      </c>
      <c r="D5" s="63">
        <f t="shared" ref="D5:AK5" si="1">SUM(D3:D4)</f>
        <v>32</v>
      </c>
      <c r="E5" s="63">
        <f t="shared" si="1"/>
        <v>34</v>
      </c>
      <c r="F5" s="63">
        <f t="shared" si="1"/>
        <v>36</v>
      </c>
      <c r="G5" s="63">
        <f t="shared" si="1"/>
        <v>38</v>
      </c>
      <c r="H5" s="63">
        <f t="shared" si="1"/>
        <v>40</v>
      </c>
      <c r="I5" s="63">
        <f t="shared" si="1"/>
        <v>42</v>
      </c>
      <c r="J5" s="63">
        <f t="shared" si="1"/>
        <v>44</v>
      </c>
      <c r="K5" s="63">
        <f t="shared" si="1"/>
        <v>46</v>
      </c>
      <c r="L5" s="63">
        <f t="shared" si="1"/>
        <v>48</v>
      </c>
      <c r="M5" s="63">
        <f t="shared" si="1"/>
        <v>50</v>
      </c>
      <c r="N5" s="63">
        <f t="shared" si="1"/>
        <v>51</v>
      </c>
      <c r="O5" s="63">
        <f t="shared" si="1"/>
        <v>52</v>
      </c>
      <c r="P5" s="63">
        <f t="shared" si="1"/>
        <v>53</v>
      </c>
      <c r="Q5" s="63">
        <f t="shared" si="1"/>
        <v>54</v>
      </c>
      <c r="R5" s="63">
        <f t="shared" si="1"/>
        <v>55</v>
      </c>
      <c r="S5" s="63">
        <f t="shared" si="1"/>
        <v>56</v>
      </c>
      <c r="T5" s="63">
        <f t="shared" si="1"/>
        <v>57</v>
      </c>
      <c r="U5" s="63">
        <f t="shared" si="1"/>
        <v>58</v>
      </c>
      <c r="V5" s="63">
        <f t="shared" si="1"/>
        <v>59</v>
      </c>
      <c r="W5" s="63">
        <f t="shared" si="1"/>
        <v>60</v>
      </c>
      <c r="X5" s="63">
        <f t="shared" si="1"/>
        <v>61</v>
      </c>
      <c r="Y5" s="63">
        <f t="shared" si="1"/>
        <v>62</v>
      </c>
      <c r="Z5" s="63">
        <f t="shared" si="1"/>
        <v>63</v>
      </c>
      <c r="AA5" s="63">
        <f t="shared" si="1"/>
        <v>64</v>
      </c>
      <c r="AB5" s="63">
        <f t="shared" si="1"/>
        <v>65</v>
      </c>
      <c r="AC5" s="63">
        <f t="shared" si="1"/>
        <v>66</v>
      </c>
      <c r="AD5" s="63">
        <f t="shared" si="1"/>
        <v>67</v>
      </c>
      <c r="AE5" s="63">
        <f t="shared" si="1"/>
        <v>68</v>
      </c>
      <c r="AF5" s="63">
        <f t="shared" si="1"/>
        <v>69</v>
      </c>
      <c r="AG5" s="63">
        <f t="shared" si="1"/>
        <v>70</v>
      </c>
      <c r="AH5" s="63">
        <f t="shared" si="1"/>
        <v>71</v>
      </c>
      <c r="AI5" s="63">
        <f t="shared" si="1"/>
        <v>72</v>
      </c>
      <c r="AJ5" s="63">
        <f t="shared" si="1"/>
        <v>73</v>
      </c>
      <c r="AK5" s="63">
        <f t="shared" si="1"/>
        <v>74</v>
      </c>
      <c r="AL5" s="61">
        <f>M5</f>
        <v>50</v>
      </c>
      <c r="AM5" s="63">
        <f>Y5</f>
        <v>62</v>
      </c>
      <c r="AN5" s="70">
        <f>AK5</f>
        <v>74</v>
      </c>
    </row>
    <row r="6" spans="1:40" x14ac:dyDescent="0.3">
      <c r="A6" s="95" t="s">
        <v>175</v>
      </c>
      <c r="B6" s="57">
        <f>B5*'33_Inputs_Opex_Headcount'!$D$8*(1+'33_Inputs_Opex_Headcount'!$G$8)</f>
        <v>685400</v>
      </c>
      <c r="C6" s="57">
        <f>C5*'33_Inputs_Opex_Headcount'!$D$8*(1+'33_Inputs_Opex_Headcount'!$G$8)</f>
        <v>734357.14285714284</v>
      </c>
      <c r="D6" s="57">
        <f>D5*'33_Inputs_Opex_Headcount'!$D$8*(1+'33_Inputs_Opex_Headcount'!$G$8)</f>
        <v>783314.28571428568</v>
      </c>
      <c r="E6" s="57">
        <f>E5*'33_Inputs_Opex_Headcount'!$D$8*(1+'33_Inputs_Opex_Headcount'!$G$8)</f>
        <v>832271.42857142852</v>
      </c>
      <c r="F6" s="57">
        <f>F5*'33_Inputs_Opex_Headcount'!$D$8*(1+'33_Inputs_Opex_Headcount'!$G$8)</f>
        <v>881228.57142857136</v>
      </c>
      <c r="G6" s="57">
        <f>G5*'33_Inputs_Opex_Headcount'!$D$8*(1+'33_Inputs_Opex_Headcount'!$G$8)</f>
        <v>930185.7142857142</v>
      </c>
      <c r="H6" s="57">
        <f>H5*'33_Inputs_Opex_Headcount'!$D$8*(1+'33_Inputs_Opex_Headcount'!$G$8)</f>
        <v>979142.85714285716</v>
      </c>
      <c r="I6" s="57">
        <f>I5*'33_Inputs_Opex_Headcount'!$D$8*(1+'33_Inputs_Opex_Headcount'!$G$8)</f>
        <v>1028099.9999999999</v>
      </c>
      <c r="J6" s="57">
        <f>J5*'33_Inputs_Opex_Headcount'!$D$8*(1+'33_Inputs_Opex_Headcount'!$G$8)</f>
        <v>1077057.142857143</v>
      </c>
      <c r="K6" s="57">
        <f>K5*'33_Inputs_Opex_Headcount'!$D$8*(1+'33_Inputs_Opex_Headcount'!$G$8)</f>
        <v>1126014.2857142857</v>
      </c>
      <c r="L6" s="57">
        <f>L5*'33_Inputs_Opex_Headcount'!$D$8*(1+'33_Inputs_Opex_Headcount'!$G$8)</f>
        <v>1174971.4285714284</v>
      </c>
      <c r="M6" s="57">
        <f>M5*'33_Inputs_Opex_Headcount'!$D$8*(1+'33_Inputs_Opex_Headcount'!$G$8)</f>
        <v>1223928.5714285714</v>
      </c>
      <c r="N6" s="57">
        <f>N5*'33_Inputs_Opex_Headcount'!$D$8*(1+'33_Inputs_Opex_Headcount'!$G$8)</f>
        <v>1248407.1428571427</v>
      </c>
      <c r="O6" s="57">
        <f>O5*'33_Inputs_Opex_Headcount'!$D$8*(1+'33_Inputs_Opex_Headcount'!$G$8)</f>
        <v>1272885.7142857143</v>
      </c>
      <c r="P6" s="57">
        <f>P5*'33_Inputs_Opex_Headcount'!$D$8*(1+'33_Inputs_Opex_Headcount'!$G$8)</f>
        <v>1297364.2857142857</v>
      </c>
      <c r="Q6" s="57">
        <f>Q5*'33_Inputs_Opex_Headcount'!$D$8*(1+'33_Inputs_Opex_Headcount'!$G$8)</f>
        <v>1321842.857142857</v>
      </c>
      <c r="R6" s="57">
        <f>R5*'33_Inputs_Opex_Headcount'!$D$8*(1+'33_Inputs_Opex_Headcount'!$G$8)</f>
        <v>1346321.4285714284</v>
      </c>
      <c r="S6" s="57">
        <f>S5*'33_Inputs_Opex_Headcount'!$D$8*(1+'33_Inputs_Opex_Headcount'!$G$8)</f>
        <v>1370800</v>
      </c>
      <c r="T6" s="57">
        <f>T5*'33_Inputs_Opex_Headcount'!$D$8*(1+'33_Inputs_Opex_Headcount'!$G$8)</f>
        <v>1395278.5714285714</v>
      </c>
      <c r="U6" s="57">
        <f>U5*'33_Inputs_Opex_Headcount'!$D$8*(1+'33_Inputs_Opex_Headcount'!$G$8)</f>
        <v>1419757.1428571427</v>
      </c>
      <c r="V6" s="57">
        <f>V5*'33_Inputs_Opex_Headcount'!$D$8*(1+'33_Inputs_Opex_Headcount'!$G$8)</f>
        <v>1444235.7142857143</v>
      </c>
      <c r="W6" s="57">
        <f>W5*'33_Inputs_Opex_Headcount'!$D$8*(1+'33_Inputs_Opex_Headcount'!$G$8)</f>
        <v>1468714.2857142857</v>
      </c>
      <c r="X6" s="57">
        <f>X5*'33_Inputs_Opex_Headcount'!$D$8*(1+'33_Inputs_Opex_Headcount'!$G$8)</f>
        <v>1493192.857142857</v>
      </c>
      <c r="Y6" s="57">
        <f>Y5*'33_Inputs_Opex_Headcount'!$D$8*(1+'33_Inputs_Opex_Headcount'!$G$8)</f>
        <v>1517671.4285714284</v>
      </c>
      <c r="Z6" s="57">
        <f>Z5*'33_Inputs_Opex_Headcount'!$D$8*(1+'33_Inputs_Opex_Headcount'!$G$8)</f>
        <v>1542149.9999999998</v>
      </c>
      <c r="AA6" s="57">
        <f>AA5*'33_Inputs_Opex_Headcount'!$D$8*(1+'33_Inputs_Opex_Headcount'!$G$8)</f>
        <v>1566628.5714285714</v>
      </c>
      <c r="AB6" s="57">
        <f>AB5*'33_Inputs_Opex_Headcount'!$D$8*(1+'33_Inputs_Opex_Headcount'!$G$8)</f>
        <v>1591107.1428571427</v>
      </c>
      <c r="AC6" s="57">
        <f>AC5*'33_Inputs_Opex_Headcount'!$D$8*(1+'33_Inputs_Opex_Headcount'!$G$8)</f>
        <v>1615585.7142857143</v>
      </c>
      <c r="AD6" s="57">
        <f>AD5*'33_Inputs_Opex_Headcount'!$D$8*(1+'33_Inputs_Opex_Headcount'!$G$8)</f>
        <v>1640064.2857142857</v>
      </c>
      <c r="AE6" s="57">
        <f>AE5*'33_Inputs_Opex_Headcount'!$D$8*(1+'33_Inputs_Opex_Headcount'!$G$8)</f>
        <v>1664542.857142857</v>
      </c>
      <c r="AF6" s="57">
        <f>AF5*'33_Inputs_Opex_Headcount'!$D$8*(1+'33_Inputs_Opex_Headcount'!$G$8)</f>
        <v>1689021.4285714284</v>
      </c>
      <c r="AG6" s="57">
        <f>AG5*'33_Inputs_Opex_Headcount'!$D$8*(1+'33_Inputs_Opex_Headcount'!$G$8)</f>
        <v>1713499.9999999998</v>
      </c>
      <c r="AH6" s="57">
        <f>AH5*'33_Inputs_Opex_Headcount'!$D$8*(1+'33_Inputs_Opex_Headcount'!$G$8)</f>
        <v>1737978.5714285714</v>
      </c>
      <c r="AI6" s="57">
        <f>AI5*'33_Inputs_Opex_Headcount'!$D$8*(1+'33_Inputs_Opex_Headcount'!$G$8)</f>
        <v>1762457.1428571427</v>
      </c>
      <c r="AJ6" s="57">
        <f>AJ5*'33_Inputs_Opex_Headcount'!$D$8*(1+'33_Inputs_Opex_Headcount'!$G$8)</f>
        <v>1786935.7142857143</v>
      </c>
      <c r="AK6" s="57">
        <f>AK5*'33_Inputs_Opex_Headcount'!$D$8*(1+'33_Inputs_Opex_Headcount'!$G$8)</f>
        <v>1811414.2857142857</v>
      </c>
      <c r="AL6" s="147">
        <f>SUMIF('23_Time'!$B$3:$AK$3, 1,B6:AK6)</f>
        <v>11455971.428571429</v>
      </c>
      <c r="AM6" s="148">
        <f>SUMIF('23_Time'!$B$3:$AK$3, 2,B6:AK6)</f>
        <v>16596471.428571427</v>
      </c>
      <c r="AN6" s="149">
        <f>SUMIF('23_Time'!$B$3:$AK$3, 3,B6:AK6)</f>
        <v>20121385.714285713</v>
      </c>
    </row>
    <row r="7" spans="1:40" x14ac:dyDescent="0.3">
      <c r="A7" s="97" t="s">
        <v>169</v>
      </c>
      <c r="B7" s="94">
        <f>'40_Customers_Orders'!B8*'31_Inputs_UnitEconomics'!$C$22</f>
        <v>2040</v>
      </c>
      <c r="C7" s="94">
        <f>'40_Customers_Orders'!C8*'31_Inputs_UnitEconomics'!$C$22</f>
        <v>4131.2141999999994</v>
      </c>
      <c r="D7" s="94">
        <f>'40_Customers_Orders'!D8*'31_Inputs_UnitEconomics'!$C$22</f>
        <v>6279.1994804909991</v>
      </c>
      <c r="E7" s="94">
        <f>'40_Customers_Orders'!E8*'31_Inputs_UnitEconomics'!$C$22</f>
        <v>8489.7594546192649</v>
      </c>
      <c r="F7" s="94">
        <f>'40_Customers_Orders'!F8*'31_Inputs_UnitEconomics'!$C$22</f>
        <v>10768.962296850326</v>
      </c>
      <c r="G7" s="94">
        <f>'40_Customers_Orders'!G8*'31_Inputs_UnitEconomics'!$C$22</f>
        <v>13123.159535805737</v>
      </c>
      <c r="H7" s="94">
        <f>'40_Customers_Orders'!H8*'31_Inputs_UnitEconomics'!$C$22</f>
        <v>15559.005872806036</v>
      </c>
      <c r="I7" s="94">
        <f>'40_Customers_Orders'!I8*'31_Inputs_UnitEconomics'!$C$22</f>
        <v>18083.480091216843</v>
      </c>
      <c r="J7" s="94">
        <f>'40_Customers_Orders'!J8*'31_Inputs_UnitEconomics'!$C$22</f>
        <v>20703.907125476751</v>
      </c>
      <c r="K7" s="94">
        <f>'40_Customers_Orders'!K8*'31_Inputs_UnitEconomics'!$C$22</f>
        <v>23427.981362698734</v>
      </c>
      <c r="L7" s="94">
        <f>'40_Customers_Orders'!L8*'31_Inputs_UnitEconomics'!$C$22</f>
        <v>26263.791253994787</v>
      </c>
      <c r="M7" s="94">
        <f>'40_Customers_Orders'!M8*'31_Inputs_UnitEconomics'!$C$22</f>
        <v>29219.845317190906</v>
      </c>
      <c r="N7" s="94">
        <f>'40_Customers_Orders'!N8*'31_Inputs_UnitEconomics'!$C$22</f>
        <v>32305.099617392058</v>
      </c>
      <c r="O7" s="94">
        <f>'40_Customers_Orders'!O8*'31_Inputs_UnitEconomics'!$C$22</f>
        <v>35528.986816940356</v>
      </c>
      <c r="P7" s="94">
        <f>'40_Customers_Orders'!P8*'31_Inputs_UnitEconomics'!$C$22</f>
        <v>38901.446891702268</v>
      </c>
      <c r="Q7" s="94">
        <f>'40_Customers_Orders'!Q8*'31_Inputs_UnitEconomics'!$C$22</f>
        <v>42432.959616339685</v>
      </c>
      <c r="R7" s="94">
        <f>'40_Customers_Orders'!R8*'31_Inputs_UnitEconomics'!$C$22</f>
        <v>46134.578927286289</v>
      </c>
      <c r="S7" s="94">
        <f>'40_Customers_Orders'!S8*'31_Inputs_UnitEconomics'!$C$22</f>
        <v>50017.969278582932</v>
      </c>
      <c r="T7" s="94">
        <f>'40_Customers_Orders'!T8*'31_Inputs_UnitEconomics'!$C$22</f>
        <v>54095.444112548939</v>
      </c>
      <c r="U7" s="94">
        <f>'40_Customers_Orders'!U8*'31_Inputs_UnitEconomics'!$C$22</f>
        <v>58380.006574500228</v>
      </c>
      <c r="V7" s="94">
        <f>'40_Customers_Orders'!V8*'31_Inputs_UnitEconomics'!$C$22</f>
        <v>62885.392608397247</v>
      </c>
      <c r="W7" s="94">
        <f>'40_Customers_Orders'!W8*'31_Inputs_UnitEconomics'!$C$22</f>
        <v>67626.116578440298</v>
      </c>
      <c r="X7" s="94">
        <f>'40_Customers_Orders'!X8*'31_Inputs_UnitEconomics'!$C$22</f>
        <v>72617.519570255477</v>
      </c>
      <c r="Y7" s="94">
        <f>'40_Customers_Orders'!Y8*'31_Inputs_UnitEconomics'!$C$22</f>
        <v>77875.82053446045</v>
      </c>
      <c r="Z7" s="94">
        <f>'40_Customers_Orders'!Z8*'31_Inputs_UnitEconomics'!$C$22</f>
        <v>83418.170445096024</v>
      </c>
      <c r="AA7" s="94">
        <f>'40_Customers_Orders'!AA8*'31_Inputs_UnitEconomics'!$C$22</f>
        <v>89262.709655691127</v>
      </c>
      <c r="AB7" s="94">
        <f>'40_Customers_Orders'!AB8*'31_Inputs_UnitEconomics'!$C$22</f>
        <v>95428.628646629091</v>
      </c>
      <c r="AC7" s="94">
        <f>'40_Customers_Orders'!AC8*'31_Inputs_UnitEconomics'!$C$22</f>
        <v>101936.23236904066</v>
      </c>
      <c r="AD7" s="94">
        <f>'40_Customers_Orders'!AD8*'31_Inputs_UnitEconomics'!$C$22</f>
        <v>108807.00840270086</v>
      </c>
      <c r="AE7" s="94">
        <f>'40_Customers_Orders'!AE8*'31_Inputs_UnitEconomics'!$C$22</f>
        <v>116063.69915839712</v>
      </c>
      <c r="AF7" s="94">
        <f>'40_Customers_Orders'!AF8*'31_Inputs_UnitEconomics'!$C$22</f>
        <v>123730.3783690079</v>
      </c>
      <c r="AG7" s="94">
        <f>'40_Customers_Orders'!AG8*'31_Inputs_UnitEconomics'!$C$22</f>
        <v>131652.80681582139</v>
      </c>
      <c r="AH7" s="94">
        <f>'40_Customers_Orders'!AH8*'31_Inputs_UnitEconomics'!$C$22</f>
        <v>139298.7821219833</v>
      </c>
      <c r="AI7" s="94">
        <f>'40_Customers_Orders'!AI8*'31_Inputs_UnitEconomics'!$C$22</f>
        <v>146677.95111983671</v>
      </c>
      <c r="AJ7" s="94">
        <f>'40_Customers_Orders'!AJ8*'31_Inputs_UnitEconomics'!$C$22</f>
        <v>153799.62401551002</v>
      </c>
      <c r="AK7" s="94">
        <f>'40_Customers_Orders'!AK8*'31_Inputs_UnitEconomics'!$C$22</f>
        <v>160672.78613548883</v>
      </c>
      <c r="AL7" s="150">
        <f>SUMIF('23_Time'!$B$3:$AK$3, 1,B7:AK7)</f>
        <v>178090.30599115038</v>
      </c>
      <c r="AM7" s="151">
        <f>SUMIF('23_Time'!$B$3:$AK$3, 2,B7:AK7)</f>
        <v>638801.34112684627</v>
      </c>
      <c r="AN7" s="152">
        <f>SUMIF('23_Time'!$B$3:$AK$3, 3,B7:AK7)</f>
        <v>1450748.7772552033</v>
      </c>
    </row>
    <row r="8" spans="1:40" ht="15" thickBot="1" x14ac:dyDescent="0.35">
      <c r="A8" s="97" t="s">
        <v>178</v>
      </c>
      <c r="B8" s="106">
        <f>'34_Inputs_Opex_NonPeople'!$H$7</f>
        <v>310000</v>
      </c>
      <c r="C8" s="106">
        <f>'34_Inputs_Opex_NonPeople'!$H$7</f>
        <v>310000</v>
      </c>
      <c r="D8" s="106">
        <f>'34_Inputs_Opex_NonPeople'!$H$7</f>
        <v>310000</v>
      </c>
      <c r="E8" s="106">
        <f>'34_Inputs_Opex_NonPeople'!$H$7</f>
        <v>310000</v>
      </c>
      <c r="F8" s="106">
        <f>'34_Inputs_Opex_NonPeople'!$H$7</f>
        <v>310000</v>
      </c>
      <c r="G8" s="106">
        <f>'34_Inputs_Opex_NonPeople'!$H$7</f>
        <v>310000</v>
      </c>
      <c r="H8" s="106">
        <f>'34_Inputs_Opex_NonPeople'!$H$7</f>
        <v>310000</v>
      </c>
      <c r="I8" s="106">
        <f>'34_Inputs_Opex_NonPeople'!$H$7</f>
        <v>310000</v>
      </c>
      <c r="J8" s="106">
        <f>'34_Inputs_Opex_NonPeople'!$H$7</f>
        <v>310000</v>
      </c>
      <c r="K8" s="106">
        <f>'34_Inputs_Opex_NonPeople'!$H$7</f>
        <v>310000</v>
      </c>
      <c r="L8" s="106">
        <f>'34_Inputs_Opex_NonPeople'!$H$7</f>
        <v>310000</v>
      </c>
      <c r="M8" s="106">
        <f>'34_Inputs_Opex_NonPeople'!$H$7</f>
        <v>310000</v>
      </c>
      <c r="N8" s="106">
        <f>'34_Inputs_Opex_NonPeople'!$H$7</f>
        <v>310000</v>
      </c>
      <c r="O8" s="106">
        <f>'34_Inputs_Opex_NonPeople'!$H$7</f>
        <v>310000</v>
      </c>
      <c r="P8" s="106">
        <f>'34_Inputs_Opex_NonPeople'!$H$7</f>
        <v>310000</v>
      </c>
      <c r="Q8" s="106">
        <f>'34_Inputs_Opex_NonPeople'!$H$7</f>
        <v>310000</v>
      </c>
      <c r="R8" s="106">
        <f>'34_Inputs_Opex_NonPeople'!$H$7</f>
        <v>310000</v>
      </c>
      <c r="S8" s="106">
        <f>'34_Inputs_Opex_NonPeople'!$H$7</f>
        <v>310000</v>
      </c>
      <c r="T8" s="106">
        <f>'34_Inputs_Opex_NonPeople'!$H$7</f>
        <v>310000</v>
      </c>
      <c r="U8" s="106">
        <f>'34_Inputs_Opex_NonPeople'!$H$7</f>
        <v>310000</v>
      </c>
      <c r="V8" s="106">
        <f>'34_Inputs_Opex_NonPeople'!$H$7</f>
        <v>310000</v>
      </c>
      <c r="W8" s="106">
        <f>'34_Inputs_Opex_NonPeople'!$H$7</f>
        <v>310000</v>
      </c>
      <c r="X8" s="106">
        <f>'34_Inputs_Opex_NonPeople'!$H$7</f>
        <v>310000</v>
      </c>
      <c r="Y8" s="106">
        <f>'34_Inputs_Opex_NonPeople'!$H$7</f>
        <v>310000</v>
      </c>
      <c r="Z8" s="106">
        <f>'34_Inputs_Opex_NonPeople'!$H$7</f>
        <v>310000</v>
      </c>
      <c r="AA8" s="106">
        <f>'34_Inputs_Opex_NonPeople'!$H$7</f>
        <v>310000</v>
      </c>
      <c r="AB8" s="106">
        <f>'34_Inputs_Opex_NonPeople'!$H$7</f>
        <v>310000</v>
      </c>
      <c r="AC8" s="106">
        <f>'34_Inputs_Opex_NonPeople'!$H$7</f>
        <v>310000</v>
      </c>
      <c r="AD8" s="106">
        <f>'34_Inputs_Opex_NonPeople'!$H$7</f>
        <v>310000</v>
      </c>
      <c r="AE8" s="106">
        <f>'34_Inputs_Opex_NonPeople'!$H$7</f>
        <v>310000</v>
      </c>
      <c r="AF8" s="106">
        <f>'34_Inputs_Opex_NonPeople'!$H$7</f>
        <v>310000</v>
      </c>
      <c r="AG8" s="106">
        <f>'34_Inputs_Opex_NonPeople'!$H$7</f>
        <v>310000</v>
      </c>
      <c r="AH8" s="106">
        <f>'34_Inputs_Opex_NonPeople'!$H$7</f>
        <v>310000</v>
      </c>
      <c r="AI8" s="106">
        <f>'34_Inputs_Opex_NonPeople'!$H$7</f>
        <v>310000</v>
      </c>
      <c r="AJ8" s="106">
        <f>'34_Inputs_Opex_NonPeople'!$H$7</f>
        <v>310000</v>
      </c>
      <c r="AK8" s="106">
        <f>'34_Inputs_Opex_NonPeople'!$H$7</f>
        <v>310000</v>
      </c>
      <c r="AL8" s="150">
        <f>SUMIF('23_Time'!$B$3:$AK$3, 1,B8:AK8)</f>
        <v>3720000</v>
      </c>
      <c r="AM8" s="151">
        <f>SUMIF('23_Time'!$B$3:$AK$3, 2,B8:AK8)</f>
        <v>3720000</v>
      </c>
      <c r="AN8" s="152">
        <f>SUMIF('23_Time'!$B$3:$AK$3, 3,B8:AK8)</f>
        <v>3720000</v>
      </c>
    </row>
    <row r="9" spans="1:40" x14ac:dyDescent="0.3">
      <c r="A9" s="95" t="s">
        <v>276</v>
      </c>
      <c r="B9" s="83">
        <f>'32_Inputs_GrowthRetention'!$D$15</f>
        <v>110</v>
      </c>
      <c r="C9" s="83">
        <f>MAX(B9*(1+'32_Inputs_GrowthRetention'!$C$16),'32_Inputs_GrowthRetention'!$C$17)</f>
        <v>109.45</v>
      </c>
      <c r="D9" s="83">
        <f>MAX(C9*(1+'32_Inputs_GrowthRetention'!$C$16),'32_Inputs_GrowthRetention'!$C$17)</f>
        <v>108.90275</v>
      </c>
      <c r="E9" s="83">
        <f>MAX(D9*(1+'32_Inputs_GrowthRetention'!$C$16),'32_Inputs_GrowthRetention'!$C$17)</f>
        <v>108.35823624999999</v>
      </c>
      <c r="F9" s="83">
        <f>MAX(E9*(1+'32_Inputs_GrowthRetention'!$C$16),'32_Inputs_GrowthRetention'!$C$17)</f>
        <v>107.81644506874999</v>
      </c>
      <c r="G9" s="83">
        <f>MAX(F9*(1+'32_Inputs_GrowthRetention'!$C$16),'32_Inputs_GrowthRetention'!$C$17)</f>
        <v>107.27736284340624</v>
      </c>
      <c r="H9" s="83">
        <f>MAX(G9*(1+'32_Inputs_GrowthRetention'!$C$16),'32_Inputs_GrowthRetention'!$C$17)</f>
        <v>106.74097602918921</v>
      </c>
      <c r="I9" s="83">
        <f>MAX(H9*(1+'32_Inputs_GrowthRetention'!$C$16),'32_Inputs_GrowthRetention'!$C$17)</f>
        <v>106.20727114904327</v>
      </c>
      <c r="J9" s="83">
        <f>MAX(I9*(1+'32_Inputs_GrowthRetention'!$C$16),'32_Inputs_GrowthRetention'!$C$17)</f>
        <v>105.67623479329805</v>
      </c>
      <c r="K9" s="83">
        <f>MAX(J9*(1+'32_Inputs_GrowthRetention'!$C$16),'32_Inputs_GrowthRetention'!$C$17)</f>
        <v>105.14785361933156</v>
      </c>
      <c r="L9" s="83">
        <f>MAX(K9*(1+'32_Inputs_GrowthRetention'!$C$16),'32_Inputs_GrowthRetention'!$C$17)</f>
        <v>104.6221143512349</v>
      </c>
      <c r="M9" s="83">
        <f>MAX(L9*(1+'32_Inputs_GrowthRetention'!$C$16),'32_Inputs_GrowthRetention'!$C$17)</f>
        <v>104.09900377947872</v>
      </c>
      <c r="N9" s="83">
        <f>MAX(M9*(1+'32_Inputs_GrowthRetention'!$C$16),'32_Inputs_GrowthRetention'!$C$17)</f>
        <v>103.57850876058133</v>
      </c>
      <c r="O9" s="83">
        <f>MAX(N9*(1+'32_Inputs_GrowthRetention'!$C$16),'32_Inputs_GrowthRetention'!$C$17)</f>
        <v>103.06061621677843</v>
      </c>
      <c r="P9" s="83">
        <f>MAX(O9*(1+'32_Inputs_GrowthRetention'!$C$16),'32_Inputs_GrowthRetention'!$C$17)</f>
        <v>102.54531313569454</v>
      </c>
      <c r="Q9" s="83">
        <f>MAX(P9*(1+'32_Inputs_GrowthRetention'!$C$16),'32_Inputs_GrowthRetention'!$C$17)</f>
        <v>102.03258657001606</v>
      </c>
      <c r="R9" s="83">
        <f>MAX(Q9*(1+'32_Inputs_GrowthRetention'!$C$16),'32_Inputs_GrowthRetention'!$C$17)</f>
        <v>101.52242363716599</v>
      </c>
      <c r="S9" s="83">
        <f>MAX(R9*(1+'32_Inputs_GrowthRetention'!$C$16),'32_Inputs_GrowthRetention'!$C$17)</f>
        <v>101.01481151898015</v>
      </c>
      <c r="T9" s="83">
        <f>MAX(S9*(1+'32_Inputs_GrowthRetention'!$C$16),'32_Inputs_GrowthRetention'!$C$17)</f>
        <v>100.50973746138526</v>
      </c>
      <c r="U9" s="83">
        <f>MAX(T9*(1+'32_Inputs_GrowthRetention'!$C$16),'32_Inputs_GrowthRetention'!$C$17)</f>
        <v>100.00718877407833</v>
      </c>
      <c r="V9" s="83">
        <f>MAX(U9*(1+'32_Inputs_GrowthRetention'!$C$16),'32_Inputs_GrowthRetention'!$C$17)</f>
        <v>99.507152830207943</v>
      </c>
      <c r="W9" s="83">
        <f>MAX(V9*(1+'32_Inputs_GrowthRetention'!$C$16),'32_Inputs_GrowthRetention'!$C$17)</f>
        <v>99.009617066056904</v>
      </c>
      <c r="X9" s="83">
        <f>MAX(W9*(1+'32_Inputs_GrowthRetention'!$C$16),'32_Inputs_GrowthRetention'!$C$17)</f>
        <v>98.514568980726622</v>
      </c>
      <c r="Y9" s="83">
        <f>MAX(X9*(1+'32_Inputs_GrowthRetention'!$C$16),'32_Inputs_GrowthRetention'!$C$17)</f>
        <v>98.021996135822988</v>
      </c>
      <c r="Z9" s="83">
        <f>MAX(Y9*(1+'32_Inputs_GrowthRetention'!$C$16),'32_Inputs_GrowthRetention'!$C$17)</f>
        <v>97.531886155143866</v>
      </c>
      <c r="AA9" s="83">
        <f>MAX(Z9*(1+'32_Inputs_GrowthRetention'!$C$16),'32_Inputs_GrowthRetention'!$C$17)</f>
        <v>97.044226724368144</v>
      </c>
      <c r="AB9" s="83">
        <f>MAX(AA9*(1+'32_Inputs_GrowthRetention'!$C$16),'32_Inputs_GrowthRetention'!$C$17)</f>
        <v>96.55900559074631</v>
      </c>
      <c r="AC9" s="83">
        <f>MAX(AB9*(1+'32_Inputs_GrowthRetention'!$C$16),'32_Inputs_GrowthRetention'!$C$17)</f>
        <v>96.076210562792582</v>
      </c>
      <c r="AD9" s="83">
        <f>MAX(AC9*(1+'32_Inputs_GrowthRetention'!$C$16),'32_Inputs_GrowthRetention'!$C$17)</f>
        <v>95.595829509978614</v>
      </c>
      <c r="AE9" s="83">
        <f>MAX(AD9*(1+'32_Inputs_GrowthRetention'!$C$16),'32_Inputs_GrowthRetention'!$C$17)</f>
        <v>95.117850362428726</v>
      </c>
      <c r="AF9" s="83">
        <f>MAX(AE9*(1+'32_Inputs_GrowthRetention'!$C$16),'32_Inputs_GrowthRetention'!$C$17)</f>
        <v>94.642261110616587</v>
      </c>
      <c r="AG9" s="83">
        <f>MAX(AF9*(1+'32_Inputs_GrowthRetention'!$C$16),'32_Inputs_GrowthRetention'!$C$17)</f>
        <v>94.169049805063509</v>
      </c>
      <c r="AH9" s="83">
        <f>MAX(AG9*(1+'32_Inputs_GrowthRetention'!$C$16),'32_Inputs_GrowthRetention'!$C$17)</f>
        <v>93.698204556038192</v>
      </c>
      <c r="AI9" s="83">
        <f>MAX(AH9*(1+'32_Inputs_GrowthRetention'!$C$16),'32_Inputs_GrowthRetention'!$C$17)</f>
        <v>93.229713533258007</v>
      </c>
      <c r="AJ9" s="83">
        <f>MAX(AI9*(1+'32_Inputs_GrowthRetention'!$C$16),'32_Inputs_GrowthRetention'!$C$17)</f>
        <v>92.763564965591712</v>
      </c>
      <c r="AK9" s="83">
        <f>MAX(AJ9*(1+'32_Inputs_GrowthRetention'!$C$16),'32_Inputs_GrowthRetention'!$C$17)</f>
        <v>92.299747140763756</v>
      </c>
      <c r="AL9" s="75"/>
      <c r="AM9" s="57"/>
      <c r="AN9" s="72"/>
    </row>
    <row r="10" spans="1:40" x14ac:dyDescent="0.3">
      <c r="A10" s="97" t="s">
        <v>277</v>
      </c>
      <c r="B10" s="60">
        <f>'40_Customers_Orders'!B4*'42_OPEX'!B9</f>
        <v>220000</v>
      </c>
      <c r="C10" s="60">
        <f>'40_Customers_Orders'!C4*'42_OPEX'!C9</f>
        <v>232034</v>
      </c>
      <c r="D10" s="60">
        <f>'40_Customers_Orders'!D4*'42_OPEX'!D9</f>
        <v>244726.25980000003</v>
      </c>
      <c r="E10" s="60">
        <f>'40_Customers_Orders'!E4*'42_OPEX'!E9</f>
        <v>258112.78621106004</v>
      </c>
      <c r="F10" s="60">
        <f>'40_Customers_Orders'!F4*'42_OPEX'!F9</f>
        <v>272231.55561680504</v>
      </c>
      <c r="G10" s="60">
        <f>'40_Customers_Orders'!G4*'42_OPEX'!G9</f>
        <v>287122.62170904427</v>
      </c>
      <c r="H10" s="60">
        <f>'40_Customers_Orders'!H4*'42_OPEX'!H9</f>
        <v>302828.22911652899</v>
      </c>
      <c r="I10" s="60">
        <f>'40_Customers_Orders'!I4*'42_OPEX'!I9</f>
        <v>319392.93324920314</v>
      </c>
      <c r="J10" s="60">
        <f>'40_Customers_Orders'!J4*'42_OPEX'!J9</f>
        <v>336863.72669793462</v>
      </c>
      <c r="K10" s="60">
        <f>'40_Customers_Orders'!K4*'42_OPEX'!K9</f>
        <v>355290.17254831159</v>
      </c>
      <c r="L10" s="60">
        <f>'40_Customers_Orders'!L4*'42_OPEX'!L9</f>
        <v>374724.54498670425</v>
      </c>
      <c r="M10" s="60">
        <f>'40_Customers_Orders'!M4*'42_OPEX'!M9</f>
        <v>395221.97759747703</v>
      </c>
      <c r="N10" s="60">
        <f>'40_Customers_Orders'!N4*'42_OPEX'!N9</f>
        <v>416840.61977205903</v>
      </c>
      <c r="O10" s="60">
        <f>'40_Customers_Orders'!O4*'42_OPEX'!O9</f>
        <v>439641.80167359073</v>
      </c>
      <c r="P10" s="60">
        <f>'40_Customers_Orders'!P4*'42_OPEX'!P9</f>
        <v>463690.20822513622</v>
      </c>
      <c r="Q10" s="60">
        <f>'40_Customers_Orders'!Q4*'42_OPEX'!Q9</f>
        <v>489054.06261505117</v>
      </c>
      <c r="R10" s="60">
        <f>'40_Customers_Orders'!R4*'42_OPEX'!R9</f>
        <v>515805.31984009448</v>
      </c>
      <c r="S10" s="60">
        <f>'40_Customers_Orders'!S4*'42_OPEX'!S9</f>
        <v>544019.87083534757</v>
      </c>
      <c r="T10" s="60">
        <f>'40_Customers_Orders'!T4*'42_OPEX'!T9</f>
        <v>573777.75777004112</v>
      </c>
      <c r="U10" s="60">
        <f>'40_Customers_Orders'!U4*'42_OPEX'!U9</f>
        <v>605163.40112006245</v>
      </c>
      <c r="V10" s="60">
        <f>'40_Customers_Orders'!V4*'42_OPEX'!V9</f>
        <v>638265.8391613299</v>
      </c>
      <c r="W10" s="60">
        <f>'40_Customers_Orders'!W4*'42_OPEX'!W9</f>
        <v>673178.98056345468</v>
      </c>
      <c r="X10" s="60">
        <f>'40_Customers_Orders'!X4*'42_OPEX'!X9</f>
        <v>710001.8708002757</v>
      </c>
      <c r="Y10" s="60">
        <f>'40_Customers_Orders'!Y4*'42_OPEX'!Y9</f>
        <v>748838.97313305084</v>
      </c>
      <c r="Z10" s="60">
        <f>'40_Customers_Orders'!Z4*'42_OPEX'!Z9</f>
        <v>789800.46496342868</v>
      </c>
      <c r="AA10" s="60">
        <f>'40_Customers_Orders'!AA4*'42_OPEX'!AA9</f>
        <v>833002.55039692821</v>
      </c>
      <c r="AB10" s="60">
        <f>'40_Customers_Orders'!AB4*'42_OPEX'!AB9</f>
        <v>878567.78990364028</v>
      </c>
      <c r="AC10" s="60">
        <f>'40_Customers_Orders'!AC4*'42_OPEX'!AC9</f>
        <v>926625.44801136956</v>
      </c>
      <c r="AD10" s="60">
        <f>'40_Customers_Orders'!AD4*'42_OPEX'!AD9</f>
        <v>977311.86001759139</v>
      </c>
      <c r="AE10" s="60">
        <f>'40_Customers_Orders'!AE4*'42_OPEX'!AE9</f>
        <v>1030770.8187605537</v>
      </c>
      <c r="AF10" s="60">
        <f>'40_Customers_Orders'!AF4*'42_OPEX'!AF9</f>
        <v>1087153.982546756</v>
      </c>
      <c r="AG10" s="60">
        <f>'40_Customers_Orders'!AG4*'42_OPEX'!AG9</f>
        <v>1130028.597660762</v>
      </c>
      <c r="AH10" s="60">
        <f>'40_Customers_Orders'!AH4*'42_OPEX'!AH9</f>
        <v>1124378.4546724583</v>
      </c>
      <c r="AI10" s="60">
        <f>'40_Customers_Orders'!AI4*'42_OPEX'!AI9</f>
        <v>1118756.5623990961</v>
      </c>
      <c r="AJ10" s="60">
        <f>'40_Customers_Orders'!AJ4*'42_OPEX'!AJ9</f>
        <v>1113162.7795871005</v>
      </c>
      <c r="AK10" s="60">
        <f>'40_Customers_Orders'!AK4*'42_OPEX'!AK9</f>
        <v>1107596.9656891651</v>
      </c>
      <c r="AL10" s="150">
        <f>SUMIF('23_Time'!$B$3:$AK$3, 1,B10:AK10)</f>
        <v>3598548.8075330695</v>
      </c>
      <c r="AM10" s="151">
        <f>SUMIF('23_Time'!$B$3:$AK$3, 2,B10:AK10)</f>
        <v>6818278.7055094931</v>
      </c>
      <c r="AN10" s="152">
        <f>SUMIF('23_Time'!$B$3:$AK$3, 3,B10:AK10)</f>
        <v>12117156.27460885</v>
      </c>
    </row>
    <row r="11" spans="1:40" x14ac:dyDescent="0.3">
      <c r="A11" s="97" t="s">
        <v>104</v>
      </c>
      <c r="B11" s="60">
        <f>'32_Inputs_GrowthRetention'!$C$18</f>
        <v>120000</v>
      </c>
      <c r="C11" s="60">
        <f>'32_Inputs_GrowthRetention'!$C$18</f>
        <v>120000</v>
      </c>
      <c r="D11" s="60">
        <f>'32_Inputs_GrowthRetention'!$C$18</f>
        <v>120000</v>
      </c>
      <c r="E11" s="60">
        <f>'32_Inputs_GrowthRetention'!$C$18</f>
        <v>120000</v>
      </c>
      <c r="F11" s="60">
        <f>'32_Inputs_GrowthRetention'!$C$18</f>
        <v>120000</v>
      </c>
      <c r="G11" s="60">
        <f>'32_Inputs_GrowthRetention'!$C$18</f>
        <v>120000</v>
      </c>
      <c r="H11" s="60">
        <f>'32_Inputs_GrowthRetention'!$C$18</f>
        <v>120000</v>
      </c>
      <c r="I11" s="60">
        <f>'32_Inputs_GrowthRetention'!$C$18</f>
        <v>120000</v>
      </c>
      <c r="J11" s="60">
        <f>'32_Inputs_GrowthRetention'!$C$18</f>
        <v>120000</v>
      </c>
      <c r="K11" s="60">
        <f>'32_Inputs_GrowthRetention'!$C$18</f>
        <v>120000</v>
      </c>
      <c r="L11" s="60">
        <f>'32_Inputs_GrowthRetention'!$C$18</f>
        <v>120000</v>
      </c>
      <c r="M11" s="60">
        <f>'32_Inputs_GrowthRetention'!$C$18</f>
        <v>120000</v>
      </c>
      <c r="N11" s="60">
        <f>'32_Inputs_GrowthRetention'!$C$18</f>
        <v>120000</v>
      </c>
      <c r="O11" s="60">
        <f>'32_Inputs_GrowthRetention'!$C$18</f>
        <v>120000</v>
      </c>
      <c r="P11" s="60">
        <f>'32_Inputs_GrowthRetention'!$C$18</f>
        <v>120000</v>
      </c>
      <c r="Q11" s="60">
        <f>'32_Inputs_GrowthRetention'!$C$18</f>
        <v>120000</v>
      </c>
      <c r="R11" s="60">
        <f>'32_Inputs_GrowthRetention'!$C$18</f>
        <v>120000</v>
      </c>
      <c r="S11" s="60">
        <f>'32_Inputs_GrowthRetention'!$C$18</f>
        <v>120000</v>
      </c>
      <c r="T11" s="60">
        <f>'32_Inputs_GrowthRetention'!$C$18</f>
        <v>120000</v>
      </c>
      <c r="U11" s="60">
        <f>'32_Inputs_GrowthRetention'!$C$18</f>
        <v>120000</v>
      </c>
      <c r="V11" s="60">
        <f>'32_Inputs_GrowthRetention'!$C$18</f>
        <v>120000</v>
      </c>
      <c r="W11" s="60">
        <f>'32_Inputs_GrowthRetention'!$C$18</f>
        <v>120000</v>
      </c>
      <c r="X11" s="60">
        <f>'32_Inputs_GrowthRetention'!$C$18</f>
        <v>120000</v>
      </c>
      <c r="Y11" s="60">
        <f>'32_Inputs_GrowthRetention'!$C$18</f>
        <v>120000</v>
      </c>
      <c r="Z11" s="60">
        <f>'32_Inputs_GrowthRetention'!$C$18</f>
        <v>120000</v>
      </c>
      <c r="AA11" s="60">
        <f>'32_Inputs_GrowthRetention'!$C$18</f>
        <v>120000</v>
      </c>
      <c r="AB11" s="60">
        <f>'32_Inputs_GrowthRetention'!$C$18</f>
        <v>120000</v>
      </c>
      <c r="AC11" s="60">
        <f>'32_Inputs_GrowthRetention'!$C$18</f>
        <v>120000</v>
      </c>
      <c r="AD11" s="60">
        <f>'32_Inputs_GrowthRetention'!$C$18</f>
        <v>120000</v>
      </c>
      <c r="AE11" s="60">
        <f>'32_Inputs_GrowthRetention'!$C$18</f>
        <v>120000</v>
      </c>
      <c r="AF11" s="60">
        <f>'32_Inputs_GrowthRetention'!$C$18</f>
        <v>120000</v>
      </c>
      <c r="AG11" s="60">
        <f>'32_Inputs_GrowthRetention'!$C$18</f>
        <v>120000</v>
      </c>
      <c r="AH11" s="60">
        <f>'32_Inputs_GrowthRetention'!$C$18</f>
        <v>120000</v>
      </c>
      <c r="AI11" s="60">
        <f>'32_Inputs_GrowthRetention'!$C$18</f>
        <v>120000</v>
      </c>
      <c r="AJ11" s="60">
        <f>'32_Inputs_GrowthRetention'!$C$18</f>
        <v>120000</v>
      </c>
      <c r="AK11" s="60">
        <f>'32_Inputs_GrowthRetention'!$C$18</f>
        <v>120000</v>
      </c>
      <c r="AL11" s="150">
        <f>SUMIF('23_Time'!$B$3:$AK$3, 1,B11:AK11)</f>
        <v>1440000</v>
      </c>
      <c r="AM11" s="151">
        <f>SUMIF('23_Time'!$B$3:$AK$3, 2,B11:AK11)</f>
        <v>1440000</v>
      </c>
      <c r="AN11" s="152">
        <f>SUMIF('23_Time'!$B$3:$AK$3, 3,B11:AK11)</f>
        <v>1440000</v>
      </c>
    </row>
    <row r="12" spans="1:40" ht="15" thickBot="1" x14ac:dyDescent="0.35">
      <c r="A12" s="100" t="s">
        <v>278</v>
      </c>
      <c r="B12" s="133">
        <f>SUM(B10:B11)</f>
        <v>340000</v>
      </c>
      <c r="C12" s="133">
        <f t="shared" ref="C12:AK12" si="2">SUM(C10:C11)</f>
        <v>352034</v>
      </c>
      <c r="D12" s="133">
        <f t="shared" si="2"/>
        <v>364726.2598</v>
      </c>
      <c r="E12" s="133">
        <f t="shared" si="2"/>
        <v>378112.78621106001</v>
      </c>
      <c r="F12" s="133">
        <f t="shared" si="2"/>
        <v>392231.55561680504</v>
      </c>
      <c r="G12" s="133">
        <f t="shared" si="2"/>
        <v>407122.62170904427</v>
      </c>
      <c r="H12" s="133">
        <f t="shared" si="2"/>
        <v>422828.22911652899</v>
      </c>
      <c r="I12" s="133">
        <f t="shared" si="2"/>
        <v>439392.93324920314</v>
      </c>
      <c r="J12" s="133">
        <f t="shared" si="2"/>
        <v>456863.72669793462</v>
      </c>
      <c r="K12" s="133">
        <f t="shared" si="2"/>
        <v>475290.17254831159</v>
      </c>
      <c r="L12" s="133">
        <f t="shared" si="2"/>
        <v>494724.54498670425</v>
      </c>
      <c r="M12" s="133">
        <f t="shared" si="2"/>
        <v>515221.97759747703</v>
      </c>
      <c r="N12" s="133">
        <f t="shared" si="2"/>
        <v>536840.61977205903</v>
      </c>
      <c r="O12" s="133">
        <f t="shared" si="2"/>
        <v>559641.80167359067</v>
      </c>
      <c r="P12" s="133">
        <f t="shared" si="2"/>
        <v>583690.20822513616</v>
      </c>
      <c r="Q12" s="133">
        <f t="shared" si="2"/>
        <v>609054.06261505117</v>
      </c>
      <c r="R12" s="133">
        <f t="shared" si="2"/>
        <v>635805.31984009454</v>
      </c>
      <c r="S12" s="133">
        <f t="shared" si="2"/>
        <v>664019.87083534757</v>
      </c>
      <c r="T12" s="133">
        <f t="shared" si="2"/>
        <v>693777.75777004112</v>
      </c>
      <c r="U12" s="133">
        <f t="shared" si="2"/>
        <v>725163.40112006245</v>
      </c>
      <c r="V12" s="133">
        <f t="shared" si="2"/>
        <v>758265.8391613299</v>
      </c>
      <c r="W12" s="133">
        <f t="shared" si="2"/>
        <v>793178.98056345468</v>
      </c>
      <c r="X12" s="133">
        <f t="shared" si="2"/>
        <v>830001.8708002757</v>
      </c>
      <c r="Y12" s="133">
        <f t="shared" si="2"/>
        <v>868838.97313305084</v>
      </c>
      <c r="Z12" s="133">
        <f t="shared" si="2"/>
        <v>909800.46496342868</v>
      </c>
      <c r="AA12" s="133">
        <f t="shared" si="2"/>
        <v>953002.55039692821</v>
      </c>
      <c r="AB12" s="133">
        <f t="shared" si="2"/>
        <v>998567.78990364028</v>
      </c>
      <c r="AC12" s="133">
        <f t="shared" si="2"/>
        <v>1046625.4480113696</v>
      </c>
      <c r="AD12" s="133">
        <f t="shared" si="2"/>
        <v>1097311.8600175914</v>
      </c>
      <c r="AE12" s="133">
        <f t="shared" si="2"/>
        <v>1150770.8187605538</v>
      </c>
      <c r="AF12" s="133">
        <f t="shared" si="2"/>
        <v>1207153.982546756</v>
      </c>
      <c r="AG12" s="133">
        <f t="shared" si="2"/>
        <v>1250028.597660762</v>
      </c>
      <c r="AH12" s="133">
        <f t="shared" si="2"/>
        <v>1244378.4546724583</v>
      </c>
      <c r="AI12" s="133">
        <f t="shared" si="2"/>
        <v>1238756.5623990961</v>
      </c>
      <c r="AJ12" s="133">
        <f t="shared" si="2"/>
        <v>1233162.7795871005</v>
      </c>
      <c r="AK12" s="133">
        <f t="shared" si="2"/>
        <v>1227596.9656891651</v>
      </c>
      <c r="AL12" s="134">
        <f>SUMIF('23_Time'!$B$3:$AK$3, 1,B12:AK12)</f>
        <v>5038548.8075330686</v>
      </c>
      <c r="AM12" s="133">
        <f>SUMIF('23_Time'!$B$3:$AK$3, 2,B12:AK12)</f>
        <v>8258278.7055094931</v>
      </c>
      <c r="AN12" s="135">
        <f>SUMIF('23_Time'!$B$3:$AK$3, 3,B12:AK12)</f>
        <v>13557156.27460885</v>
      </c>
    </row>
    <row r="13" spans="1:40" ht="15" thickBot="1" x14ac:dyDescent="0.35">
      <c r="A13" s="100" t="s">
        <v>180</v>
      </c>
      <c r="B13" s="133">
        <f>B6+B7+B8+B12</f>
        <v>1337440</v>
      </c>
      <c r="C13" s="133">
        <f t="shared" ref="C13:AK13" si="3">C6+C7+C8+C12</f>
        <v>1400522.357057143</v>
      </c>
      <c r="D13" s="133">
        <f t="shared" si="3"/>
        <v>1464319.7449947768</v>
      </c>
      <c r="E13" s="133">
        <f t="shared" si="3"/>
        <v>1528873.9742371077</v>
      </c>
      <c r="F13" s="133">
        <f t="shared" si="3"/>
        <v>1594229.0893422267</v>
      </c>
      <c r="G13" s="133">
        <f t="shared" si="3"/>
        <v>1660431.4955305641</v>
      </c>
      <c r="H13" s="133">
        <f t="shared" si="3"/>
        <v>1727530.0921321923</v>
      </c>
      <c r="I13" s="133">
        <f t="shared" si="3"/>
        <v>1795576.41334042</v>
      </c>
      <c r="J13" s="133">
        <f t="shared" si="3"/>
        <v>1864624.7766805543</v>
      </c>
      <c r="K13" s="133">
        <f t="shared" si="3"/>
        <v>1934732.439625296</v>
      </c>
      <c r="L13" s="133">
        <f t="shared" si="3"/>
        <v>2005959.7648121272</v>
      </c>
      <c r="M13" s="133">
        <f t="shared" si="3"/>
        <v>2078370.3943432393</v>
      </c>
      <c r="N13" s="133">
        <f t="shared" si="3"/>
        <v>2127552.8622465939</v>
      </c>
      <c r="O13" s="133">
        <f t="shared" si="3"/>
        <v>2178056.5027762456</v>
      </c>
      <c r="P13" s="133">
        <f t="shared" si="3"/>
        <v>2229955.9408311239</v>
      </c>
      <c r="Q13" s="133">
        <f t="shared" si="3"/>
        <v>2283329.879374248</v>
      </c>
      <c r="R13" s="133">
        <f t="shared" si="3"/>
        <v>2338261.3273388091</v>
      </c>
      <c r="S13" s="133">
        <f t="shared" si="3"/>
        <v>2394837.8401139304</v>
      </c>
      <c r="T13" s="133">
        <f t="shared" si="3"/>
        <v>2453151.7733111614</v>
      </c>
      <c r="U13" s="133">
        <f t="shared" si="3"/>
        <v>2513300.5505517051</v>
      </c>
      <c r="V13" s="133">
        <f t="shared" si="3"/>
        <v>2575386.9460554412</v>
      </c>
      <c r="W13" s="133">
        <f t="shared" si="3"/>
        <v>2639519.3828561809</v>
      </c>
      <c r="X13" s="133">
        <f t="shared" si="3"/>
        <v>2705812.2475133883</v>
      </c>
      <c r="Y13" s="133">
        <f t="shared" si="3"/>
        <v>2774386.2222389397</v>
      </c>
      <c r="Z13" s="133">
        <f t="shared" si="3"/>
        <v>2845368.6354085244</v>
      </c>
      <c r="AA13" s="133">
        <f t="shared" si="3"/>
        <v>2918893.8314811909</v>
      </c>
      <c r="AB13" s="133">
        <f t="shared" si="3"/>
        <v>2995103.5614074124</v>
      </c>
      <c r="AC13" s="133">
        <f t="shared" si="3"/>
        <v>3074147.3946661246</v>
      </c>
      <c r="AD13" s="133">
        <f t="shared" si="3"/>
        <v>3156183.1541345781</v>
      </c>
      <c r="AE13" s="133">
        <f t="shared" si="3"/>
        <v>3241377.3750618082</v>
      </c>
      <c r="AF13" s="133">
        <f t="shared" si="3"/>
        <v>3329905.7894871924</v>
      </c>
      <c r="AG13" s="133">
        <f t="shared" si="3"/>
        <v>3405181.404476583</v>
      </c>
      <c r="AH13" s="133">
        <f t="shared" si="3"/>
        <v>3431655.8082230128</v>
      </c>
      <c r="AI13" s="133">
        <f t="shared" si="3"/>
        <v>3457891.656376075</v>
      </c>
      <c r="AJ13" s="133">
        <f t="shared" si="3"/>
        <v>3483898.1178883249</v>
      </c>
      <c r="AK13" s="133">
        <f t="shared" si="3"/>
        <v>3509684.0375389396</v>
      </c>
      <c r="AL13" s="134">
        <f>SUMIF('23_Time'!$B$3:$AK$3, 1,B13:AK13)</f>
        <v>20392610.542095646</v>
      </c>
      <c r="AM13" s="133">
        <f>SUMIF('23_Time'!$B$3:$AK$3, 2,B13:AK13)</f>
        <v>29213551.475207768</v>
      </c>
      <c r="AN13" s="135">
        <f>SUMIF('23_Time'!$B$3:$AK$3, 3,B13:AK13)</f>
        <v>38849290.766149759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915C-C23D-4DCB-A037-0B240D8B7E90}">
  <dimension ref="A1:AN8"/>
  <sheetViews>
    <sheetView workbookViewId="0">
      <pane xSplit="1" topLeftCell="AK1" activePane="topRight" state="frozen"/>
      <selection pane="topRight" activeCell="G15" sqref="G15"/>
    </sheetView>
  </sheetViews>
  <sheetFormatPr defaultRowHeight="14.4" x14ac:dyDescent="0.3"/>
  <cols>
    <col min="1" max="1" width="17.5546875" bestFit="1" customWidth="1"/>
    <col min="2" max="2" width="10.44140625" bestFit="1" customWidth="1"/>
    <col min="3" max="12" width="11.44140625" bestFit="1" customWidth="1"/>
    <col min="13" max="37" width="13.109375" bestFit="1" customWidth="1"/>
    <col min="38" max="38" width="11.44140625" bestFit="1" customWidth="1"/>
    <col min="39" max="40" width="13.109375" bestFit="1" customWidth="1"/>
  </cols>
  <sheetData>
    <row r="1" spans="1:40" ht="15" thickBot="1" x14ac:dyDescent="0.35">
      <c r="A1" s="95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97" t="str">
        <v>Month Label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  <c r="AL2" s="86" t="s">
        <v>74</v>
      </c>
      <c r="AM2" s="142" t="s">
        <v>75</v>
      </c>
      <c r="AN2" s="143" t="s">
        <v>76</v>
      </c>
    </row>
    <row r="3" spans="1:40" x14ac:dyDescent="0.3">
      <c r="A3" s="95" t="s">
        <v>185</v>
      </c>
      <c r="B3" s="57">
        <f>'42_OPEX'!B6*'35_Inputs_Capex_WC'!$B$2*'33_Inputs_Opex_Headcount'!$I$8</f>
        <v>34776</v>
      </c>
      <c r="C3" s="57">
        <f>'42_OPEX'!C6*'35_Inputs_Capex_WC'!$B$2*'33_Inputs_Opex_Headcount'!$I$8</f>
        <v>37260</v>
      </c>
      <c r="D3" s="57">
        <f>'42_OPEX'!D6*'35_Inputs_Capex_WC'!$B$2*'33_Inputs_Opex_Headcount'!$I$8</f>
        <v>39744</v>
      </c>
      <c r="E3" s="57">
        <f>'42_OPEX'!E6*'35_Inputs_Capex_WC'!$B$2*'33_Inputs_Opex_Headcount'!$I$8</f>
        <v>42228.000000000007</v>
      </c>
      <c r="F3" s="57">
        <f>'42_OPEX'!F6*'35_Inputs_Capex_WC'!$B$2*'33_Inputs_Opex_Headcount'!$I$8</f>
        <v>44712</v>
      </c>
      <c r="G3" s="57">
        <f>'42_OPEX'!G6*'35_Inputs_Capex_WC'!$B$2*'33_Inputs_Opex_Headcount'!$I$8</f>
        <v>47196</v>
      </c>
      <c r="H3" s="57">
        <f>'42_OPEX'!H6*'35_Inputs_Capex_WC'!$B$2*'33_Inputs_Opex_Headcount'!$I$8</f>
        <v>49680.000000000007</v>
      </c>
      <c r="I3" s="57">
        <f>'42_OPEX'!I6*'35_Inputs_Capex_WC'!$B$2*'33_Inputs_Opex_Headcount'!$I$8</f>
        <v>52163.999999999993</v>
      </c>
      <c r="J3" s="57">
        <f>'42_OPEX'!J6*'35_Inputs_Capex_WC'!$B$2*'33_Inputs_Opex_Headcount'!$I$8</f>
        <v>54648.000000000007</v>
      </c>
      <c r="K3" s="57">
        <f>'42_OPEX'!K6*'35_Inputs_Capex_WC'!$B$2*'33_Inputs_Opex_Headcount'!$I$8</f>
        <v>57132</v>
      </c>
      <c r="L3" s="57">
        <f>'42_OPEX'!L6*'35_Inputs_Capex_WC'!$B$2*'33_Inputs_Opex_Headcount'!$I$8</f>
        <v>59615.999999999993</v>
      </c>
      <c r="M3" s="57">
        <f>'42_OPEX'!M6*'35_Inputs_Capex_WC'!$B$2*'33_Inputs_Opex_Headcount'!$I$8</f>
        <v>62100</v>
      </c>
      <c r="N3" s="57">
        <f>'42_OPEX'!N6*'35_Inputs_Capex_WC'!$B$2*'33_Inputs_Opex_Headcount'!$I$8</f>
        <v>63342</v>
      </c>
      <c r="O3" s="57">
        <f>'42_OPEX'!O6*'35_Inputs_Capex_WC'!$B$2*'33_Inputs_Opex_Headcount'!$I$8</f>
        <v>64584.000000000007</v>
      </c>
      <c r="P3" s="57">
        <f>'42_OPEX'!P6*'35_Inputs_Capex_WC'!$B$2*'33_Inputs_Opex_Headcount'!$I$8</f>
        <v>65826</v>
      </c>
      <c r="Q3" s="57">
        <f>'42_OPEX'!Q6*'35_Inputs_Capex_WC'!$B$2*'33_Inputs_Opex_Headcount'!$I$8</f>
        <v>67068</v>
      </c>
      <c r="R3" s="57">
        <f>'42_OPEX'!R6*'35_Inputs_Capex_WC'!$B$2*'33_Inputs_Opex_Headcount'!$I$8</f>
        <v>68310</v>
      </c>
      <c r="S3" s="57">
        <f>'42_OPEX'!S6*'35_Inputs_Capex_WC'!$B$2*'33_Inputs_Opex_Headcount'!$I$8</f>
        <v>69552</v>
      </c>
      <c r="T3" s="57">
        <f>'42_OPEX'!T6*'35_Inputs_Capex_WC'!$B$2*'33_Inputs_Opex_Headcount'!$I$8</f>
        <v>70794</v>
      </c>
      <c r="U3" s="57">
        <f>'42_OPEX'!U6*'35_Inputs_Capex_WC'!$B$2*'33_Inputs_Opex_Headcount'!$I$8</f>
        <v>72036</v>
      </c>
      <c r="V3" s="57">
        <f>'42_OPEX'!V6*'35_Inputs_Capex_WC'!$B$2*'33_Inputs_Opex_Headcount'!$I$8</f>
        <v>73278</v>
      </c>
      <c r="W3" s="57">
        <f>'42_OPEX'!W6*'35_Inputs_Capex_WC'!$B$2*'33_Inputs_Opex_Headcount'!$I$8</f>
        <v>74520</v>
      </c>
      <c r="X3" s="57">
        <f>'42_OPEX'!X6*'35_Inputs_Capex_WC'!$B$2*'33_Inputs_Opex_Headcount'!$I$8</f>
        <v>75762</v>
      </c>
      <c r="Y3" s="57">
        <f>'42_OPEX'!Y6*'35_Inputs_Capex_WC'!$B$2*'33_Inputs_Opex_Headcount'!$I$8</f>
        <v>77004</v>
      </c>
      <c r="Z3" s="57">
        <f>'42_OPEX'!Z6*'35_Inputs_Capex_WC'!$B$2*'33_Inputs_Opex_Headcount'!$I$8</f>
        <v>78246</v>
      </c>
      <c r="AA3" s="57">
        <f>'42_OPEX'!AA6*'35_Inputs_Capex_WC'!$B$2*'33_Inputs_Opex_Headcount'!$I$8</f>
        <v>79488</v>
      </c>
      <c r="AB3" s="57">
        <f>'42_OPEX'!AB6*'35_Inputs_Capex_WC'!$B$2*'33_Inputs_Opex_Headcount'!$I$8</f>
        <v>80730</v>
      </c>
      <c r="AC3" s="57">
        <f>'42_OPEX'!AC6*'35_Inputs_Capex_WC'!$B$2*'33_Inputs_Opex_Headcount'!$I$8</f>
        <v>81972</v>
      </c>
      <c r="AD3" s="57">
        <f>'42_OPEX'!AD6*'35_Inputs_Capex_WC'!$B$2*'33_Inputs_Opex_Headcount'!$I$8</f>
        <v>83214.000000000015</v>
      </c>
      <c r="AE3" s="57">
        <f>'42_OPEX'!AE6*'35_Inputs_Capex_WC'!$B$2*'33_Inputs_Opex_Headcount'!$I$8</f>
        <v>84456.000000000015</v>
      </c>
      <c r="AF3" s="57">
        <f>'42_OPEX'!AF6*'35_Inputs_Capex_WC'!$B$2*'33_Inputs_Opex_Headcount'!$I$8</f>
        <v>85697.999999999985</v>
      </c>
      <c r="AG3" s="57">
        <f>'42_OPEX'!AG6*'35_Inputs_Capex_WC'!$B$2*'33_Inputs_Opex_Headcount'!$I$8</f>
        <v>86939.999999999985</v>
      </c>
      <c r="AH3" s="57">
        <f>'42_OPEX'!AH6*'35_Inputs_Capex_WC'!$B$2*'33_Inputs_Opex_Headcount'!$I$8</f>
        <v>88182</v>
      </c>
      <c r="AI3" s="57">
        <f>'42_OPEX'!AI6*'35_Inputs_Capex_WC'!$B$2*'33_Inputs_Opex_Headcount'!$I$8</f>
        <v>89424</v>
      </c>
      <c r="AJ3" s="57">
        <f>'42_OPEX'!AJ6*'35_Inputs_Capex_WC'!$B$2*'33_Inputs_Opex_Headcount'!$I$8</f>
        <v>90666.000000000015</v>
      </c>
      <c r="AK3" s="57">
        <f>'42_OPEX'!AK6*'35_Inputs_Capex_WC'!$B$2*'33_Inputs_Opex_Headcount'!$I$8</f>
        <v>91908.000000000015</v>
      </c>
      <c r="AL3" s="75">
        <f>SUMIF('23_Time'!$B$3:$AK$3, 1,B3:AK3)</f>
        <v>581256</v>
      </c>
      <c r="AM3" s="57">
        <f>SUMIF('23_Time'!$B$3:$AK$3, 2,B3:AK3)</f>
        <v>842076</v>
      </c>
      <c r="AN3" s="72">
        <f>SUMIF('23_Time'!$B$3:$AK$3, 3,B3:AK3)</f>
        <v>1020924</v>
      </c>
    </row>
    <row r="4" spans="1:40" x14ac:dyDescent="0.3">
      <c r="A4" s="97" t="s">
        <v>186</v>
      </c>
      <c r="B4" s="60">
        <f>'35_Inputs_Capex_WC'!$B$3</f>
        <v>25000</v>
      </c>
      <c r="C4" s="60">
        <f>'35_Inputs_Capex_WC'!$B$3</f>
        <v>25000</v>
      </c>
      <c r="D4" s="60">
        <f>'35_Inputs_Capex_WC'!$B$3</f>
        <v>25000</v>
      </c>
      <c r="E4" s="60">
        <f>'35_Inputs_Capex_WC'!$B$3</f>
        <v>25000</v>
      </c>
      <c r="F4" s="60">
        <f>'35_Inputs_Capex_WC'!$B$3</f>
        <v>25000</v>
      </c>
      <c r="G4" s="60">
        <f>'35_Inputs_Capex_WC'!$B$3</f>
        <v>25000</v>
      </c>
      <c r="H4" s="60">
        <f>'35_Inputs_Capex_WC'!$B$3</f>
        <v>25000</v>
      </c>
      <c r="I4" s="60">
        <f>'35_Inputs_Capex_WC'!$B$3</f>
        <v>25000</v>
      </c>
      <c r="J4" s="60">
        <f>'35_Inputs_Capex_WC'!$B$3</f>
        <v>25000</v>
      </c>
      <c r="K4" s="60">
        <f>'35_Inputs_Capex_WC'!$B$3</f>
        <v>25000</v>
      </c>
      <c r="L4" s="60">
        <f>'35_Inputs_Capex_WC'!$B$3</f>
        <v>25000</v>
      </c>
      <c r="M4" s="60">
        <f>'35_Inputs_Capex_WC'!$B$3</f>
        <v>25000</v>
      </c>
      <c r="N4" s="60">
        <f>'35_Inputs_Capex_WC'!$B$3</f>
        <v>25000</v>
      </c>
      <c r="O4" s="60">
        <f>'35_Inputs_Capex_WC'!$B$3</f>
        <v>25000</v>
      </c>
      <c r="P4" s="60">
        <f>'35_Inputs_Capex_WC'!$B$3</f>
        <v>25000</v>
      </c>
      <c r="Q4" s="60">
        <f>'35_Inputs_Capex_WC'!$B$3</f>
        <v>25000</v>
      </c>
      <c r="R4" s="60">
        <f>'35_Inputs_Capex_WC'!$B$3</f>
        <v>25000</v>
      </c>
      <c r="S4" s="60">
        <f>'35_Inputs_Capex_WC'!$B$3</f>
        <v>25000</v>
      </c>
      <c r="T4" s="60">
        <f>'35_Inputs_Capex_WC'!$B$3</f>
        <v>25000</v>
      </c>
      <c r="U4" s="60">
        <f>'35_Inputs_Capex_WC'!$B$3</f>
        <v>25000</v>
      </c>
      <c r="V4" s="60">
        <f>'35_Inputs_Capex_WC'!$B$3</f>
        <v>25000</v>
      </c>
      <c r="W4" s="60">
        <f>'35_Inputs_Capex_WC'!$B$3</f>
        <v>25000</v>
      </c>
      <c r="X4" s="60">
        <f>'35_Inputs_Capex_WC'!$B$3</f>
        <v>25000</v>
      </c>
      <c r="Y4" s="60">
        <f>'35_Inputs_Capex_WC'!$B$3</f>
        <v>25000</v>
      </c>
      <c r="Z4" s="60">
        <f>'35_Inputs_Capex_WC'!$B$3</f>
        <v>25000</v>
      </c>
      <c r="AA4" s="60">
        <f>'35_Inputs_Capex_WC'!$B$3</f>
        <v>25000</v>
      </c>
      <c r="AB4" s="60">
        <f>'35_Inputs_Capex_WC'!$B$3</f>
        <v>25000</v>
      </c>
      <c r="AC4" s="60">
        <f>'35_Inputs_Capex_WC'!$B$3</f>
        <v>25000</v>
      </c>
      <c r="AD4" s="60">
        <f>'35_Inputs_Capex_WC'!$B$3</f>
        <v>25000</v>
      </c>
      <c r="AE4" s="60">
        <f>'35_Inputs_Capex_WC'!$B$3</f>
        <v>25000</v>
      </c>
      <c r="AF4" s="60">
        <f>'35_Inputs_Capex_WC'!$B$3</f>
        <v>25000</v>
      </c>
      <c r="AG4" s="60">
        <f>'35_Inputs_Capex_WC'!$B$3</f>
        <v>25000</v>
      </c>
      <c r="AH4" s="60">
        <f>'35_Inputs_Capex_WC'!$B$3</f>
        <v>25000</v>
      </c>
      <c r="AI4" s="60">
        <f>'35_Inputs_Capex_WC'!$B$3</f>
        <v>25000</v>
      </c>
      <c r="AJ4" s="60">
        <f>'35_Inputs_Capex_WC'!$B$3</f>
        <v>25000</v>
      </c>
      <c r="AK4" s="60">
        <f>'35_Inputs_Capex_WC'!$B$3</f>
        <v>25000</v>
      </c>
      <c r="AL4" s="76">
        <f>SUMIF('23_Time'!$B$3:$AK$3, 1,B4:AK4)</f>
        <v>300000</v>
      </c>
      <c r="AM4" s="60">
        <f>SUMIF('23_Time'!$B$3:$AK$3, 2,B4:AK4)</f>
        <v>300000</v>
      </c>
      <c r="AN4" s="73">
        <f>SUMIF('23_Time'!$B$3:$AK$3, 3,B4:AK4)</f>
        <v>300000</v>
      </c>
    </row>
    <row r="5" spans="1:40" ht="15" thickBot="1" x14ac:dyDescent="0.35">
      <c r="A5" s="100" t="s">
        <v>187</v>
      </c>
      <c r="B5" s="133">
        <f>SUM(B3:B4)</f>
        <v>59776</v>
      </c>
      <c r="C5" s="133">
        <f t="shared" ref="C5:AK5" si="0">SUM(C3:C4)</f>
        <v>62260</v>
      </c>
      <c r="D5" s="133">
        <f t="shared" si="0"/>
        <v>64744</v>
      </c>
      <c r="E5" s="133">
        <f t="shared" si="0"/>
        <v>67228</v>
      </c>
      <c r="F5" s="133">
        <f t="shared" si="0"/>
        <v>69712</v>
      </c>
      <c r="G5" s="133">
        <f t="shared" si="0"/>
        <v>72196</v>
      </c>
      <c r="H5" s="133">
        <f t="shared" si="0"/>
        <v>74680</v>
      </c>
      <c r="I5" s="133">
        <f t="shared" si="0"/>
        <v>77164</v>
      </c>
      <c r="J5" s="133">
        <f t="shared" si="0"/>
        <v>79648</v>
      </c>
      <c r="K5" s="133">
        <f t="shared" si="0"/>
        <v>82132</v>
      </c>
      <c r="L5" s="133">
        <f t="shared" si="0"/>
        <v>84616</v>
      </c>
      <c r="M5" s="133">
        <f t="shared" si="0"/>
        <v>87100</v>
      </c>
      <c r="N5" s="133">
        <f t="shared" si="0"/>
        <v>88342</v>
      </c>
      <c r="O5" s="133">
        <f t="shared" si="0"/>
        <v>89584</v>
      </c>
      <c r="P5" s="133">
        <f t="shared" si="0"/>
        <v>90826</v>
      </c>
      <c r="Q5" s="133">
        <f t="shared" si="0"/>
        <v>92068</v>
      </c>
      <c r="R5" s="133">
        <f t="shared" si="0"/>
        <v>93310</v>
      </c>
      <c r="S5" s="133">
        <f t="shared" si="0"/>
        <v>94552</v>
      </c>
      <c r="T5" s="133">
        <f t="shared" si="0"/>
        <v>95794</v>
      </c>
      <c r="U5" s="133">
        <f t="shared" si="0"/>
        <v>97036</v>
      </c>
      <c r="V5" s="133">
        <f t="shared" si="0"/>
        <v>98278</v>
      </c>
      <c r="W5" s="133">
        <f t="shared" si="0"/>
        <v>99520</v>
      </c>
      <c r="X5" s="133">
        <f t="shared" si="0"/>
        <v>100762</v>
      </c>
      <c r="Y5" s="133">
        <f t="shared" si="0"/>
        <v>102004</v>
      </c>
      <c r="Z5" s="133">
        <f t="shared" si="0"/>
        <v>103246</v>
      </c>
      <c r="AA5" s="133">
        <f t="shared" si="0"/>
        <v>104488</v>
      </c>
      <c r="AB5" s="133">
        <f t="shared" si="0"/>
        <v>105730</v>
      </c>
      <c r="AC5" s="133">
        <f t="shared" si="0"/>
        <v>106972</v>
      </c>
      <c r="AD5" s="133">
        <f t="shared" si="0"/>
        <v>108214.00000000001</v>
      </c>
      <c r="AE5" s="133">
        <f t="shared" si="0"/>
        <v>109456.00000000001</v>
      </c>
      <c r="AF5" s="133">
        <f t="shared" si="0"/>
        <v>110697.99999999999</v>
      </c>
      <c r="AG5" s="133">
        <f t="shared" si="0"/>
        <v>111939.99999999999</v>
      </c>
      <c r="AH5" s="133">
        <f t="shared" si="0"/>
        <v>113182</v>
      </c>
      <c r="AI5" s="133">
        <f t="shared" si="0"/>
        <v>114424</v>
      </c>
      <c r="AJ5" s="133">
        <f t="shared" si="0"/>
        <v>115666.00000000001</v>
      </c>
      <c r="AK5" s="133">
        <f t="shared" si="0"/>
        <v>116908.00000000001</v>
      </c>
      <c r="AL5" s="134">
        <f>SUMIF('23_Time'!$B$3:$AK$3, 1,B5:AK5)</f>
        <v>881256</v>
      </c>
      <c r="AM5" s="133">
        <f>SUMIF('23_Time'!$B$3:$AK$3, 2,B5:AK5)</f>
        <v>1142076</v>
      </c>
      <c r="AN5" s="135">
        <f>SUMIF('23_Time'!$B$3:$AK$3, 3,B5:AK5)</f>
        <v>1320924</v>
      </c>
    </row>
    <row r="6" spans="1:40" x14ac:dyDescent="0.3">
      <c r="A6" s="95" t="s">
        <v>188</v>
      </c>
      <c r="B6" s="58">
        <f>0</f>
        <v>0</v>
      </c>
      <c r="C6" s="57">
        <f>B8</f>
        <v>59776</v>
      </c>
      <c r="D6" s="57">
        <f t="shared" ref="D6:AK6" si="1">C8</f>
        <v>120375.55555555556</v>
      </c>
      <c r="E6" s="57">
        <f t="shared" si="1"/>
        <v>181775.7901234568</v>
      </c>
      <c r="F6" s="57">
        <f t="shared" si="1"/>
        <v>243954.46262002745</v>
      </c>
      <c r="G6" s="57">
        <f t="shared" si="1"/>
        <v>306889.94976947119</v>
      </c>
      <c r="H6" s="57">
        <f t="shared" si="1"/>
        <v>370561.22894254141</v>
      </c>
      <c r="I6" s="57">
        <f t="shared" si="1"/>
        <v>434947.86147191527</v>
      </c>
      <c r="J6" s="57">
        <f t="shared" si="1"/>
        <v>500029.97643102874</v>
      </c>
      <c r="K6" s="57">
        <f t="shared" si="1"/>
        <v>565788.25486350013</v>
      </c>
      <c r="L6" s="57">
        <f t="shared" si="1"/>
        <v>632203.91445062507</v>
      </c>
      <c r="M6" s="57">
        <f t="shared" si="1"/>
        <v>699258.69460477435</v>
      </c>
      <c r="N6" s="57">
        <f t="shared" si="1"/>
        <v>766934.84197686391</v>
      </c>
      <c r="O6" s="57">
        <f t="shared" si="1"/>
        <v>833973.09636639548</v>
      </c>
      <c r="P6" s="57">
        <f t="shared" si="1"/>
        <v>900391.17702288448</v>
      </c>
      <c r="Q6" s="57">
        <f t="shared" si="1"/>
        <v>966206.31099447107</v>
      </c>
      <c r="R6" s="57">
        <f t="shared" si="1"/>
        <v>1031435.2468001801</v>
      </c>
      <c r="S6" s="57">
        <f t="shared" si="1"/>
        <v>1096094.2677223973</v>
      </c>
      <c r="T6" s="57">
        <f t="shared" si="1"/>
        <v>1160199.2047301086</v>
      </c>
      <c r="U6" s="57">
        <f t="shared" si="1"/>
        <v>1223765.4490431612</v>
      </c>
      <c r="V6" s="57">
        <f t="shared" si="1"/>
        <v>1286807.9643475178</v>
      </c>
      <c r="W6" s="57">
        <f t="shared" si="1"/>
        <v>1349341.2986711978</v>
      </c>
      <c r="X6" s="57">
        <f t="shared" si="1"/>
        <v>1411379.5959303312</v>
      </c>
      <c r="Y6" s="57">
        <f t="shared" si="1"/>
        <v>1472936.6071544886</v>
      </c>
      <c r="Z6" s="57">
        <f t="shared" si="1"/>
        <v>1534025.7014001971</v>
      </c>
      <c r="AA6" s="57">
        <f t="shared" si="1"/>
        <v>1594659.8763613028</v>
      </c>
      <c r="AB6" s="57">
        <f t="shared" si="1"/>
        <v>1654851.7686846</v>
      </c>
      <c r="AC6" s="57">
        <f t="shared" si="1"/>
        <v>1714613.6639989167</v>
      </c>
      <c r="AD6" s="57">
        <f t="shared" si="1"/>
        <v>1773957.5066656135</v>
      </c>
      <c r="AE6" s="57">
        <f t="shared" si="1"/>
        <v>1832894.9092582352</v>
      </c>
      <c r="AF6" s="57">
        <f t="shared" si="1"/>
        <v>1891437.1617788398</v>
      </c>
      <c r="AG6" s="57">
        <f t="shared" si="1"/>
        <v>1949595.2406183165</v>
      </c>
      <c r="AH6" s="57">
        <f t="shared" si="1"/>
        <v>2007379.8172678077</v>
      </c>
      <c r="AI6" s="57">
        <f t="shared" si="1"/>
        <v>2064801.2667881465</v>
      </c>
      <c r="AJ6" s="57">
        <f t="shared" si="1"/>
        <v>2121869.676044031</v>
      </c>
      <c r="AK6" s="57">
        <f t="shared" si="1"/>
        <v>2178594.8517094748</v>
      </c>
      <c r="AL6" s="75">
        <f>B6</f>
        <v>0</v>
      </c>
      <c r="AM6" s="57">
        <f>N6</f>
        <v>766934.84197686391</v>
      </c>
      <c r="AN6" s="72">
        <f>Z6</f>
        <v>1534025.7014001971</v>
      </c>
    </row>
    <row r="7" spans="1:40" x14ac:dyDescent="0.3">
      <c r="A7" s="97" t="s">
        <v>189</v>
      </c>
      <c r="B7">
        <f>B6*'35_Inputs_Capex_WC'!$B$5</f>
        <v>0</v>
      </c>
      <c r="C7" s="60">
        <f>C6*'35_Inputs_Capex_WC'!$B$5</f>
        <v>1660.4444444444443</v>
      </c>
      <c r="D7" s="60">
        <f>D6*'35_Inputs_Capex_WC'!$B$5</f>
        <v>3343.7654320987654</v>
      </c>
      <c r="E7" s="60">
        <f>E6*'35_Inputs_Capex_WC'!$B$5</f>
        <v>5049.3275034293556</v>
      </c>
      <c r="F7" s="60">
        <f>F6*'35_Inputs_Capex_WC'!$B$5</f>
        <v>6776.512850556318</v>
      </c>
      <c r="G7" s="60">
        <f>G6*'35_Inputs_Capex_WC'!$B$5</f>
        <v>8524.7208269297553</v>
      </c>
      <c r="H7" s="60">
        <f>H6*'35_Inputs_Capex_WC'!$B$5</f>
        <v>10293.36747062615</v>
      </c>
      <c r="I7" s="60">
        <f>I6*'35_Inputs_Capex_WC'!$B$5</f>
        <v>12081.885040886535</v>
      </c>
      <c r="J7" s="60">
        <f>J6*'35_Inputs_Capex_WC'!$B$5</f>
        <v>13889.721567528575</v>
      </c>
      <c r="K7" s="60">
        <f>K6*'35_Inputs_Capex_WC'!$B$5</f>
        <v>15716.340412875003</v>
      </c>
      <c r="L7" s="60">
        <f>L6*'35_Inputs_Capex_WC'!$B$5</f>
        <v>17561.219845850697</v>
      </c>
      <c r="M7" s="60">
        <f>M6*'35_Inputs_Capex_WC'!$B$5</f>
        <v>19423.852627910397</v>
      </c>
      <c r="N7" s="60">
        <f>N6*'35_Inputs_Capex_WC'!$B$5</f>
        <v>21303.745610468442</v>
      </c>
      <c r="O7" s="60">
        <f>O6*'35_Inputs_Capex_WC'!$B$5</f>
        <v>23165.919343510985</v>
      </c>
      <c r="P7" s="60">
        <f>P6*'35_Inputs_Capex_WC'!$B$5</f>
        <v>25010.866028413457</v>
      </c>
      <c r="Q7" s="60">
        <f>Q6*'35_Inputs_Capex_WC'!$B$5</f>
        <v>26839.064194290862</v>
      </c>
      <c r="R7" s="60">
        <f>R6*'35_Inputs_Capex_WC'!$B$5</f>
        <v>28650.979077782777</v>
      </c>
      <c r="S7" s="60">
        <f>S6*'35_Inputs_Capex_WC'!$B$5</f>
        <v>30447.062992288815</v>
      </c>
      <c r="T7" s="60">
        <f>T6*'35_Inputs_Capex_WC'!$B$5</f>
        <v>32227.755686947461</v>
      </c>
      <c r="U7" s="60">
        <f>U6*'35_Inputs_Capex_WC'!$B$5</f>
        <v>33993.484695643368</v>
      </c>
      <c r="V7" s="60">
        <f>V6*'35_Inputs_Capex_WC'!$B$5</f>
        <v>35744.665676319935</v>
      </c>
      <c r="W7" s="60">
        <f>W6*'35_Inputs_Capex_WC'!$B$5</f>
        <v>37481.702740866604</v>
      </c>
      <c r="X7" s="60">
        <f>X6*'35_Inputs_Capex_WC'!$B$5</f>
        <v>39204.988775842532</v>
      </c>
      <c r="Y7" s="60">
        <f>Y6*'35_Inputs_Capex_WC'!$B$5</f>
        <v>40914.905754291343</v>
      </c>
      <c r="Z7" s="60">
        <f>Z6*'35_Inputs_Capex_WC'!$B$5</f>
        <v>42611.825038894363</v>
      </c>
      <c r="AA7" s="60">
        <f>AA6*'35_Inputs_Capex_WC'!$B$5</f>
        <v>44296.10767670285</v>
      </c>
      <c r="AB7" s="60">
        <f>AB6*'35_Inputs_Capex_WC'!$B$5</f>
        <v>45968.104685683335</v>
      </c>
      <c r="AC7" s="60">
        <f>AC6*'35_Inputs_Capex_WC'!$B$5</f>
        <v>47628.157333303243</v>
      </c>
      <c r="AD7" s="60">
        <f>AD6*'35_Inputs_Capex_WC'!$B$5</f>
        <v>49276.597407378147</v>
      </c>
      <c r="AE7" s="60">
        <f>AE6*'35_Inputs_Capex_WC'!$B$5</f>
        <v>50913.747479395424</v>
      </c>
      <c r="AF7" s="60">
        <f>AF6*'35_Inputs_Capex_WC'!$B$5</f>
        <v>52539.921160523321</v>
      </c>
      <c r="AG7" s="60">
        <f>AG6*'35_Inputs_Capex_WC'!$B$5</f>
        <v>54155.42335050879</v>
      </c>
      <c r="AH7" s="60">
        <f>AH6*'35_Inputs_Capex_WC'!$B$5</f>
        <v>55760.550479661324</v>
      </c>
      <c r="AI7" s="60">
        <f>AI6*'35_Inputs_Capex_WC'!$B$5</f>
        <v>57355.590744115179</v>
      </c>
      <c r="AJ7" s="60">
        <f>AJ6*'35_Inputs_Capex_WC'!$B$5</f>
        <v>58940.824334556411</v>
      </c>
      <c r="AK7" s="60">
        <f>AK6*'35_Inputs_Capex_WC'!$B$5</f>
        <v>60516.523658596518</v>
      </c>
      <c r="AL7" s="76">
        <f>SUMIF('23_Time'!$B$3:$AK$3, 1,B7:AK7)</f>
        <v>114321.15802313598</v>
      </c>
      <c r="AM7" s="60">
        <f>SUMIF('23_Time'!$B$3:$AK$3, 2,B7:AK7)</f>
        <v>374985.14057666657</v>
      </c>
      <c r="AN7" s="73">
        <f>SUMIF('23_Time'!$B$3:$AK$3, 3,B7:AK7)</f>
        <v>619963.37334931886</v>
      </c>
    </row>
    <row r="8" spans="1:40" ht="15" thickBot="1" x14ac:dyDescent="0.35">
      <c r="A8" s="100" t="s">
        <v>190</v>
      </c>
      <c r="B8" s="153">
        <f>B6+B5-B7</f>
        <v>59776</v>
      </c>
      <c r="C8" s="133">
        <f>C6+C5-C7</f>
        <v>120375.55555555556</v>
      </c>
      <c r="D8" s="133">
        <f t="shared" ref="D8:AK8" si="2">D6+D5-D7</f>
        <v>181775.7901234568</v>
      </c>
      <c r="E8" s="133">
        <f t="shared" si="2"/>
        <v>243954.46262002745</v>
      </c>
      <c r="F8" s="133">
        <f t="shared" si="2"/>
        <v>306889.94976947119</v>
      </c>
      <c r="G8" s="133">
        <f t="shared" si="2"/>
        <v>370561.22894254141</v>
      </c>
      <c r="H8" s="133">
        <f t="shared" si="2"/>
        <v>434947.86147191527</v>
      </c>
      <c r="I8" s="133">
        <f t="shared" si="2"/>
        <v>500029.97643102874</v>
      </c>
      <c r="J8" s="133">
        <f t="shared" si="2"/>
        <v>565788.25486350013</v>
      </c>
      <c r="K8" s="133">
        <f t="shared" si="2"/>
        <v>632203.91445062507</v>
      </c>
      <c r="L8" s="133">
        <f t="shared" si="2"/>
        <v>699258.69460477435</v>
      </c>
      <c r="M8" s="133">
        <f t="shared" si="2"/>
        <v>766934.84197686391</v>
      </c>
      <c r="N8" s="133">
        <f t="shared" si="2"/>
        <v>833973.09636639548</v>
      </c>
      <c r="O8" s="133">
        <f t="shared" si="2"/>
        <v>900391.17702288448</v>
      </c>
      <c r="P8" s="133">
        <f t="shared" si="2"/>
        <v>966206.31099447107</v>
      </c>
      <c r="Q8" s="133">
        <f t="shared" si="2"/>
        <v>1031435.2468001801</v>
      </c>
      <c r="R8" s="133">
        <f t="shared" si="2"/>
        <v>1096094.2677223973</v>
      </c>
      <c r="S8" s="133">
        <f t="shared" si="2"/>
        <v>1160199.2047301086</v>
      </c>
      <c r="T8" s="133">
        <f t="shared" si="2"/>
        <v>1223765.4490431612</v>
      </c>
      <c r="U8" s="133">
        <f t="shared" si="2"/>
        <v>1286807.9643475178</v>
      </c>
      <c r="V8" s="133">
        <f t="shared" si="2"/>
        <v>1349341.2986711978</v>
      </c>
      <c r="W8" s="133">
        <f t="shared" si="2"/>
        <v>1411379.5959303312</v>
      </c>
      <c r="X8" s="133">
        <f t="shared" si="2"/>
        <v>1472936.6071544886</v>
      </c>
      <c r="Y8" s="133">
        <f t="shared" si="2"/>
        <v>1534025.7014001971</v>
      </c>
      <c r="Z8" s="133">
        <f t="shared" si="2"/>
        <v>1594659.8763613028</v>
      </c>
      <c r="AA8" s="133">
        <f t="shared" si="2"/>
        <v>1654851.7686846</v>
      </c>
      <c r="AB8" s="133">
        <f t="shared" si="2"/>
        <v>1714613.6639989167</v>
      </c>
      <c r="AC8" s="133">
        <f t="shared" si="2"/>
        <v>1773957.5066656135</v>
      </c>
      <c r="AD8" s="133">
        <f t="shared" si="2"/>
        <v>1832894.9092582352</v>
      </c>
      <c r="AE8" s="133">
        <f t="shared" si="2"/>
        <v>1891437.1617788398</v>
      </c>
      <c r="AF8" s="133">
        <f t="shared" si="2"/>
        <v>1949595.2406183165</v>
      </c>
      <c r="AG8" s="133">
        <f t="shared" si="2"/>
        <v>2007379.8172678077</v>
      </c>
      <c r="AH8" s="133">
        <f t="shared" si="2"/>
        <v>2064801.2667881465</v>
      </c>
      <c r="AI8" s="133">
        <f t="shared" si="2"/>
        <v>2121869.676044031</v>
      </c>
      <c r="AJ8" s="133">
        <f t="shared" si="2"/>
        <v>2178594.8517094748</v>
      </c>
      <c r="AK8" s="133">
        <f t="shared" si="2"/>
        <v>2234986.3280508784</v>
      </c>
      <c r="AL8" s="134">
        <f>M8</f>
        <v>766934.84197686391</v>
      </c>
      <c r="AM8" s="133">
        <f>Y8</f>
        <v>1534025.7014001971</v>
      </c>
      <c r="AN8" s="135">
        <f>AK8</f>
        <v>2234986.3280508784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89D9-8343-423B-A221-B8E61041149D}">
  <dimension ref="A1:AN9"/>
  <sheetViews>
    <sheetView workbookViewId="0">
      <pane xSplit="1" topLeftCell="AL1" activePane="topRight" state="frozen"/>
      <selection pane="topRight" activeCell="AR13" sqref="AR13"/>
    </sheetView>
  </sheetViews>
  <sheetFormatPr defaultRowHeight="14.4" x14ac:dyDescent="0.3"/>
  <cols>
    <col min="1" max="1" width="20.109375" bestFit="1" customWidth="1"/>
    <col min="2" max="6" width="10.44140625" bestFit="1" customWidth="1"/>
    <col min="7" max="9" width="11.44140625" bestFit="1" customWidth="1"/>
    <col min="10" max="14" width="11.5546875" bestFit="1" customWidth="1"/>
    <col min="15" max="37" width="13.21875" bestFit="1" customWidth="1"/>
    <col min="38" max="38" width="10.44140625" bestFit="1" customWidth="1"/>
    <col min="39" max="40" width="11.44140625" bestFit="1" customWidth="1"/>
  </cols>
  <sheetData>
    <row r="1" spans="1:40" ht="15" thickBot="1" x14ac:dyDescent="0.35">
      <c r="A1" s="95" t="str" cm="1">
        <f t="array" ref="A1:AK2">'23_Time'!A1:AK2</f>
        <v>Month Index</v>
      </c>
      <c r="B1" s="58">
        <v>1</v>
      </c>
      <c r="C1" s="58">
        <v>2</v>
      </c>
      <c r="D1" s="58">
        <v>3</v>
      </c>
      <c r="E1" s="58">
        <v>4</v>
      </c>
      <c r="F1" s="58">
        <v>5</v>
      </c>
      <c r="G1" s="58">
        <v>6</v>
      </c>
      <c r="H1" s="58">
        <v>7</v>
      </c>
      <c r="I1" s="58">
        <v>8</v>
      </c>
      <c r="J1" s="58">
        <v>9</v>
      </c>
      <c r="K1" s="58">
        <v>10</v>
      </c>
      <c r="L1" s="58">
        <v>11</v>
      </c>
      <c r="M1" s="58">
        <v>12</v>
      </c>
      <c r="N1" s="58">
        <v>13</v>
      </c>
      <c r="O1" s="58">
        <v>14</v>
      </c>
      <c r="P1" s="58">
        <v>15</v>
      </c>
      <c r="Q1" s="58">
        <v>16</v>
      </c>
      <c r="R1" s="58">
        <v>17</v>
      </c>
      <c r="S1" s="58">
        <v>18</v>
      </c>
      <c r="T1" s="58">
        <v>19</v>
      </c>
      <c r="U1" s="58">
        <v>20</v>
      </c>
      <c r="V1" s="58">
        <v>21</v>
      </c>
      <c r="W1" s="58">
        <v>22</v>
      </c>
      <c r="X1" s="58">
        <v>23</v>
      </c>
      <c r="Y1" s="58">
        <v>24</v>
      </c>
      <c r="Z1" s="58">
        <v>25</v>
      </c>
      <c r="AA1" s="58">
        <v>26</v>
      </c>
      <c r="AB1" s="58">
        <v>27</v>
      </c>
      <c r="AC1" s="58">
        <v>28</v>
      </c>
      <c r="AD1" s="58">
        <v>29</v>
      </c>
      <c r="AE1" s="58">
        <v>30</v>
      </c>
      <c r="AF1" s="58">
        <v>31</v>
      </c>
      <c r="AG1" s="58">
        <v>32</v>
      </c>
      <c r="AH1" s="58">
        <v>33</v>
      </c>
      <c r="AI1" s="58">
        <v>34</v>
      </c>
      <c r="AJ1" s="58">
        <v>35</v>
      </c>
      <c r="AK1" s="69">
        <v>36</v>
      </c>
    </row>
    <row r="2" spans="1:40" ht="15" thickBot="1" x14ac:dyDescent="0.35">
      <c r="A2" s="96" t="str">
        <v>Month Label</v>
      </c>
      <c r="B2" s="63" t="str">
        <v>M1</v>
      </c>
      <c r="C2" s="63" t="str">
        <v>M2</v>
      </c>
      <c r="D2" s="63" t="str">
        <v>M3</v>
      </c>
      <c r="E2" s="63" t="str">
        <v>M4</v>
      </c>
      <c r="F2" s="63" t="str">
        <v>M5</v>
      </c>
      <c r="G2" s="63" t="str">
        <v>M6</v>
      </c>
      <c r="H2" s="63" t="str">
        <v>M7</v>
      </c>
      <c r="I2" s="63" t="str">
        <v>M8</v>
      </c>
      <c r="J2" s="63" t="str">
        <v>M9</v>
      </c>
      <c r="K2" s="63" t="str">
        <v>M10</v>
      </c>
      <c r="L2" s="63" t="str">
        <v>M11</v>
      </c>
      <c r="M2" s="63" t="str">
        <v>M12</v>
      </c>
      <c r="N2" s="63" t="str">
        <v>M13</v>
      </c>
      <c r="O2" s="63" t="str">
        <v>M14</v>
      </c>
      <c r="P2" s="63" t="str">
        <v>M15</v>
      </c>
      <c r="Q2" s="63" t="str">
        <v>M16</v>
      </c>
      <c r="R2" s="63" t="str">
        <v>M17</v>
      </c>
      <c r="S2" s="63" t="str">
        <v>M18</v>
      </c>
      <c r="T2" s="63" t="str">
        <v>M19</v>
      </c>
      <c r="U2" s="63" t="str">
        <v>M20</v>
      </c>
      <c r="V2" s="63" t="str">
        <v>M21</v>
      </c>
      <c r="W2" s="63" t="str">
        <v>M22</v>
      </c>
      <c r="X2" s="63" t="str">
        <v>M23</v>
      </c>
      <c r="Y2" s="63" t="str">
        <v>M24</v>
      </c>
      <c r="Z2" s="63" t="str">
        <v>M25</v>
      </c>
      <c r="AA2" s="63" t="str">
        <v>M26</v>
      </c>
      <c r="AB2" s="63" t="str">
        <v>M27</v>
      </c>
      <c r="AC2" s="63" t="str">
        <v>M28</v>
      </c>
      <c r="AD2" s="63" t="str">
        <v>M29</v>
      </c>
      <c r="AE2" s="63" t="str">
        <v>M30</v>
      </c>
      <c r="AF2" s="63" t="str">
        <v>M31</v>
      </c>
      <c r="AG2" s="63" t="str">
        <v>M32</v>
      </c>
      <c r="AH2" s="63" t="str">
        <v>M33</v>
      </c>
      <c r="AI2" s="63" t="str">
        <v>M34</v>
      </c>
      <c r="AJ2" s="63" t="str">
        <v>M35</v>
      </c>
      <c r="AK2" s="63" t="str">
        <v>M36</v>
      </c>
      <c r="AL2" s="128" t="s">
        <v>74</v>
      </c>
      <c r="AM2" s="155" t="s">
        <v>75</v>
      </c>
      <c r="AN2" s="156" t="s">
        <v>76</v>
      </c>
    </row>
    <row r="3" spans="1:40" x14ac:dyDescent="0.3">
      <c r="A3" s="97" t="s">
        <v>181</v>
      </c>
      <c r="B3">
        <v>0</v>
      </c>
      <c r="C3" s="54">
        <f>B6</f>
        <v>0</v>
      </c>
      <c r="D3" s="54">
        <f t="shared" ref="D3:AK3" si="0">C6</f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155279.30344107567</v>
      </c>
      <c r="L3" s="54">
        <f t="shared" si="0"/>
        <v>318049.22170789319</v>
      </c>
      <c r="M3" s="54">
        <f t="shared" si="0"/>
        <v>488523.55430386297</v>
      </c>
      <c r="N3" s="54">
        <f t="shared" si="0"/>
        <v>666962.0979908061</v>
      </c>
      <c r="O3" s="54">
        <f t="shared" si="0"/>
        <v>853670.17028867931</v>
      </c>
      <c r="P3" s="54">
        <f t="shared" si="0"/>
        <v>1048998.3905583422</v>
      </c>
      <c r="Q3" s="54">
        <f t="shared" si="0"/>
        <v>1253342.7096995807</v>
      </c>
      <c r="R3" s="54">
        <f t="shared" si="0"/>
        <v>1467144.68101383</v>
      </c>
      <c r="S3" s="54">
        <f t="shared" si="0"/>
        <v>1690891.9662173246</v>
      </c>
      <c r="T3" s="54">
        <f t="shared" si="0"/>
        <v>1925119.0719552529</v>
      </c>
      <c r="U3" s="54">
        <f t="shared" si="0"/>
        <v>2170408.3134697652</v>
      </c>
      <c r="V3" s="54">
        <f t="shared" si="0"/>
        <v>2427391.0033227033</v>
      </c>
      <c r="W3" s="54">
        <f t="shared" si="0"/>
        <v>2696748.8642754573</v>
      </c>
      <c r="X3" s="54">
        <f t="shared" si="0"/>
        <v>2979215.6665908047</v>
      </c>
      <c r="Y3" s="54">
        <f t="shared" si="0"/>
        <v>3275579.0911518205</v>
      </c>
      <c r="Z3" s="54">
        <f t="shared" si="0"/>
        <v>3586682.820897622</v>
      </c>
      <c r="AA3" s="54">
        <f t="shared" si="0"/>
        <v>3913428.8641610402</v>
      </c>
      <c r="AB3" s="54">
        <f t="shared" si="0"/>
        <v>4256780.1145653035</v>
      </c>
      <c r="AC3" s="54">
        <f t="shared" si="0"/>
        <v>4617763.1532012466</v>
      </c>
      <c r="AD3" s="54">
        <f t="shared" si="0"/>
        <v>4997471.2998689478</v>
      </c>
      <c r="AE3" s="54">
        <f t="shared" si="0"/>
        <v>5397067.9212334584</v>
      </c>
      <c r="AF3" s="54">
        <f t="shared" si="0"/>
        <v>5817790.004818649</v>
      </c>
      <c r="AG3" s="54">
        <f t="shared" si="0"/>
        <v>6260952.0088513205</v>
      </c>
      <c r="AH3" s="54">
        <f t="shared" si="0"/>
        <v>6726602.0592323709</v>
      </c>
      <c r="AI3" s="54">
        <f t="shared" si="0"/>
        <v>7210792.7535445485</v>
      </c>
      <c r="AJ3" s="54">
        <f t="shared" si="0"/>
        <v>7709977.9908146113</v>
      </c>
      <c r="AK3" s="54">
        <f t="shared" si="0"/>
        <v>8220977.0050297193</v>
      </c>
      <c r="AL3" s="76">
        <f>B3</f>
        <v>0</v>
      </c>
      <c r="AM3" s="60">
        <f>N3</f>
        <v>666962.0979908061</v>
      </c>
      <c r="AN3" s="73">
        <f>Z3</f>
        <v>3586682.820897622</v>
      </c>
    </row>
    <row r="4" spans="1:40" x14ac:dyDescent="0.3">
      <c r="A4" s="97" t="s">
        <v>164</v>
      </c>
      <c r="B4">
        <f>'41_Revenue_COGS'!B15</f>
        <v>0</v>
      </c>
      <c r="C4" s="54">
        <f>'41_Revenue_COGS'!C15</f>
        <v>0</v>
      </c>
      <c r="D4" s="54">
        <f>'41_Revenue_COGS'!D15</f>
        <v>0</v>
      </c>
      <c r="E4" s="54">
        <f>'41_Revenue_COGS'!E15</f>
        <v>0</v>
      </c>
      <c r="F4" s="54">
        <f>'41_Revenue_COGS'!F15</f>
        <v>0</v>
      </c>
      <c r="G4" s="54">
        <f>'41_Revenue_COGS'!G15</f>
        <v>0</v>
      </c>
      <c r="H4" s="54">
        <f>'41_Revenue_COGS'!H15</f>
        <v>0</v>
      </c>
      <c r="I4" s="54">
        <f>'41_Revenue_COGS'!I15</f>
        <v>0</v>
      </c>
      <c r="J4" s="54">
        <f>'41_Revenue_COGS'!J15</f>
        <v>155279.30344107567</v>
      </c>
      <c r="K4" s="54">
        <f>'41_Revenue_COGS'!K15</f>
        <v>175709.86022024052</v>
      </c>
      <c r="L4" s="54">
        <f>'41_Revenue_COGS'!L15</f>
        <v>196978.43440496089</v>
      </c>
      <c r="M4" s="54">
        <f>'41_Revenue_COGS'!M15</f>
        <v>219148.83987893182</v>
      </c>
      <c r="N4" s="54">
        <f>'41_Revenue_COGS'!N15</f>
        <v>242288.24713044043</v>
      </c>
      <c r="O4" s="54">
        <f>'41_Revenue_COGS'!O15</f>
        <v>266467.40112705273</v>
      </c>
      <c r="P4" s="54">
        <f>'41_Revenue_COGS'!P15</f>
        <v>291760.85168776702</v>
      </c>
      <c r="Q4" s="54">
        <f>'41_Revenue_COGS'!Q15</f>
        <v>318247.19712254772</v>
      </c>
      <c r="R4" s="54">
        <f>'41_Revenue_COGS'!R15</f>
        <v>346009.34195464716</v>
      </c>
      <c r="S4" s="54">
        <f>'41_Revenue_COGS'!S15</f>
        <v>375134.76958937198</v>
      </c>
      <c r="T4" s="54">
        <f>'41_Revenue_COGS'!T15</f>
        <v>405715.83084411704</v>
      </c>
      <c r="U4" s="54">
        <f>'41_Revenue_COGS'!U15</f>
        <v>437850.04930875177</v>
      </c>
      <c r="V4" s="54">
        <f>'41_Revenue_COGS'!V15</f>
        <v>471640.44456297939</v>
      </c>
      <c r="W4" s="54">
        <f>'41_Revenue_COGS'!W15</f>
        <v>507195.87433830235</v>
      </c>
      <c r="X4" s="54">
        <f>'41_Revenue_COGS'!X15</f>
        <v>544631.39677691611</v>
      </c>
      <c r="Y4" s="54">
        <f>'41_Revenue_COGS'!Y15</f>
        <v>584068.65400845336</v>
      </c>
      <c r="Z4" s="54">
        <f>'41_Revenue_COGS'!Z15</f>
        <v>625636.2783382202</v>
      </c>
      <c r="AA4" s="54">
        <f>'41_Revenue_COGS'!AA15</f>
        <v>669470.32241768343</v>
      </c>
      <c r="AB4" s="54">
        <f>'41_Revenue_COGS'!AB15</f>
        <v>715714.71484971826</v>
      </c>
      <c r="AC4" s="54">
        <f>'41_Revenue_COGS'!AC15</f>
        <v>764521.742767805</v>
      </c>
      <c r="AD4" s="54">
        <f>'41_Revenue_COGS'!AD15</f>
        <v>816052.56302025635</v>
      </c>
      <c r="AE4" s="54">
        <f>'41_Revenue_COGS'!AE15</f>
        <v>870477.7436879786</v>
      </c>
      <c r="AF4" s="54">
        <f>'41_Revenue_COGS'!AF15</f>
        <v>927977.83776755922</v>
      </c>
      <c r="AG4" s="54">
        <f>'41_Revenue_COGS'!AG15</f>
        <v>987396.0511186606</v>
      </c>
      <c r="AH4" s="54">
        <f>'41_Revenue_COGS'!AH15</f>
        <v>1044740.8659148749</v>
      </c>
      <c r="AI4" s="54">
        <f>'41_Revenue_COGS'!AI15</f>
        <v>1100084.6333987752</v>
      </c>
      <c r="AJ4" s="54">
        <f>'41_Revenue_COGS'!AJ15</f>
        <v>1153497.1801163254</v>
      </c>
      <c r="AK4" s="54">
        <f>'41_Revenue_COGS'!AK15</f>
        <v>1205045.8960161663</v>
      </c>
      <c r="AL4" s="76">
        <f>SUMIF('23_Time'!$B$3:$AK$3, 1,B4:AK4)</f>
        <v>747116.43794520898</v>
      </c>
      <c r="AM4" s="60">
        <f>SUMIF('23_Time'!$B$3:$AK$3, 2,B4:AK4)</f>
        <v>4791010.0584513471</v>
      </c>
      <c r="AN4" s="73">
        <f>SUMIF('23_Time'!$B$3:$AK$3, 3,B4:AK4)</f>
        <v>10880615.829414023</v>
      </c>
    </row>
    <row r="5" spans="1:40" x14ac:dyDescent="0.3">
      <c r="A5" s="97" t="s">
        <v>182</v>
      </c>
      <c r="B5">
        <f>B3*'31_Inputs_UnitEconomics'!$C$19</f>
        <v>0</v>
      </c>
      <c r="C5" s="54">
        <f>C3*'31_Inputs_UnitEconomics'!$C$19</f>
        <v>0</v>
      </c>
      <c r="D5" s="54">
        <f>D3*'31_Inputs_UnitEconomics'!$C$19</f>
        <v>0</v>
      </c>
      <c r="E5" s="54">
        <f>E3*'31_Inputs_UnitEconomics'!$C$19</f>
        <v>0</v>
      </c>
      <c r="F5" s="54">
        <f>F3*'31_Inputs_UnitEconomics'!$C$19</f>
        <v>0</v>
      </c>
      <c r="G5" s="54">
        <f>G3*'31_Inputs_UnitEconomics'!$C$19</f>
        <v>0</v>
      </c>
      <c r="H5" s="54">
        <f>H3*'31_Inputs_UnitEconomics'!$C$19</f>
        <v>0</v>
      </c>
      <c r="I5" s="54">
        <f>I3*'31_Inputs_UnitEconomics'!$C$19</f>
        <v>0</v>
      </c>
      <c r="J5" s="54">
        <f>J3*'31_Inputs_UnitEconomics'!$C$19</f>
        <v>0</v>
      </c>
      <c r="K5" s="54">
        <f>K3*'31_Inputs_UnitEconomics'!$C$19</f>
        <v>12939.941953422971</v>
      </c>
      <c r="L5" s="54">
        <f>L3*'31_Inputs_UnitEconomics'!$C$19</f>
        <v>26504.101808991098</v>
      </c>
      <c r="M5" s="54">
        <f>M3*'31_Inputs_UnitEconomics'!$C$19</f>
        <v>40710.296191988578</v>
      </c>
      <c r="N5" s="54">
        <f>N3*'31_Inputs_UnitEconomics'!$C$19</f>
        <v>55580.174832567172</v>
      </c>
      <c r="O5" s="54">
        <f>O3*'31_Inputs_UnitEconomics'!$C$19</f>
        <v>71139.180857389932</v>
      </c>
      <c r="P5" s="54">
        <f>P3*'31_Inputs_UnitEconomics'!$C$19</f>
        <v>87416.532546528513</v>
      </c>
      <c r="Q5" s="54">
        <f>Q3*'31_Inputs_UnitEconomics'!$C$19</f>
        <v>104445.22580829839</v>
      </c>
      <c r="R5" s="54">
        <f>R3*'31_Inputs_UnitEconomics'!$C$19</f>
        <v>122262.0567511525</v>
      </c>
      <c r="S5" s="54">
        <f>S3*'31_Inputs_UnitEconomics'!$C$19</f>
        <v>140907.66385144371</v>
      </c>
      <c r="T5" s="54">
        <f>T3*'31_Inputs_UnitEconomics'!$C$19</f>
        <v>160426.58932960441</v>
      </c>
      <c r="U5" s="54">
        <f>U3*'31_Inputs_UnitEconomics'!$C$19</f>
        <v>180867.35945581377</v>
      </c>
      <c r="V5" s="54">
        <f>V3*'31_Inputs_UnitEconomics'!$C$19</f>
        <v>202282.58361022527</v>
      </c>
      <c r="W5" s="54">
        <f>W3*'31_Inputs_UnitEconomics'!$C$19</f>
        <v>224729.07202295476</v>
      </c>
      <c r="X5" s="54">
        <f>X3*'31_Inputs_UnitEconomics'!$C$19</f>
        <v>248267.97221590037</v>
      </c>
      <c r="Y5" s="54">
        <f>Y3*'31_Inputs_UnitEconomics'!$C$19</f>
        <v>272964.92426265171</v>
      </c>
      <c r="Z5" s="54">
        <f>Z3*'31_Inputs_UnitEconomics'!$C$19</f>
        <v>298890.23507480184</v>
      </c>
      <c r="AA5" s="54">
        <f>AA3*'31_Inputs_UnitEconomics'!$C$19</f>
        <v>326119.07201341999</v>
      </c>
      <c r="AB5" s="54">
        <f>AB3*'31_Inputs_UnitEconomics'!$C$19</f>
        <v>354731.6762137753</v>
      </c>
      <c r="AC5" s="54">
        <f>AC3*'31_Inputs_UnitEconomics'!$C$19</f>
        <v>384813.59610010387</v>
      </c>
      <c r="AD5" s="54">
        <f>AD3*'31_Inputs_UnitEconomics'!$C$19</f>
        <v>416455.94165574561</v>
      </c>
      <c r="AE5" s="54">
        <f>AE3*'31_Inputs_UnitEconomics'!$C$19</f>
        <v>449755.66010278818</v>
      </c>
      <c r="AF5" s="54">
        <f>AF3*'31_Inputs_UnitEconomics'!$C$19</f>
        <v>484815.83373488742</v>
      </c>
      <c r="AG5" s="54">
        <f>AG3*'31_Inputs_UnitEconomics'!$C$19</f>
        <v>521746.00073761004</v>
      </c>
      <c r="AH5" s="54">
        <f>AH3*'31_Inputs_UnitEconomics'!$C$19</f>
        <v>560550.17160269758</v>
      </c>
      <c r="AI5" s="54">
        <f>AI3*'31_Inputs_UnitEconomics'!$C$19</f>
        <v>600899.39612871234</v>
      </c>
      <c r="AJ5" s="54">
        <f>AJ3*'31_Inputs_UnitEconomics'!$C$19</f>
        <v>642498.16590121761</v>
      </c>
      <c r="AK5" s="54">
        <f>AK3*'31_Inputs_UnitEconomics'!$C$19</f>
        <v>685081.41708580987</v>
      </c>
      <c r="AL5" s="76">
        <f>SUMIF('23_Time'!$B$3:$AK$3, 1,B5:AK5)</f>
        <v>80154.339954402647</v>
      </c>
      <c r="AM5" s="60">
        <f>SUMIF('23_Time'!$B$3:$AK$3, 2,B5:AK5)</f>
        <v>1871289.3355445305</v>
      </c>
      <c r="AN5" s="73">
        <f>SUMIF('23_Time'!$B$3:$AK$3, 3,B5:AK5)</f>
        <v>5726357.1663515698</v>
      </c>
    </row>
    <row r="6" spans="1:40" ht="15" thickBot="1" x14ac:dyDescent="0.35">
      <c r="A6" s="97" t="s">
        <v>184</v>
      </c>
      <c r="B6">
        <f>B3+B4-B5</f>
        <v>0</v>
      </c>
      <c r="C6" s="54">
        <f>C3+C4-C5</f>
        <v>0</v>
      </c>
      <c r="D6" s="54">
        <f t="shared" ref="D6:AK6" si="1">D3+D4-D5</f>
        <v>0</v>
      </c>
      <c r="E6" s="54">
        <f t="shared" si="1"/>
        <v>0</v>
      </c>
      <c r="F6" s="54">
        <f t="shared" si="1"/>
        <v>0</v>
      </c>
      <c r="G6" s="54">
        <f t="shared" si="1"/>
        <v>0</v>
      </c>
      <c r="H6" s="54">
        <f t="shared" si="1"/>
        <v>0</v>
      </c>
      <c r="I6" s="54">
        <f t="shared" si="1"/>
        <v>0</v>
      </c>
      <c r="J6" s="54">
        <f t="shared" si="1"/>
        <v>155279.30344107567</v>
      </c>
      <c r="K6" s="54">
        <f t="shared" si="1"/>
        <v>318049.22170789319</v>
      </c>
      <c r="L6" s="54">
        <f t="shared" si="1"/>
        <v>488523.55430386297</v>
      </c>
      <c r="M6" s="54">
        <f t="shared" si="1"/>
        <v>666962.0979908061</v>
      </c>
      <c r="N6" s="54">
        <f t="shared" si="1"/>
        <v>853670.17028867931</v>
      </c>
      <c r="O6" s="54">
        <f t="shared" si="1"/>
        <v>1048998.3905583422</v>
      </c>
      <c r="P6" s="54">
        <f t="shared" si="1"/>
        <v>1253342.7096995807</v>
      </c>
      <c r="Q6" s="54">
        <f t="shared" si="1"/>
        <v>1467144.68101383</v>
      </c>
      <c r="R6" s="54">
        <f t="shared" si="1"/>
        <v>1690891.9662173246</v>
      </c>
      <c r="S6" s="54">
        <f t="shared" si="1"/>
        <v>1925119.0719552529</v>
      </c>
      <c r="T6" s="54">
        <f t="shared" si="1"/>
        <v>2170408.3134697652</v>
      </c>
      <c r="U6" s="54">
        <f t="shared" si="1"/>
        <v>2427391.0033227033</v>
      </c>
      <c r="V6" s="54">
        <f t="shared" si="1"/>
        <v>2696748.8642754573</v>
      </c>
      <c r="W6" s="54">
        <f t="shared" si="1"/>
        <v>2979215.6665908047</v>
      </c>
      <c r="X6" s="54">
        <f t="shared" si="1"/>
        <v>3275579.0911518205</v>
      </c>
      <c r="Y6" s="54">
        <f t="shared" si="1"/>
        <v>3586682.820897622</v>
      </c>
      <c r="Z6" s="54">
        <f t="shared" si="1"/>
        <v>3913428.8641610402</v>
      </c>
      <c r="AA6" s="54">
        <f t="shared" si="1"/>
        <v>4256780.1145653035</v>
      </c>
      <c r="AB6" s="54">
        <f t="shared" si="1"/>
        <v>4617763.1532012466</v>
      </c>
      <c r="AC6" s="54">
        <f t="shared" si="1"/>
        <v>4997471.2998689478</v>
      </c>
      <c r="AD6" s="54">
        <f t="shared" si="1"/>
        <v>5397067.9212334584</v>
      </c>
      <c r="AE6" s="54">
        <f t="shared" si="1"/>
        <v>5817790.004818649</v>
      </c>
      <c r="AF6" s="54">
        <f t="shared" si="1"/>
        <v>6260952.0088513205</v>
      </c>
      <c r="AG6" s="54">
        <f t="shared" si="1"/>
        <v>6726602.0592323709</v>
      </c>
      <c r="AH6" s="54">
        <f t="shared" si="1"/>
        <v>7210792.7535445485</v>
      </c>
      <c r="AI6" s="54">
        <f t="shared" si="1"/>
        <v>7709977.9908146113</v>
      </c>
      <c r="AJ6" s="54">
        <f t="shared" si="1"/>
        <v>8220977.0050297193</v>
      </c>
      <c r="AK6" s="54">
        <f t="shared" si="1"/>
        <v>8740941.4839600753</v>
      </c>
      <c r="AL6" s="76">
        <f>M6</f>
        <v>666962.0979908061</v>
      </c>
      <c r="AM6" s="60">
        <f>Y6</f>
        <v>3586682.820897622</v>
      </c>
      <c r="AN6" s="73">
        <f>AK6</f>
        <v>8740941.4839600753</v>
      </c>
    </row>
    <row r="7" spans="1:40" x14ac:dyDescent="0.3">
      <c r="A7" s="98" t="s">
        <v>193</v>
      </c>
      <c r="B7" s="137">
        <f>'41_Revenue_COGS'!B18*'35_Inputs_Capex_WC'!$B$6/30</f>
        <v>15844</v>
      </c>
      <c r="C7" s="137">
        <f>'41_Revenue_COGS'!C18*'35_Inputs_Capex_WC'!$B$6/30</f>
        <v>32085.763619999994</v>
      </c>
      <c r="D7" s="137">
        <f>'41_Revenue_COGS'!D18*'35_Inputs_Capex_WC'!$B$6/30</f>
        <v>48768.449298480089</v>
      </c>
      <c r="E7" s="137">
        <f>'41_Revenue_COGS'!E18*'35_Inputs_Capex_WC'!$B$6/30</f>
        <v>65937.131764209626</v>
      </c>
      <c r="F7" s="137">
        <f>'41_Revenue_COGS'!F18*'35_Inputs_Capex_WC'!$B$6/30</f>
        <v>83638.940505537525</v>
      </c>
      <c r="G7" s="137">
        <f>'41_Revenue_COGS'!G18*'35_Inputs_Capex_WC'!$B$6/30</f>
        <v>101923.20572809123</v>
      </c>
      <c r="H7" s="137">
        <f>'41_Revenue_COGS'!H18*'35_Inputs_Capex_WC'!$B$6/30</f>
        <v>120841.61227879353</v>
      </c>
      <c r="I7" s="137">
        <f>'41_Revenue_COGS'!I18*'35_Inputs_Capex_WC'!$B$6/30</f>
        <v>140448.36204178413</v>
      </c>
      <c r="J7" s="137">
        <f>'41_Revenue_COGS'!J18*'35_Inputs_Capex_WC'!$B$6/30</f>
        <v>163005.31145006607</v>
      </c>
      <c r="K7" s="137">
        <f>'41_Revenue_COGS'!K18*'35_Inputs_Capex_WC'!$B$6/30</f>
        <v>185107.16299493081</v>
      </c>
      <c r="L7" s="137">
        <f>'41_Revenue_COGS'!L18*'35_Inputs_Capex_WC'!$B$6/30</f>
        <v>208120.31339277825</v>
      </c>
      <c r="M7" s="137">
        <f>'41_Revenue_COGS'!M18*'35_Inputs_Capex_WC'!$B$6/30</f>
        <v>232112.65314377815</v>
      </c>
      <c r="N7" s="137">
        <f>'41_Revenue_COGS'!N18*'35_Inputs_Capex_WC'!$B$6/30</f>
        <v>257155.79031752516</v>
      </c>
      <c r="O7" s="137">
        <f>'41_Revenue_COGS'!O18*'35_Inputs_Capex_WC'!$B$6/30</f>
        <v>283325.27725895826</v>
      </c>
      <c r="P7" s="137">
        <f>'41_Revenue_COGS'!P18*'35_Inputs_Capex_WC'!$B$6/30</f>
        <v>310700.85149970825</v>
      </c>
      <c r="Q7" s="137">
        <f>'41_Revenue_COGS'!Q18*'35_Inputs_Capex_WC'!$B$6/30</f>
        <v>339366.6916452783</v>
      </c>
      <c r="R7" s="137">
        <f>'41_Revenue_COGS'!R18*'35_Inputs_Capex_WC'!$B$6/30</f>
        <v>369411.68906262115</v>
      </c>
      <c r="S7" s="137">
        <f>'41_Revenue_COGS'!S18*'35_Inputs_Capex_WC'!$B$6/30</f>
        <v>400929.73624937964</v>
      </c>
      <c r="T7" s="137">
        <f>'41_Revenue_COGS'!T18*'35_Inputs_Capex_WC'!$B$6/30</f>
        <v>434020.03282552789</v>
      </c>
      <c r="U7" s="137">
        <f>'41_Revenue_COGS'!U18*'35_Inputs_Capex_WC'!$B$6/30</f>
        <v>468787.41015060025</v>
      </c>
      <c r="V7" s="137">
        <f>'41_Revenue_COGS'!V18*'35_Inputs_Capex_WC'!$B$6/30</f>
        <v>505342.67563535704</v>
      </c>
      <c r="W7" s="137">
        <f>'41_Revenue_COGS'!W18*'35_Inputs_Capex_WC'!$B$6/30</f>
        <v>543802.97788585187</v>
      </c>
      <c r="X7" s="137">
        <f>'41_Revenue_COGS'!X18*'35_Inputs_Capex_WC'!$B$6/30</f>
        <v>584292.19389067427</v>
      </c>
      <c r="Y7" s="137">
        <f>'41_Revenue_COGS'!Y18*'35_Inputs_Capex_WC'!$B$6/30</f>
        <v>626941.33953891951</v>
      </c>
      <c r="Z7" s="137">
        <f>'41_Revenue_COGS'!Z18*'35_Inputs_Capex_WC'!$B$6/30</f>
        <v>671889.00483743346</v>
      </c>
      <c r="AA7" s="137">
        <f>'41_Revenue_COGS'!AA18*'35_Inputs_Capex_WC'!$B$6/30</f>
        <v>719281.81528141128</v>
      </c>
      <c r="AB7" s="137">
        <f>'41_Revenue_COGS'!AB18*'35_Inputs_Capex_WC'!$B$6/30</f>
        <v>769274.92092276912</v>
      </c>
      <c r="AC7" s="137">
        <f>'41_Revenue_COGS'!AC18*'35_Inputs_Capex_WC'!$B$6/30</f>
        <v>822032.51477618387</v>
      </c>
      <c r="AD7" s="137">
        <f>'41_Revenue_COGS'!AD18*'35_Inputs_Capex_WC'!$B$6/30</f>
        <v>877728.38230364502</v>
      </c>
      <c r="AE7" s="137">
        <f>'41_Revenue_COGS'!AE18*'35_Inputs_Capex_WC'!$B$6/30</f>
        <v>936546.48382512154</v>
      </c>
      <c r="AF7" s="137">
        <f>'41_Revenue_COGS'!AF18*'35_Inputs_Capex_WC'!$B$6/30</f>
        <v>998681.57181591284</v>
      </c>
      <c r="AG7" s="137">
        <f>'41_Revenue_COGS'!AG18*'35_Inputs_Capex_WC'!$B$6/30</f>
        <v>1062924.8378327545</v>
      </c>
      <c r="AH7" s="137">
        <f>'41_Revenue_COGS'!AH18*'35_Inputs_Capex_WC'!$B$6/30</f>
        <v>1125086.3667931582</v>
      </c>
      <c r="AI7" s="137">
        <f>'41_Revenue_COGS'!AI18*'35_Inputs_Capex_WC'!$B$6/30</f>
        <v>1185225.4649357735</v>
      </c>
      <c r="AJ7" s="137">
        <f>'41_Revenue_COGS'!AJ18*'35_Inputs_Capex_WC'!$B$6/30</f>
        <v>1243400.4803393816</v>
      </c>
      <c r="AK7" s="137">
        <f>'41_Revenue_COGS'!AK18*'35_Inputs_Capex_WC'!$B$6/30</f>
        <v>1299668.7437469349</v>
      </c>
      <c r="AL7" s="138">
        <f>M7</f>
        <v>232112.65314377815</v>
      </c>
      <c r="AM7" s="137">
        <f>Y7</f>
        <v>626941.33953891951</v>
      </c>
      <c r="AN7" s="139">
        <f>AK7</f>
        <v>1299668.7437469349</v>
      </c>
    </row>
    <row r="8" spans="1:40" x14ac:dyDescent="0.3">
      <c r="A8" s="99" t="s">
        <v>192</v>
      </c>
      <c r="B8" s="154">
        <f>'41_Revenue_COGS'!B5*'35_Inputs_Capex_WC'!$B$7/30</f>
        <v>4462.5</v>
      </c>
      <c r="C8" s="154">
        <f>'41_Revenue_COGS'!C5*'35_Inputs_Capex_WC'!$B$7/30</f>
        <v>9037.0310625000002</v>
      </c>
      <c r="D8" s="154">
        <f>'41_Revenue_COGS'!D5*'35_Inputs_Capex_WC'!$B$7/30</f>
        <v>13735.748863574063</v>
      </c>
      <c r="E8" s="154">
        <f>'41_Revenue_COGS'!E5*'35_Inputs_Capex_WC'!$B$7/30</f>
        <v>18571.348806979644</v>
      </c>
      <c r="F8" s="154">
        <f>'41_Revenue_COGS'!F5*'35_Inputs_Capex_WC'!$B$7/30</f>
        <v>23557.105024360088</v>
      </c>
      <c r="G8" s="154">
        <f>'41_Revenue_COGS'!G5*'35_Inputs_Capex_WC'!$B$7/30</f>
        <v>28706.911484575048</v>
      </c>
      <c r="H8" s="154">
        <f>'41_Revenue_COGS'!H5*'35_Inputs_Capex_WC'!$B$7/30</f>
        <v>34035.325346763202</v>
      </c>
      <c r="I8" s="154">
        <f>'41_Revenue_COGS'!I5*'35_Inputs_Capex_WC'!$B$7/30</f>
        <v>39557.612699536854</v>
      </c>
      <c r="J8" s="154">
        <f>'41_Revenue_COGS'!J5*'35_Inputs_Capex_WC'!$B$7/30</f>
        <v>45289.7968369804</v>
      </c>
      <c r="K8" s="154">
        <f>'41_Revenue_COGS'!K5*'35_Inputs_Capex_WC'!$B$7/30</f>
        <v>51248.709230903485</v>
      </c>
      <c r="L8" s="154">
        <f>'41_Revenue_COGS'!L5*'35_Inputs_Capex_WC'!$B$7/30</f>
        <v>57452.043368113598</v>
      </c>
      <c r="M8" s="154">
        <f>'41_Revenue_COGS'!M5*'35_Inputs_Capex_WC'!$B$7/30</f>
        <v>63918.411631355106</v>
      </c>
      <c r="N8" s="154">
        <f>'41_Revenue_COGS'!N5*'35_Inputs_Capex_WC'!$B$7/30</f>
        <v>70667.405413045126</v>
      </c>
      <c r="O8" s="154">
        <f>'41_Revenue_COGS'!O5*'35_Inputs_Capex_WC'!$B$7/30</f>
        <v>77719.658662057045</v>
      </c>
      <c r="P8" s="154">
        <f>'41_Revenue_COGS'!P5*'35_Inputs_Capex_WC'!$B$7/30</f>
        <v>85096.915075598721</v>
      </c>
      <c r="Q8" s="154">
        <f>'41_Revenue_COGS'!Q5*'35_Inputs_Capex_WC'!$B$7/30</f>
        <v>92822.099160743077</v>
      </c>
      <c r="R8" s="154">
        <f>'41_Revenue_COGS'!R5*'35_Inputs_Capex_WC'!$B$7/30</f>
        <v>100919.39140343876</v>
      </c>
      <c r="S8" s="154">
        <f>'41_Revenue_COGS'!S5*'35_Inputs_Capex_WC'!$B$7/30</f>
        <v>109414.30779690015</v>
      </c>
      <c r="T8" s="154">
        <f>'41_Revenue_COGS'!T5*'35_Inputs_Capex_WC'!$B$7/30</f>
        <v>118333.7839962008</v>
      </c>
      <c r="U8" s="154">
        <f>'41_Revenue_COGS'!U5*'35_Inputs_Capex_WC'!$B$7/30</f>
        <v>127706.26438171926</v>
      </c>
      <c r="V8" s="154">
        <f>'41_Revenue_COGS'!V5*'35_Inputs_Capex_WC'!$B$7/30</f>
        <v>137561.79633086899</v>
      </c>
      <c r="W8" s="154">
        <f>'41_Revenue_COGS'!W5*'35_Inputs_Capex_WC'!$B$7/30</f>
        <v>147932.13001533819</v>
      </c>
      <c r="X8" s="154">
        <f>'41_Revenue_COGS'!X5*'35_Inputs_Capex_WC'!$B$7/30</f>
        <v>158850.82405993386</v>
      </c>
      <c r="Y8" s="154">
        <f>'41_Revenue_COGS'!Y5*'35_Inputs_Capex_WC'!$B$7/30</f>
        <v>170353.35741913223</v>
      </c>
      <c r="Z8" s="154">
        <f>'41_Revenue_COGS'!Z5*'35_Inputs_Capex_WC'!$B$7/30</f>
        <v>182477.24784864756</v>
      </c>
      <c r="AA8" s="154">
        <f>'41_Revenue_COGS'!AA5*'35_Inputs_Capex_WC'!$B$7/30</f>
        <v>195262.17737182433</v>
      </c>
      <c r="AB8" s="154">
        <f>'41_Revenue_COGS'!AB5*'35_Inputs_Capex_WC'!$B$7/30</f>
        <v>208750.12516450117</v>
      </c>
      <c r="AC8" s="154">
        <f>'41_Revenue_COGS'!AC5*'35_Inputs_Capex_WC'!$B$7/30</f>
        <v>222985.50830727647</v>
      </c>
      <c r="AD8" s="154">
        <f>'41_Revenue_COGS'!AD5*'35_Inputs_Capex_WC'!$B$7/30</f>
        <v>238015.33088090815</v>
      </c>
      <c r="AE8" s="154">
        <f>'41_Revenue_COGS'!AE5*'35_Inputs_Capex_WC'!$B$7/30</f>
        <v>253889.34190899375</v>
      </c>
      <c r="AF8" s="154">
        <f>'41_Revenue_COGS'!AF5*'35_Inputs_Capex_WC'!$B$7/30</f>
        <v>270660.20268220478</v>
      </c>
      <c r="AG8" s="154">
        <f>'41_Revenue_COGS'!AG5*'35_Inputs_Capex_WC'!$B$7/30</f>
        <v>287990.51490960934</v>
      </c>
      <c r="AH8" s="154">
        <f>'41_Revenue_COGS'!AH5*'35_Inputs_Capex_WC'!$B$7/30</f>
        <v>304716.08589183848</v>
      </c>
      <c r="AI8" s="154">
        <f>'41_Revenue_COGS'!AI5*'35_Inputs_Capex_WC'!$B$7/30</f>
        <v>320858.01807464281</v>
      </c>
      <c r="AJ8" s="154">
        <f>'41_Revenue_COGS'!AJ5*'35_Inputs_Capex_WC'!$B$7/30</f>
        <v>336436.67753392819</v>
      </c>
      <c r="AK8" s="154">
        <f>'41_Revenue_COGS'!AK5*'35_Inputs_Capex_WC'!$B$7/30</f>
        <v>351471.71967138181</v>
      </c>
      <c r="AL8" s="146">
        <f t="shared" ref="AL8:AL9" si="2">M8</f>
        <v>63918.411631355106</v>
      </c>
      <c r="AM8" s="140">
        <f t="shared" ref="AM8:AM9" si="3">Y8</f>
        <v>170353.35741913223</v>
      </c>
      <c r="AN8" s="144">
        <f t="shared" ref="AN8:AN9" si="4">AK8</f>
        <v>351471.71967138181</v>
      </c>
    </row>
    <row r="9" spans="1:40" ht="15" thickBot="1" x14ac:dyDescent="0.35">
      <c r="A9" s="100" t="s">
        <v>194</v>
      </c>
      <c r="B9" s="133">
        <f>'41_Revenue_COGS'!B10*'35_Inputs_Capex_WC'!$B$8</f>
        <v>7650</v>
      </c>
      <c r="C9" s="133">
        <f>'41_Revenue_COGS'!C10*'35_Inputs_Capex_WC'!$B$8</f>
        <v>15492.053250000001</v>
      </c>
      <c r="D9" s="133">
        <f>'41_Revenue_COGS'!D10*'35_Inputs_Capex_WC'!$B$8</f>
        <v>23546.998051841249</v>
      </c>
      <c r="E9" s="133">
        <f>'41_Revenue_COGS'!E10*'35_Inputs_Capex_WC'!$B$8</f>
        <v>31836.597954822242</v>
      </c>
      <c r="F9" s="133">
        <f>'41_Revenue_COGS'!F10*'35_Inputs_Capex_WC'!$B$8</f>
        <v>40383.60861318872</v>
      </c>
      <c r="G9" s="133">
        <f>'41_Revenue_COGS'!G10*'35_Inputs_Capex_WC'!$B$8</f>
        <v>49211.848259271508</v>
      </c>
      <c r="H9" s="133">
        <f>'41_Revenue_COGS'!H10*'35_Inputs_Capex_WC'!$B$8</f>
        <v>58346.272023022626</v>
      </c>
      <c r="I9" s="133">
        <f>'41_Revenue_COGS'!I10*'35_Inputs_Capex_WC'!$B$8</f>
        <v>67813.050342063158</v>
      </c>
      <c r="J9" s="133">
        <f>'41_Revenue_COGS'!J10*'35_Inputs_Capex_WC'!$B$8</f>
        <v>77639.651720537819</v>
      </c>
      <c r="K9" s="133">
        <f>'41_Revenue_COGS'!K10*'35_Inputs_Capex_WC'!$B$8</f>
        <v>87854.930110120244</v>
      </c>
      <c r="L9" s="133">
        <f>'41_Revenue_COGS'!L10*'35_Inputs_Capex_WC'!$B$8</f>
        <v>98489.217202480446</v>
      </c>
      <c r="M9" s="133">
        <f>'41_Revenue_COGS'!M10*'35_Inputs_Capex_WC'!$B$8</f>
        <v>109574.41993946588</v>
      </c>
      <c r="N9" s="133">
        <f>'41_Revenue_COGS'!N10*'35_Inputs_Capex_WC'!$B$8</f>
        <v>121144.1235652202</v>
      </c>
      <c r="O9" s="133">
        <f>'41_Revenue_COGS'!O10*'35_Inputs_Capex_WC'!$B$8</f>
        <v>133233.70056352636</v>
      </c>
      <c r="P9" s="133">
        <f>'41_Revenue_COGS'!P10*'35_Inputs_Capex_WC'!$B$8</f>
        <v>145880.42584388348</v>
      </c>
      <c r="Q9" s="133">
        <f>'41_Revenue_COGS'!Q10*'35_Inputs_Capex_WC'!$B$8</f>
        <v>159123.59856127383</v>
      </c>
      <c r="R9" s="133">
        <f>'41_Revenue_COGS'!R10*'35_Inputs_Capex_WC'!$B$8</f>
        <v>173004.67097732358</v>
      </c>
      <c r="S9" s="133">
        <f>'41_Revenue_COGS'!S10*'35_Inputs_Capex_WC'!$B$8</f>
        <v>187567.38479468596</v>
      </c>
      <c r="T9" s="133">
        <f>'41_Revenue_COGS'!T10*'35_Inputs_Capex_WC'!$B$8</f>
        <v>202857.91542205852</v>
      </c>
      <c r="U9" s="133">
        <f>'41_Revenue_COGS'!U10*'35_Inputs_Capex_WC'!$B$8</f>
        <v>218925.02465437588</v>
      </c>
      <c r="V9" s="133">
        <f>'41_Revenue_COGS'!V10*'35_Inputs_Capex_WC'!$B$8</f>
        <v>235820.22228148967</v>
      </c>
      <c r="W9" s="133">
        <f>'41_Revenue_COGS'!W10*'35_Inputs_Capex_WC'!$B$8</f>
        <v>253597.93716915115</v>
      </c>
      <c r="X9" s="133">
        <f>'41_Revenue_COGS'!X10*'35_Inputs_Capex_WC'!$B$8</f>
        <v>272315.69838845805</v>
      </c>
      <c r="Y9" s="133">
        <f>'41_Revenue_COGS'!Y10*'35_Inputs_Capex_WC'!$B$8</f>
        <v>292034.32700422668</v>
      </c>
      <c r="Z9" s="133">
        <f>'41_Revenue_COGS'!Z10*'35_Inputs_Capex_WC'!$B$8</f>
        <v>312818.1391691101</v>
      </c>
      <c r="AA9" s="133">
        <f>'41_Revenue_COGS'!AA10*'35_Inputs_Capex_WC'!$B$8</f>
        <v>334735.16120884172</v>
      </c>
      <c r="AB9" s="133">
        <f>'41_Revenue_COGS'!AB10*'35_Inputs_Capex_WC'!$B$8</f>
        <v>357857.35742485907</v>
      </c>
      <c r="AC9" s="133">
        <f>'41_Revenue_COGS'!AC10*'35_Inputs_Capex_WC'!$B$8</f>
        <v>382260.8713839025</v>
      </c>
      <c r="AD9" s="133">
        <f>'41_Revenue_COGS'!AD10*'35_Inputs_Capex_WC'!$B$8</f>
        <v>408026.28151012817</v>
      </c>
      <c r="AE9" s="133">
        <f>'41_Revenue_COGS'!AE10*'35_Inputs_Capex_WC'!$B$8</f>
        <v>435238.87184398918</v>
      </c>
      <c r="AF9" s="133">
        <f>'41_Revenue_COGS'!AF10*'35_Inputs_Capex_WC'!$B$8</f>
        <v>463988.91888377967</v>
      </c>
      <c r="AG9" s="133">
        <f>'41_Revenue_COGS'!AG10*'35_Inputs_Capex_WC'!$B$8</f>
        <v>493698.0255593303</v>
      </c>
      <c r="AH9" s="133">
        <f>'41_Revenue_COGS'!AH10*'35_Inputs_Capex_WC'!$B$8</f>
        <v>522370.43295743741</v>
      </c>
      <c r="AI9" s="133">
        <f>'41_Revenue_COGS'!AI10*'35_Inputs_Capex_WC'!$B$8</f>
        <v>550042.31669938762</v>
      </c>
      <c r="AJ9" s="133">
        <f>'41_Revenue_COGS'!AJ10*'35_Inputs_Capex_WC'!$B$8</f>
        <v>576748.59005816258</v>
      </c>
      <c r="AK9" s="133">
        <f>'41_Revenue_COGS'!AK10*'35_Inputs_Capex_WC'!$B$8</f>
        <v>602522.94800808316</v>
      </c>
      <c r="AL9" s="134">
        <f t="shared" si="2"/>
        <v>109574.41993946588</v>
      </c>
      <c r="AM9" s="133">
        <f t="shared" si="3"/>
        <v>292034.32700422668</v>
      </c>
      <c r="AN9" s="135">
        <f t="shared" si="4"/>
        <v>602522.94800808316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E4E4-29E0-4898-914A-EE25819C61E0}">
  <dimension ref="A1:AN7"/>
  <sheetViews>
    <sheetView workbookViewId="0">
      <pane xSplit="1" topLeftCell="AK1" activePane="topRight" state="frozen"/>
      <selection pane="topRight" activeCell="AO12" sqref="AO12"/>
    </sheetView>
  </sheetViews>
  <sheetFormatPr defaultRowHeight="14.4" x14ac:dyDescent="0.3"/>
  <cols>
    <col min="1" max="1" width="15.5546875" bestFit="1" customWidth="1"/>
    <col min="2" max="2" width="10.44140625" bestFit="1" customWidth="1"/>
    <col min="3" max="6" width="4.77734375" bestFit="1" customWidth="1"/>
    <col min="7" max="7" width="11.44140625" bestFit="1" customWidth="1"/>
    <col min="8" max="9" width="10.44140625" bestFit="1" customWidth="1"/>
    <col min="10" max="10" width="11.44140625" bestFit="1" customWidth="1"/>
    <col min="11" max="12" width="10.44140625" bestFit="1" customWidth="1"/>
    <col min="13" max="13" width="11.44140625" bestFit="1" customWidth="1"/>
    <col min="14" max="37" width="10.44140625" bestFit="1" customWidth="1"/>
    <col min="38" max="38" width="11.44140625" bestFit="1" customWidth="1"/>
    <col min="39" max="40" width="10.44140625" bestFit="1" customWidth="1"/>
  </cols>
  <sheetData>
    <row r="1" spans="1:40" ht="15" thickBot="1" x14ac:dyDescent="0.35">
      <c r="A1" s="157" t="str" cm="1">
        <f t="array" ref="A1:AK2">'23_Time'!A1:AK2</f>
        <v>Month Index</v>
      </c>
      <c r="B1" s="57">
        <v>1</v>
      </c>
      <c r="C1" s="57">
        <v>2</v>
      </c>
      <c r="D1" s="57">
        <v>3</v>
      </c>
      <c r="E1" s="57">
        <v>4</v>
      </c>
      <c r="F1" s="57">
        <v>5</v>
      </c>
      <c r="G1" s="57">
        <v>6</v>
      </c>
      <c r="H1" s="57">
        <v>7</v>
      </c>
      <c r="I1" s="57">
        <v>8</v>
      </c>
      <c r="J1" s="57">
        <v>9</v>
      </c>
      <c r="K1" s="57">
        <v>10</v>
      </c>
      <c r="L1" s="57">
        <v>11</v>
      </c>
      <c r="M1" s="57">
        <v>12</v>
      </c>
      <c r="N1" s="57">
        <v>13</v>
      </c>
      <c r="O1" s="57">
        <v>14</v>
      </c>
      <c r="P1" s="57">
        <v>15</v>
      </c>
      <c r="Q1" s="57">
        <v>16</v>
      </c>
      <c r="R1" s="57">
        <v>17</v>
      </c>
      <c r="S1" s="57">
        <v>18</v>
      </c>
      <c r="T1" s="57">
        <v>19</v>
      </c>
      <c r="U1" s="57">
        <v>20</v>
      </c>
      <c r="V1" s="57">
        <v>21</v>
      </c>
      <c r="W1" s="57">
        <v>22</v>
      </c>
      <c r="X1" s="57">
        <v>23</v>
      </c>
      <c r="Y1" s="57">
        <v>24</v>
      </c>
      <c r="Z1" s="57">
        <v>25</v>
      </c>
      <c r="AA1" s="57">
        <v>26</v>
      </c>
      <c r="AB1" s="57">
        <v>27</v>
      </c>
      <c r="AC1" s="57">
        <v>28</v>
      </c>
      <c r="AD1" s="57">
        <v>29</v>
      </c>
      <c r="AE1" s="57">
        <v>30</v>
      </c>
      <c r="AF1" s="57">
        <v>31</v>
      </c>
      <c r="AG1" s="57">
        <v>32</v>
      </c>
      <c r="AH1" s="57">
        <v>33</v>
      </c>
      <c r="AI1" s="57">
        <v>34</v>
      </c>
      <c r="AJ1" s="57">
        <v>35</v>
      </c>
      <c r="AK1" s="72">
        <v>36</v>
      </c>
      <c r="AL1" s="47"/>
      <c r="AM1" s="47"/>
      <c r="AN1" s="47"/>
    </row>
    <row r="2" spans="1:40" ht="15" thickBot="1" x14ac:dyDescent="0.35">
      <c r="A2" s="158" t="str">
        <v>Month Label</v>
      </c>
      <c r="B2" s="60" t="str">
        <v>M1</v>
      </c>
      <c r="C2" s="60" t="str">
        <v>M2</v>
      </c>
      <c r="D2" s="60" t="str">
        <v>M3</v>
      </c>
      <c r="E2" s="60" t="str">
        <v>M4</v>
      </c>
      <c r="F2" s="60" t="str">
        <v>M5</v>
      </c>
      <c r="G2" s="60" t="str">
        <v>M6</v>
      </c>
      <c r="H2" s="60" t="str">
        <v>M7</v>
      </c>
      <c r="I2" s="60" t="str">
        <v>M8</v>
      </c>
      <c r="J2" s="60" t="str">
        <v>M9</v>
      </c>
      <c r="K2" s="60" t="str">
        <v>M10</v>
      </c>
      <c r="L2" s="60" t="str">
        <v>M11</v>
      </c>
      <c r="M2" s="60" t="str">
        <v>M12</v>
      </c>
      <c r="N2" s="60" t="str">
        <v>M13</v>
      </c>
      <c r="O2" s="60" t="str">
        <v>M14</v>
      </c>
      <c r="P2" s="60" t="str">
        <v>M15</v>
      </c>
      <c r="Q2" s="60" t="str">
        <v>M16</v>
      </c>
      <c r="R2" s="60" t="str">
        <v>M17</v>
      </c>
      <c r="S2" s="60" t="str">
        <v>M18</v>
      </c>
      <c r="T2" s="60" t="str">
        <v>M19</v>
      </c>
      <c r="U2" s="60" t="str">
        <v>M20</v>
      </c>
      <c r="V2" s="60" t="str">
        <v>M21</v>
      </c>
      <c r="W2" s="60" t="str">
        <v>M22</v>
      </c>
      <c r="X2" s="60" t="str">
        <v>M23</v>
      </c>
      <c r="Y2" s="60" t="str">
        <v>M24</v>
      </c>
      <c r="Z2" s="60" t="str">
        <v>M25</v>
      </c>
      <c r="AA2" s="60" t="str">
        <v>M26</v>
      </c>
      <c r="AB2" s="60" t="str">
        <v>M27</v>
      </c>
      <c r="AC2" s="60" t="str">
        <v>M28</v>
      </c>
      <c r="AD2" s="60" t="str">
        <v>M29</v>
      </c>
      <c r="AE2" s="60" t="str">
        <v>M30</v>
      </c>
      <c r="AF2" s="60" t="str">
        <v>M31</v>
      </c>
      <c r="AG2" s="60" t="str">
        <v>M32</v>
      </c>
      <c r="AH2" s="60" t="str">
        <v>M33</v>
      </c>
      <c r="AI2" s="60" t="str">
        <v>M34</v>
      </c>
      <c r="AJ2" s="60" t="str">
        <v>M35</v>
      </c>
      <c r="AK2" s="60" t="str">
        <v>M36</v>
      </c>
      <c r="AL2" s="138" t="s">
        <v>74</v>
      </c>
      <c r="AM2" s="137" t="s">
        <v>75</v>
      </c>
      <c r="AN2" s="139" t="s">
        <v>76</v>
      </c>
    </row>
    <row r="3" spans="1:40" x14ac:dyDescent="0.3">
      <c r="A3" s="157" t="s">
        <v>197</v>
      </c>
      <c r="B3" s="57">
        <v>0</v>
      </c>
      <c r="C3" s="57">
        <f>B5</f>
        <v>0</v>
      </c>
      <c r="D3" s="57">
        <f t="shared" ref="D3:AK3" si="0">C5</f>
        <v>0</v>
      </c>
      <c r="E3" s="57">
        <f t="shared" si="0"/>
        <v>0</v>
      </c>
      <c r="F3" s="57">
        <f t="shared" si="0"/>
        <v>0</v>
      </c>
      <c r="G3" s="57">
        <f t="shared" si="0"/>
        <v>0</v>
      </c>
      <c r="H3" s="57">
        <f t="shared" si="0"/>
        <v>1000000</v>
      </c>
      <c r="I3" s="57">
        <f t="shared" si="0"/>
        <v>1000000</v>
      </c>
      <c r="J3" s="57">
        <f t="shared" si="0"/>
        <v>1000000</v>
      </c>
      <c r="K3" s="57">
        <f t="shared" si="0"/>
        <v>2000000</v>
      </c>
      <c r="L3" s="57">
        <f t="shared" si="0"/>
        <v>2000000</v>
      </c>
      <c r="M3" s="57">
        <f t="shared" si="0"/>
        <v>2000000</v>
      </c>
      <c r="N3" s="57">
        <f t="shared" si="0"/>
        <v>2000000</v>
      </c>
      <c r="O3" s="57">
        <f t="shared" si="0"/>
        <v>2000000</v>
      </c>
      <c r="P3" s="57">
        <f t="shared" si="0"/>
        <v>2000000</v>
      </c>
      <c r="Q3" s="57">
        <f t="shared" si="0"/>
        <v>2000000</v>
      </c>
      <c r="R3" s="57">
        <f t="shared" si="0"/>
        <v>2000000</v>
      </c>
      <c r="S3" s="57">
        <f t="shared" si="0"/>
        <v>2000000</v>
      </c>
      <c r="T3" s="57">
        <f t="shared" si="0"/>
        <v>2000000</v>
      </c>
      <c r="U3" s="57">
        <f t="shared" si="0"/>
        <v>2000000</v>
      </c>
      <c r="V3" s="57">
        <f t="shared" si="0"/>
        <v>2000000</v>
      </c>
      <c r="W3" s="57">
        <f t="shared" si="0"/>
        <v>2000000</v>
      </c>
      <c r="X3" s="57">
        <f t="shared" si="0"/>
        <v>2000000</v>
      </c>
      <c r="Y3" s="57">
        <f t="shared" si="0"/>
        <v>2000000</v>
      </c>
      <c r="Z3" s="57">
        <f t="shared" si="0"/>
        <v>2000000</v>
      </c>
      <c r="AA3" s="57">
        <f t="shared" si="0"/>
        <v>2000000</v>
      </c>
      <c r="AB3" s="57">
        <f t="shared" si="0"/>
        <v>2000000</v>
      </c>
      <c r="AC3" s="57">
        <f t="shared" si="0"/>
        <v>2000000</v>
      </c>
      <c r="AD3" s="57">
        <f t="shared" si="0"/>
        <v>2000000</v>
      </c>
      <c r="AE3" s="57">
        <f t="shared" si="0"/>
        <v>2000000</v>
      </c>
      <c r="AF3" s="57">
        <f t="shared" si="0"/>
        <v>2000000</v>
      </c>
      <c r="AG3" s="57">
        <f t="shared" si="0"/>
        <v>2000000</v>
      </c>
      <c r="AH3" s="57">
        <f t="shared" si="0"/>
        <v>2000000</v>
      </c>
      <c r="AI3" s="57">
        <f t="shared" si="0"/>
        <v>2000000</v>
      </c>
      <c r="AJ3" s="57">
        <f t="shared" si="0"/>
        <v>2000000</v>
      </c>
      <c r="AK3" s="57">
        <f t="shared" si="0"/>
        <v>2000000</v>
      </c>
      <c r="AL3" s="75">
        <f>B3</f>
        <v>0</v>
      </c>
      <c r="AM3" s="57">
        <f>N3</f>
        <v>2000000</v>
      </c>
      <c r="AN3" s="72">
        <f>Z3</f>
        <v>2000000</v>
      </c>
    </row>
    <row r="4" spans="1:40" x14ac:dyDescent="0.3">
      <c r="A4" s="158" t="s">
        <v>198</v>
      </c>
      <c r="B4" s="60">
        <f>IF(B1='36_Inputs_Funding'!$B$6,'36_Inputs_Funding'!$B$7,IF(B1='36_Inputs_Funding'!$B$8,'36_Inputs_Funding'!$B$9,0))</f>
        <v>0</v>
      </c>
      <c r="C4" s="60">
        <f>IF(C1='36_Inputs_Funding'!$B$6,'36_Inputs_Funding'!$B$7,IF(C1='36_Inputs_Funding'!$B$8,'36_Inputs_Funding'!$B$9,0))</f>
        <v>0</v>
      </c>
      <c r="D4" s="60">
        <f>IF(D1='36_Inputs_Funding'!$B$6,'36_Inputs_Funding'!$B$7,IF(D1='36_Inputs_Funding'!$B$8,'36_Inputs_Funding'!$B$9,0))</f>
        <v>0</v>
      </c>
      <c r="E4" s="60">
        <f>IF(E1='36_Inputs_Funding'!$B$6,'36_Inputs_Funding'!$B$7,IF(E1='36_Inputs_Funding'!$B$8,'36_Inputs_Funding'!$B$9,0))</f>
        <v>0</v>
      </c>
      <c r="F4" s="60">
        <f>IF(F1='36_Inputs_Funding'!$B$6,'36_Inputs_Funding'!$B$7,IF(F1='36_Inputs_Funding'!$B$8,'36_Inputs_Funding'!$B$9,0))</f>
        <v>0</v>
      </c>
      <c r="G4" s="60">
        <f>IF(G1='36_Inputs_Funding'!$B$6,'36_Inputs_Funding'!$B$7,IF(G1='36_Inputs_Funding'!$B$8,'36_Inputs_Funding'!$B$9,0))</f>
        <v>1000000</v>
      </c>
      <c r="H4" s="60">
        <f>IF(H1='36_Inputs_Funding'!$B$6,'36_Inputs_Funding'!$B$7,IF(H1='36_Inputs_Funding'!$B$8,'36_Inputs_Funding'!$B$9,0))</f>
        <v>0</v>
      </c>
      <c r="I4" s="60">
        <f>IF(I1='36_Inputs_Funding'!$B$6,'36_Inputs_Funding'!$B$7,IF(I1='36_Inputs_Funding'!$B$8,'36_Inputs_Funding'!$B$9,0))</f>
        <v>0</v>
      </c>
      <c r="J4" s="60">
        <f>IF(J1='36_Inputs_Funding'!$B$6,'36_Inputs_Funding'!$B$7,IF(J1='36_Inputs_Funding'!$B$8,'36_Inputs_Funding'!$B$9,0))</f>
        <v>1000000</v>
      </c>
      <c r="K4" s="60">
        <f>IF(K1='36_Inputs_Funding'!$B$6,'36_Inputs_Funding'!$B$7,IF(K1='36_Inputs_Funding'!$B$8,'36_Inputs_Funding'!$B$9,0))</f>
        <v>0</v>
      </c>
      <c r="L4" s="60">
        <f>IF(L1='36_Inputs_Funding'!$B$6,'36_Inputs_Funding'!$B$7,IF(L1='36_Inputs_Funding'!$B$8,'36_Inputs_Funding'!$B$9,0))</f>
        <v>0</v>
      </c>
      <c r="M4" s="60">
        <f>IF(M1='36_Inputs_Funding'!$B$6,'36_Inputs_Funding'!$B$7,IF(M1='36_Inputs_Funding'!$B$8,'36_Inputs_Funding'!$B$9,0))</f>
        <v>0</v>
      </c>
      <c r="N4" s="60">
        <f>IF(N1='36_Inputs_Funding'!$B$6,'36_Inputs_Funding'!$B$7,IF(N1='36_Inputs_Funding'!$B$8,'36_Inputs_Funding'!$B$9,0))</f>
        <v>0</v>
      </c>
      <c r="O4" s="60">
        <f>IF(O1='36_Inputs_Funding'!$B$6,'36_Inputs_Funding'!$B$7,IF(O1='36_Inputs_Funding'!$B$8,'36_Inputs_Funding'!$B$9,0))</f>
        <v>0</v>
      </c>
      <c r="P4" s="60">
        <f>IF(P1='36_Inputs_Funding'!$B$6,'36_Inputs_Funding'!$B$7,IF(P1='36_Inputs_Funding'!$B$8,'36_Inputs_Funding'!$B$9,0))</f>
        <v>0</v>
      </c>
      <c r="Q4" s="60">
        <f>IF(Q1='36_Inputs_Funding'!$B$6,'36_Inputs_Funding'!$B$7,IF(Q1='36_Inputs_Funding'!$B$8,'36_Inputs_Funding'!$B$9,0))</f>
        <v>0</v>
      </c>
      <c r="R4" s="60">
        <f>IF(R1='36_Inputs_Funding'!$B$6,'36_Inputs_Funding'!$B$7,IF(R1='36_Inputs_Funding'!$B$8,'36_Inputs_Funding'!$B$9,0))</f>
        <v>0</v>
      </c>
      <c r="S4" s="60">
        <f>IF(S1='36_Inputs_Funding'!$B$6,'36_Inputs_Funding'!$B$7,IF(S1='36_Inputs_Funding'!$B$8,'36_Inputs_Funding'!$B$9,0))</f>
        <v>0</v>
      </c>
      <c r="T4" s="60">
        <f>IF(T1='36_Inputs_Funding'!$B$6,'36_Inputs_Funding'!$B$7,IF(T1='36_Inputs_Funding'!$B$8,'36_Inputs_Funding'!$B$9,0))</f>
        <v>0</v>
      </c>
      <c r="U4" s="60">
        <f>IF(U1='36_Inputs_Funding'!$B$6,'36_Inputs_Funding'!$B$7,IF(U1='36_Inputs_Funding'!$B$8,'36_Inputs_Funding'!$B$9,0))</f>
        <v>0</v>
      </c>
      <c r="V4" s="60">
        <f>IF(V1='36_Inputs_Funding'!$B$6,'36_Inputs_Funding'!$B$7,IF(V1='36_Inputs_Funding'!$B$8,'36_Inputs_Funding'!$B$9,0))</f>
        <v>0</v>
      </c>
      <c r="W4" s="60">
        <f>IF(W1='36_Inputs_Funding'!$B$6,'36_Inputs_Funding'!$B$7,IF(W1='36_Inputs_Funding'!$B$8,'36_Inputs_Funding'!$B$9,0))</f>
        <v>0</v>
      </c>
      <c r="X4" s="60">
        <f>IF(X1='36_Inputs_Funding'!$B$6,'36_Inputs_Funding'!$B$7,IF(X1='36_Inputs_Funding'!$B$8,'36_Inputs_Funding'!$B$9,0))</f>
        <v>0</v>
      </c>
      <c r="Y4" s="60">
        <f>IF(Y1='36_Inputs_Funding'!$B$6,'36_Inputs_Funding'!$B$7,IF(Y1='36_Inputs_Funding'!$B$8,'36_Inputs_Funding'!$B$9,0))</f>
        <v>0</v>
      </c>
      <c r="Z4" s="60">
        <f>IF(Z1='36_Inputs_Funding'!$B$6,'36_Inputs_Funding'!$B$7,IF(Z1='36_Inputs_Funding'!$B$8,'36_Inputs_Funding'!$B$9,0))</f>
        <v>0</v>
      </c>
      <c r="AA4" s="60">
        <f>IF(AA1='36_Inputs_Funding'!$B$6,'36_Inputs_Funding'!$B$7,IF(AA1='36_Inputs_Funding'!$B$8,'36_Inputs_Funding'!$B$9,0))</f>
        <v>0</v>
      </c>
      <c r="AB4" s="60">
        <f>IF(AB1='36_Inputs_Funding'!$B$6,'36_Inputs_Funding'!$B$7,IF(AB1='36_Inputs_Funding'!$B$8,'36_Inputs_Funding'!$B$9,0))</f>
        <v>0</v>
      </c>
      <c r="AC4" s="60">
        <f>IF(AC1='36_Inputs_Funding'!$B$6,'36_Inputs_Funding'!$B$7,IF(AC1='36_Inputs_Funding'!$B$8,'36_Inputs_Funding'!$B$9,0))</f>
        <v>0</v>
      </c>
      <c r="AD4" s="60">
        <f>IF(AD1='36_Inputs_Funding'!$B$6,'36_Inputs_Funding'!$B$7,IF(AD1='36_Inputs_Funding'!$B$8,'36_Inputs_Funding'!$B$9,0))</f>
        <v>0</v>
      </c>
      <c r="AE4" s="60">
        <f>IF(AE1='36_Inputs_Funding'!$B$6,'36_Inputs_Funding'!$B$7,IF(AE1='36_Inputs_Funding'!$B$8,'36_Inputs_Funding'!$B$9,0))</f>
        <v>0</v>
      </c>
      <c r="AF4" s="60">
        <f>IF(AF1='36_Inputs_Funding'!$B$6,'36_Inputs_Funding'!$B$7,IF(AF1='36_Inputs_Funding'!$B$8,'36_Inputs_Funding'!$B$9,0))</f>
        <v>0</v>
      </c>
      <c r="AG4" s="60">
        <f>IF(AG1='36_Inputs_Funding'!$B$6,'36_Inputs_Funding'!$B$7,IF(AG1='36_Inputs_Funding'!$B$8,'36_Inputs_Funding'!$B$9,0))</f>
        <v>0</v>
      </c>
      <c r="AH4" s="60">
        <f>IF(AH1='36_Inputs_Funding'!$B$6,'36_Inputs_Funding'!$B$7,IF(AH1='36_Inputs_Funding'!$B$8,'36_Inputs_Funding'!$B$9,0))</f>
        <v>0</v>
      </c>
      <c r="AI4" s="60">
        <f>IF(AI1='36_Inputs_Funding'!$B$6,'36_Inputs_Funding'!$B$7,IF(AI1='36_Inputs_Funding'!$B$8,'36_Inputs_Funding'!$B$9,0))</f>
        <v>0</v>
      </c>
      <c r="AJ4" s="60">
        <f>IF(AJ1='36_Inputs_Funding'!$B$6,'36_Inputs_Funding'!$B$7,IF(AJ1='36_Inputs_Funding'!$B$8,'36_Inputs_Funding'!$B$9,0))</f>
        <v>0</v>
      </c>
      <c r="AK4" s="60">
        <f>IF(AK1='36_Inputs_Funding'!$B$6,'36_Inputs_Funding'!$B$7,IF(AK1='36_Inputs_Funding'!$B$8,'36_Inputs_Funding'!$B$9,0))</f>
        <v>0</v>
      </c>
      <c r="AL4" s="76">
        <f>SUMIF('23_Time'!$B$3:$AK$3, 1,B4:AK4)</f>
        <v>2000000</v>
      </c>
      <c r="AM4" s="60">
        <f>SUMIF('23_Time'!$B$3:$AK$3, 2,B4:AK4)</f>
        <v>0</v>
      </c>
      <c r="AN4" s="73">
        <f>SUMIF('23_Time'!$B$3:$AK$3, 3,B4:AK4)</f>
        <v>0</v>
      </c>
    </row>
    <row r="5" spans="1:40" x14ac:dyDescent="0.3">
      <c r="A5" s="158" t="s">
        <v>199</v>
      </c>
      <c r="B5" s="60">
        <f t="shared" ref="B5:AK5" si="1">B3+B4</f>
        <v>0</v>
      </c>
      <c r="C5" s="60">
        <f t="shared" si="1"/>
        <v>0</v>
      </c>
      <c r="D5" s="60">
        <f t="shared" si="1"/>
        <v>0</v>
      </c>
      <c r="E5" s="60">
        <f t="shared" si="1"/>
        <v>0</v>
      </c>
      <c r="F5" s="60">
        <f t="shared" si="1"/>
        <v>0</v>
      </c>
      <c r="G5" s="60">
        <f t="shared" si="1"/>
        <v>1000000</v>
      </c>
      <c r="H5" s="60">
        <f t="shared" si="1"/>
        <v>1000000</v>
      </c>
      <c r="I5" s="60">
        <f t="shared" si="1"/>
        <v>1000000</v>
      </c>
      <c r="J5" s="60">
        <f t="shared" si="1"/>
        <v>2000000</v>
      </c>
      <c r="K5" s="60">
        <f t="shared" si="1"/>
        <v>2000000</v>
      </c>
      <c r="L5" s="60">
        <f t="shared" si="1"/>
        <v>2000000</v>
      </c>
      <c r="M5" s="60">
        <f t="shared" si="1"/>
        <v>2000000</v>
      </c>
      <c r="N5" s="60">
        <f t="shared" si="1"/>
        <v>2000000</v>
      </c>
      <c r="O5" s="60">
        <f t="shared" si="1"/>
        <v>2000000</v>
      </c>
      <c r="P5" s="60">
        <f t="shared" si="1"/>
        <v>2000000</v>
      </c>
      <c r="Q5" s="60">
        <f t="shared" si="1"/>
        <v>2000000</v>
      </c>
      <c r="R5" s="60">
        <f t="shared" si="1"/>
        <v>2000000</v>
      </c>
      <c r="S5" s="60">
        <f t="shared" si="1"/>
        <v>2000000</v>
      </c>
      <c r="T5" s="60">
        <f t="shared" si="1"/>
        <v>2000000</v>
      </c>
      <c r="U5" s="60">
        <f t="shared" si="1"/>
        <v>2000000</v>
      </c>
      <c r="V5" s="60">
        <f t="shared" si="1"/>
        <v>2000000</v>
      </c>
      <c r="W5" s="60">
        <f t="shared" si="1"/>
        <v>2000000</v>
      </c>
      <c r="X5" s="60">
        <f t="shared" si="1"/>
        <v>2000000</v>
      </c>
      <c r="Y5" s="60">
        <f t="shared" si="1"/>
        <v>2000000</v>
      </c>
      <c r="Z5" s="60">
        <f t="shared" si="1"/>
        <v>2000000</v>
      </c>
      <c r="AA5" s="60">
        <f t="shared" si="1"/>
        <v>2000000</v>
      </c>
      <c r="AB5" s="60">
        <f t="shared" si="1"/>
        <v>2000000</v>
      </c>
      <c r="AC5" s="60">
        <f t="shared" si="1"/>
        <v>2000000</v>
      </c>
      <c r="AD5" s="60">
        <f t="shared" si="1"/>
        <v>2000000</v>
      </c>
      <c r="AE5" s="60">
        <f t="shared" si="1"/>
        <v>2000000</v>
      </c>
      <c r="AF5" s="60">
        <f t="shared" si="1"/>
        <v>2000000</v>
      </c>
      <c r="AG5" s="60">
        <f t="shared" si="1"/>
        <v>2000000</v>
      </c>
      <c r="AH5" s="60">
        <f t="shared" si="1"/>
        <v>2000000</v>
      </c>
      <c r="AI5" s="60">
        <f t="shared" si="1"/>
        <v>2000000</v>
      </c>
      <c r="AJ5" s="60">
        <f t="shared" si="1"/>
        <v>2000000</v>
      </c>
      <c r="AK5" s="60">
        <f t="shared" si="1"/>
        <v>2000000</v>
      </c>
      <c r="AL5" s="76">
        <f>M5</f>
        <v>2000000</v>
      </c>
      <c r="AM5" s="60">
        <f>Y5</f>
        <v>2000000</v>
      </c>
      <c r="AN5" s="73">
        <f>AK5</f>
        <v>2000000</v>
      </c>
    </row>
    <row r="6" spans="1:40" ht="15" thickBot="1" x14ac:dyDescent="0.35">
      <c r="A6" s="159" t="s">
        <v>196</v>
      </c>
      <c r="B6" s="62">
        <f>(B5+B3)*'36_Inputs_Funding'!$B$10/24</f>
        <v>0</v>
      </c>
      <c r="C6" s="62">
        <f>(C5+C3)*'36_Inputs_Funding'!$B$10/24</f>
        <v>0</v>
      </c>
      <c r="D6" s="62">
        <f>(D5+D3)*'36_Inputs_Funding'!$B$10/24</f>
        <v>0</v>
      </c>
      <c r="E6" s="62">
        <f>(E5+E3)*'36_Inputs_Funding'!$B$10/24</f>
        <v>0</v>
      </c>
      <c r="F6" s="62">
        <f>(F5+F3)*'36_Inputs_Funding'!$B$10/24</f>
        <v>0</v>
      </c>
      <c r="G6" s="62">
        <f>(G5+G3)*'36_Inputs_Funding'!$B$10/24</f>
        <v>4166.666666666667</v>
      </c>
      <c r="H6" s="62">
        <f>(H5+H3)*'36_Inputs_Funding'!$B$10/24</f>
        <v>8333.3333333333339</v>
      </c>
      <c r="I6" s="62">
        <f>(I5+I3)*'36_Inputs_Funding'!$B$10/24</f>
        <v>8333.3333333333339</v>
      </c>
      <c r="J6" s="62">
        <f>(J5+J3)*'36_Inputs_Funding'!$B$10/24</f>
        <v>12500</v>
      </c>
      <c r="K6" s="62">
        <f>(K5+K3)*'36_Inputs_Funding'!$B$10/24</f>
        <v>16666.666666666668</v>
      </c>
      <c r="L6" s="62">
        <f>(L5+L3)*'36_Inputs_Funding'!$B$10/24</f>
        <v>16666.666666666668</v>
      </c>
      <c r="M6" s="62">
        <f>(M5+M3)*'36_Inputs_Funding'!$B$10/24</f>
        <v>16666.666666666668</v>
      </c>
      <c r="N6" s="62">
        <f>(N5+N3)*'36_Inputs_Funding'!$B$10/24</f>
        <v>16666.666666666668</v>
      </c>
      <c r="O6" s="62">
        <f>(O5+O3)*'36_Inputs_Funding'!$B$10/24</f>
        <v>16666.666666666668</v>
      </c>
      <c r="P6" s="62">
        <f>(P5+P3)*'36_Inputs_Funding'!$B$10/24</f>
        <v>16666.666666666668</v>
      </c>
      <c r="Q6" s="62">
        <f>(Q5+Q3)*'36_Inputs_Funding'!$B$10/24</f>
        <v>16666.666666666668</v>
      </c>
      <c r="R6" s="62">
        <f>(R5+R3)*'36_Inputs_Funding'!$B$10/24</f>
        <v>16666.666666666668</v>
      </c>
      <c r="S6" s="62">
        <f>(S5+S3)*'36_Inputs_Funding'!$B$10/24</f>
        <v>16666.666666666668</v>
      </c>
      <c r="T6" s="62">
        <f>(T5+T3)*'36_Inputs_Funding'!$B$10/24</f>
        <v>16666.666666666668</v>
      </c>
      <c r="U6" s="62">
        <f>(U5+U3)*'36_Inputs_Funding'!$B$10/24</f>
        <v>16666.666666666668</v>
      </c>
      <c r="V6" s="62">
        <f>(V5+V3)*'36_Inputs_Funding'!$B$10/24</f>
        <v>16666.666666666668</v>
      </c>
      <c r="W6" s="62">
        <f>(W5+W3)*'36_Inputs_Funding'!$B$10/24</f>
        <v>16666.666666666668</v>
      </c>
      <c r="X6" s="62">
        <f>(X5+X3)*'36_Inputs_Funding'!$B$10/24</f>
        <v>16666.666666666668</v>
      </c>
      <c r="Y6" s="62">
        <f>(Y5+Y3)*'36_Inputs_Funding'!$B$10/24</f>
        <v>16666.666666666668</v>
      </c>
      <c r="Z6" s="62">
        <f>(Z5+Z3)*'36_Inputs_Funding'!$B$10/24</f>
        <v>16666.666666666668</v>
      </c>
      <c r="AA6" s="62">
        <f>(AA5+AA3)*'36_Inputs_Funding'!$B$10/24</f>
        <v>16666.666666666668</v>
      </c>
      <c r="AB6" s="62">
        <f>(AB5+AB3)*'36_Inputs_Funding'!$B$10/24</f>
        <v>16666.666666666668</v>
      </c>
      <c r="AC6" s="62">
        <f>(AC5+AC3)*'36_Inputs_Funding'!$B$10/24</f>
        <v>16666.666666666668</v>
      </c>
      <c r="AD6" s="62">
        <f>(AD5+AD3)*'36_Inputs_Funding'!$B$10/24</f>
        <v>16666.666666666668</v>
      </c>
      <c r="AE6" s="62">
        <f>(AE5+AE3)*'36_Inputs_Funding'!$B$10/24</f>
        <v>16666.666666666668</v>
      </c>
      <c r="AF6" s="62">
        <f>(AF5+AF3)*'36_Inputs_Funding'!$B$10/24</f>
        <v>16666.666666666668</v>
      </c>
      <c r="AG6" s="62">
        <f>(AG5+AG3)*'36_Inputs_Funding'!$B$10/24</f>
        <v>16666.666666666668</v>
      </c>
      <c r="AH6" s="62">
        <f>(AH5+AH3)*'36_Inputs_Funding'!$B$10/24</f>
        <v>16666.666666666668</v>
      </c>
      <c r="AI6" s="62">
        <f>(AI5+AI3)*'36_Inputs_Funding'!$B$10/24</f>
        <v>16666.666666666668</v>
      </c>
      <c r="AJ6" s="62">
        <f>(AJ5+AJ3)*'36_Inputs_Funding'!$B$10/24</f>
        <v>16666.666666666668</v>
      </c>
      <c r="AK6" s="62">
        <f>(AK5+AK3)*'36_Inputs_Funding'!$B$10/24</f>
        <v>16666.666666666668</v>
      </c>
      <c r="AL6" s="77">
        <f>SUMIF('23_Time'!$B$3:$AK$3, 1,B6:AK6)</f>
        <v>83333.333333333343</v>
      </c>
      <c r="AM6" s="62">
        <f>SUMIF('23_Time'!$B$3:$AK$3, 2,B6:AK6)</f>
        <v>199999.99999999997</v>
      </c>
      <c r="AN6" s="74">
        <f>SUMIF('23_Time'!$B$3:$AK$3, 3,B6:AK6)</f>
        <v>199999.99999999997</v>
      </c>
    </row>
    <row r="7" spans="1:40" ht="15" thickBot="1" x14ac:dyDescent="0.35">
      <c r="A7" s="160" t="s">
        <v>200</v>
      </c>
      <c r="B7" s="80">
        <f>IF(B1='21_Scenarios'!$G$2,'21_Scenarios'!$H$2,0)</f>
        <v>0</v>
      </c>
      <c r="C7" s="80">
        <f>IF(C1='21_Scenarios'!$G$2,'21_Scenarios'!$H$2,0)</f>
        <v>0</v>
      </c>
      <c r="D7" s="80">
        <f>IF(D1='21_Scenarios'!$G$2,'21_Scenarios'!$H$2,0)</f>
        <v>0</v>
      </c>
      <c r="E7" s="80">
        <f>IF(E1='21_Scenarios'!$G$2,'21_Scenarios'!$H$2,0)</f>
        <v>0</v>
      </c>
      <c r="F7" s="80">
        <f>IF(F1='21_Scenarios'!$G$2,'21_Scenarios'!$H$2,0)</f>
        <v>0</v>
      </c>
      <c r="G7" s="80">
        <f>IF(G1='21_Scenarios'!$G$2,'21_Scenarios'!$H$2,0)</f>
        <v>25000000</v>
      </c>
      <c r="H7" s="80">
        <f>IF(H1='21_Scenarios'!$G$2,'21_Scenarios'!$H$2,0)</f>
        <v>0</v>
      </c>
      <c r="I7" s="80">
        <f>IF(I1='21_Scenarios'!$G$2,'21_Scenarios'!$H$2,0)</f>
        <v>0</v>
      </c>
      <c r="J7" s="80">
        <f>IF(J1='21_Scenarios'!$G$2,'21_Scenarios'!$H$2,0)</f>
        <v>0</v>
      </c>
      <c r="K7" s="80">
        <f>IF(K1='21_Scenarios'!$G$2,'21_Scenarios'!$H$2,0)</f>
        <v>0</v>
      </c>
      <c r="L7" s="80">
        <f>IF(L1='21_Scenarios'!$G$2,'21_Scenarios'!$H$2,0)</f>
        <v>0</v>
      </c>
      <c r="M7" s="80">
        <f>IF(M1='21_Scenarios'!$G$2,'21_Scenarios'!$H$2,0)</f>
        <v>0</v>
      </c>
      <c r="N7" s="80">
        <f>IF(N1='21_Scenarios'!$G$2,'21_Scenarios'!$H$2,0)</f>
        <v>0</v>
      </c>
      <c r="O7" s="80">
        <f>IF(O1='21_Scenarios'!$G$2,'21_Scenarios'!$H$2,0)</f>
        <v>0</v>
      </c>
      <c r="P7" s="80">
        <f>IF(P1='21_Scenarios'!$G$2,'21_Scenarios'!$H$2,0)</f>
        <v>0</v>
      </c>
      <c r="Q7" s="80">
        <f>IF(Q1='21_Scenarios'!$G$2,'21_Scenarios'!$H$2,0)</f>
        <v>0</v>
      </c>
      <c r="R7" s="80">
        <f>IF(R1='21_Scenarios'!$G$2,'21_Scenarios'!$H$2,0)</f>
        <v>0</v>
      </c>
      <c r="S7" s="80">
        <f>IF(S1='21_Scenarios'!$G$2,'21_Scenarios'!$H$2,0)</f>
        <v>0</v>
      </c>
      <c r="T7" s="80">
        <f>IF(T1='21_Scenarios'!$G$2,'21_Scenarios'!$H$2,0)</f>
        <v>0</v>
      </c>
      <c r="U7" s="80">
        <f>IF(U1='21_Scenarios'!$G$2,'21_Scenarios'!$H$2,0)</f>
        <v>0</v>
      </c>
      <c r="V7" s="80">
        <f>IF(V1='21_Scenarios'!$G$2,'21_Scenarios'!$H$2,0)</f>
        <v>0</v>
      </c>
      <c r="W7" s="80">
        <f>IF(W1='21_Scenarios'!$G$2,'21_Scenarios'!$H$2,0)</f>
        <v>0</v>
      </c>
      <c r="X7" s="80">
        <f>IF(X1='21_Scenarios'!$G$2,'21_Scenarios'!$H$2,0)</f>
        <v>0</v>
      </c>
      <c r="Y7" s="80">
        <f>IF(Y1='21_Scenarios'!$G$2,'21_Scenarios'!$H$2,0)</f>
        <v>0</v>
      </c>
      <c r="Z7" s="80">
        <f>IF(Z1='21_Scenarios'!$G$2,'21_Scenarios'!$H$2,0)</f>
        <v>0</v>
      </c>
      <c r="AA7" s="80">
        <f>IF(AA1='21_Scenarios'!$G$2,'21_Scenarios'!$H$2,0)</f>
        <v>0</v>
      </c>
      <c r="AB7" s="80">
        <f>IF(AB1='21_Scenarios'!$G$2,'21_Scenarios'!$H$2,0)</f>
        <v>0</v>
      </c>
      <c r="AC7" s="80">
        <f>IF(AC1='21_Scenarios'!$G$2,'21_Scenarios'!$H$2,0)</f>
        <v>0</v>
      </c>
      <c r="AD7" s="80">
        <f>IF(AD1='21_Scenarios'!$G$2,'21_Scenarios'!$H$2,0)</f>
        <v>0</v>
      </c>
      <c r="AE7" s="80">
        <f>IF(AE1='21_Scenarios'!$G$2,'21_Scenarios'!$H$2,0)</f>
        <v>0</v>
      </c>
      <c r="AF7" s="80">
        <f>IF(AF1='21_Scenarios'!$G$2,'21_Scenarios'!$H$2,0)</f>
        <v>0</v>
      </c>
      <c r="AG7" s="80">
        <f>IF(AG1='21_Scenarios'!$G$2,'21_Scenarios'!$H$2,0)</f>
        <v>0</v>
      </c>
      <c r="AH7" s="80">
        <f>IF(AH1='21_Scenarios'!$G$2,'21_Scenarios'!$H$2,0)</f>
        <v>0</v>
      </c>
      <c r="AI7" s="80">
        <f>IF(AI1='21_Scenarios'!$G$2,'21_Scenarios'!$H$2,0)</f>
        <v>0</v>
      </c>
      <c r="AJ7" s="80">
        <f>IF(AJ1='21_Scenarios'!$G$2,'21_Scenarios'!$H$2,0)</f>
        <v>0</v>
      </c>
      <c r="AK7" s="80">
        <f>IF(AK1='21_Scenarios'!$G$2,'21_Scenarios'!$H$2,0)</f>
        <v>0</v>
      </c>
      <c r="AL7" s="79">
        <f>SUMIF('23_Time'!$B$3:$AK$3, 1,B7:AK7)</f>
        <v>25000000</v>
      </c>
      <c r="AM7" s="80">
        <f>SUMIF('23_Time'!$B$3:$AK$3, 2,B7:AK7)</f>
        <v>0</v>
      </c>
      <c r="AN7" s="81">
        <f>SUMIF('23_Time'!$B$3:$AK$3, 3,B7:AK7)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4FD5-B977-4CC1-97FF-A141BE46331E}">
  <dimension ref="A1:C8"/>
  <sheetViews>
    <sheetView workbookViewId="0">
      <selection activeCell="C9" sqref="C9"/>
    </sheetView>
  </sheetViews>
  <sheetFormatPr defaultRowHeight="14.4" x14ac:dyDescent="0.3"/>
  <cols>
    <col min="2" max="2" width="10.33203125" bestFit="1" customWidth="1"/>
    <col min="3" max="3" width="38.6640625" bestFit="1" customWidth="1"/>
  </cols>
  <sheetData>
    <row r="1" spans="1:3" x14ac:dyDescent="0.3">
      <c r="A1" s="5" t="s">
        <v>279</v>
      </c>
      <c r="B1" s="5" t="s">
        <v>280</v>
      </c>
      <c r="C1" s="5" t="s">
        <v>281</v>
      </c>
    </row>
    <row r="2" spans="1:3" x14ac:dyDescent="0.3">
      <c r="A2" s="2" t="s">
        <v>282</v>
      </c>
      <c r="B2" s="212">
        <v>46071</v>
      </c>
      <c r="C2" s="2" t="s">
        <v>283</v>
      </c>
    </row>
    <row r="3" spans="1:3" x14ac:dyDescent="0.3">
      <c r="A3" s="2" t="s">
        <v>285</v>
      </c>
      <c r="B3" s="212">
        <v>46073</v>
      </c>
      <c r="C3" s="2" t="s">
        <v>284</v>
      </c>
    </row>
    <row r="4" spans="1:3" x14ac:dyDescent="0.3">
      <c r="A4" s="2" t="s">
        <v>287</v>
      </c>
      <c r="B4" s="212">
        <v>46074</v>
      </c>
      <c r="C4" s="2" t="s">
        <v>286</v>
      </c>
    </row>
    <row r="5" spans="1:3" x14ac:dyDescent="0.3">
      <c r="A5" s="2" t="s">
        <v>288</v>
      </c>
      <c r="B5" s="212">
        <v>46076</v>
      </c>
      <c r="C5" s="2" t="s">
        <v>289</v>
      </c>
    </row>
    <row r="6" spans="1:3" x14ac:dyDescent="0.3">
      <c r="A6" s="2" t="s">
        <v>290</v>
      </c>
      <c r="B6" s="212">
        <v>46077</v>
      </c>
      <c r="C6" s="2" t="s">
        <v>292</v>
      </c>
    </row>
    <row r="7" spans="1:3" x14ac:dyDescent="0.3">
      <c r="A7" s="2" t="s">
        <v>291</v>
      </c>
      <c r="B7" s="212">
        <v>46078</v>
      </c>
      <c r="C7" s="2" t="s">
        <v>293</v>
      </c>
    </row>
    <row r="8" spans="1:3" x14ac:dyDescent="0.3">
      <c r="A8" s="2" t="s">
        <v>294</v>
      </c>
      <c r="B8" s="212">
        <v>46079</v>
      </c>
      <c r="C8" s="2" t="s">
        <v>295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00_Executive_Summary</vt:lpstr>
      <vt:lpstr>01_Dashboard</vt:lpstr>
      <vt:lpstr>02_Valuation</vt:lpstr>
      <vt:lpstr>03_KPIs</vt:lpstr>
      <vt:lpstr>10_Income_Statement</vt:lpstr>
      <vt:lpstr>11_Cash_Flow</vt:lpstr>
      <vt:lpstr>12_Balance Sheet</vt:lpstr>
      <vt:lpstr>20_Capital_Sensitivity</vt:lpstr>
      <vt:lpstr>21_Scenarios</vt:lpstr>
      <vt:lpstr>22_Scenario_Compare</vt:lpstr>
      <vt:lpstr>23_Time</vt:lpstr>
      <vt:lpstr>30_Assumptions_Rationale</vt:lpstr>
      <vt:lpstr>31_Inputs_UnitEconomics</vt:lpstr>
      <vt:lpstr>32_Inputs_GrowthRetention</vt:lpstr>
      <vt:lpstr>33_Inputs_Opex_Headcount</vt:lpstr>
      <vt:lpstr>34_Inputs_Opex_NonPeople</vt:lpstr>
      <vt:lpstr>35_Inputs_Capex_WC</vt:lpstr>
      <vt:lpstr>36_Inputs_Funding</vt:lpstr>
      <vt:lpstr>37_Inputs_Tax</vt:lpstr>
      <vt:lpstr>40_Customers_Orders</vt:lpstr>
      <vt:lpstr>41_Revenue_COGS</vt:lpstr>
      <vt:lpstr>42_OPEX</vt:lpstr>
      <vt:lpstr>43_CAPEX_Depreciation</vt:lpstr>
      <vt:lpstr>44_Working_Capital</vt:lpstr>
      <vt:lpstr>45_Funding_Interest_Equity</vt:lpstr>
      <vt:lpstr>90_Version_Log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Balachandar Vasan</dc:creator>
  <cp:lastModifiedBy>Balachandar Vasan</cp:lastModifiedBy>
  <dcterms:created xsi:type="dcterms:W3CDTF">2026-02-17T05:54:10Z</dcterms:created>
  <dcterms:modified xsi:type="dcterms:W3CDTF">2026-02-27T07:03:15Z</dcterms:modified>
</cp:coreProperties>
</file>